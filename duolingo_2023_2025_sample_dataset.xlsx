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Dictionary" sheetId="2" state="visible" r:id="rId4"/>
    <sheet name="Fact_Monthly" sheetId="3" state="visible" r:id="rId5"/>
    <sheet name="Fact_Language" sheetId="4" state="visible" r:id="rId6"/>
    <sheet name="Quarterly_Summary" sheetId="5" state="visible" r:id="rId7"/>
    <sheet name="Events" sheetId="6" state="visible" r:id="rId8"/>
  </sheets>
  <definedNames>
    <definedName function="false" hidden="true" localSheetId="1" name="_xlnm._FilterDatabase" vbProcedure="false">Data_Dictionary!$A$1:$H$52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<sst xmlns="http://schemas.openxmlformats.org/spreadsheetml/2006/main" count="2639" uniqueCount="270">
  <si>
    <t xml:space="preserve">Duolingo 2023-2025 Sample Dataset for Dashboards</t>
  </si>
  <si>
    <t xml:space="preserve">Monthly data, Jan 2023 - Dec 2025 | Region x Platform x Language | Users, subscriptions, revenue, engagement, retention</t>
  </si>
  <si>
    <t xml:space="preserve">IMPORTANT</t>
  </si>
  <si>
    <t xml:space="preserve">This is SAMPLE / ILLUSTRATIVE data. Totals are modelled on the general public trends Duolingo has reported (rapid DAU growth, rising paid subscribers, subscription-led revenue), but region, platform, language, retention and engagement splits are synthetic. It is not official company data - do not cite it as such. For real figures use Duolingo's investor filings.</t>
  </si>
  <si>
    <t xml:space="preserve">SHEETS</t>
  </si>
  <si>
    <t xml:space="preserve">•  Fact_Monthly - main fact table (648 rows). One row per Month x Region x Platform. 35 columns; yellow-header formulas are pre-built. Loaded as Excel table 'tblMonthly'.</t>
  </si>
  <si>
    <t xml:space="preserve">•  Fact_Language - language-level table (396 rows). One row per Month x Language. Loaded as Excel table 'tblLanguage'.</t>
  </si>
  <si>
    <t xml:space="preserve">•  Quarterly_Summary - quarterly and annual KPIs calculated with SUMIFS from Fact_Monthly (revenue, DAU, subs, YoY growth).</t>
  </si>
  <si>
    <t xml:space="preserve">•  Events - three product/marketing milestones for chart annotations. Add your own rows.</t>
  </si>
  <si>
    <t xml:space="preserve">•  Data_Dictionary - every column explained, with role (Dimension / Measure / Calculated), calculation, suggested dashboard use and priority (Key vs Supporting).</t>
  </si>
  <si>
    <t xml:space="preserve">HOW TO USE FOR AN INTERACTIVE DASHBOARD</t>
  </si>
  <si>
    <t xml:space="preserve">•  Power BI / Tableau: import Fact_Monthly and Fact_Language; relate them on Date (and Language). Create a Date table if you want time intelligence.</t>
  </si>
  <si>
    <t xml:space="preserve">•  Excel: Insert &gt; PivotTable on tblMonthly, then add slicers (Year, Quarter, Region, Platform) and a Timeline on Date; connect all pivots to the same slicers.</t>
  </si>
  <si>
    <t xml:space="preserve">•  Slicers to add: Year, Quarter, Region, Platform, Language. KPI cards: Total Revenue, Avg DAU, Paid Subscribers, DAU/MAU, Paid Conversion, Churn.</t>
  </si>
  <si>
    <t xml:space="preserve">•  Suggested pages: 1) Executive overview  2) Users &amp; engagement (DAU, MAU, streaks, retention)  3) Monetization (revenue mix, ARPPU, subs funnel)  4) Region &amp; platform  5) Languages.</t>
  </si>
  <si>
    <t xml:space="preserve">•  Suggested visuals: line/area (DAU, revenue), stacked column (revenue mix), funnel (MAU &gt; DAU &gt; Paid), filled map or bar by Region, treemap by Language_Family, retention lines (D1/D7/D30).</t>
  </si>
  <si>
    <t xml:space="preserve">CALCULATION TIPS</t>
  </si>
  <si>
    <t xml:space="preserve">•  Counts and money (DAU, MAU, subscribers, revenue) can be summed across Region/Platform. Ratios and percentages (DAU_MAU_Ratio, conversion, churn, retention) should be recomputed as SUM/SUM or weighted averages - do not add or simply average them.</t>
  </si>
  <si>
    <t xml:space="preserve">•  Subscribers are month-end snapshots: for a quarter or year, use the last month (see Quarterly_Summary), not the sum of months.</t>
  </si>
  <si>
    <t xml:space="preserve">•  MAU is counted per platform row, so summing platforms can slightly overstate unique users across platforms.</t>
  </si>
  <si>
    <t xml:space="preserve">•  App_Store_Rating is intentionally blank for Web rows.</t>
  </si>
  <si>
    <t xml:space="preserve">Sheet</t>
  </si>
  <si>
    <t xml:space="preserve">Column</t>
  </si>
  <si>
    <t xml:space="preserve">Data_Type</t>
  </si>
  <si>
    <t xml:space="preserve">Field_Role</t>
  </si>
  <si>
    <t xml:space="preserve">Description</t>
  </si>
  <si>
    <t xml:space="preserve">Calculation</t>
  </si>
  <si>
    <t xml:space="preserve">Suggested_Dashboard_Use</t>
  </si>
  <si>
    <t xml:space="preserve">Priority</t>
  </si>
  <si>
    <t xml:space="preserve">Fact_Monthly</t>
  </si>
  <si>
    <t xml:space="preserve">Date</t>
  </si>
  <si>
    <t xml:space="preserve">Dimension</t>
  </si>
  <si>
    <t xml:space="preserve">First day of the month. Grain of the table = Month x Region x Platform (648 rows).</t>
  </si>
  <si>
    <t xml:space="preserve">Input</t>
  </si>
  <si>
    <t xml:space="preserve">Time axis for line/area charts; date-range slicer or timeline filter.</t>
  </si>
  <si>
    <t xml:space="preserve">Key</t>
  </si>
  <si>
    <t xml:space="preserve">Year</t>
  </si>
  <si>
    <t xml:space="preserve">Integer</t>
  </si>
  <si>
    <t xml:space="preserve">Calendar year (2023-2025).</t>
  </si>
  <si>
    <t xml:space="preserve">Formula: YEAR(Date)</t>
  </si>
  <si>
    <t xml:space="preserve">Year slicer / buttons; YoY comparison series.</t>
  </si>
  <si>
    <t xml:space="preserve">Quarter</t>
  </si>
  <si>
    <t xml:space="preserve">Text</t>
  </si>
  <si>
    <t xml:space="preserve">Q1-Q4.</t>
  </si>
  <si>
    <t xml:space="preserve">Formula: "Q"&amp;ROUNDUP(MONTH(Date)/3,0)</t>
  </si>
  <si>
    <t xml:space="preserve">Quarter slicer; seasonality analysis.</t>
  </si>
  <si>
    <t xml:space="preserve">Year_Quarter</t>
  </si>
  <si>
    <t xml:space="preserve">Label such as 2024-Q3.</t>
  </si>
  <si>
    <t xml:space="preserve">Year &amp; '-' &amp; Quarter</t>
  </si>
  <si>
    <t xml:space="preserve">X-axis for quarterly bar/line charts; join key to Quarterly_Summary.</t>
  </si>
  <si>
    <t xml:space="preserve">Month_Num</t>
  </si>
  <si>
    <t xml:space="preserve">Month number 1-12.</t>
  </si>
  <si>
    <t xml:space="preserve">Formula: MONTH(Date)</t>
  </si>
  <si>
    <t xml:space="preserve">Sort key so Month_Name orders Jan-Dec.</t>
  </si>
  <si>
    <t xml:space="preserve">Supporting</t>
  </si>
  <si>
    <t xml:space="preserve">Month_Name</t>
  </si>
  <si>
    <t xml:space="preserve">Jan, Feb, ... Dec.</t>
  </si>
  <si>
    <t xml:space="preserve">Formula: TEXT(Date,"mmm")</t>
  </si>
  <si>
    <t xml:space="preserve">Seasonality heatmap; overlay 2023/2024/2025 lines by month.</t>
  </si>
  <si>
    <t xml:space="preserve">Region</t>
  </si>
  <si>
    <t xml:space="preserve">Six regions: North America, Europe, Asia Pacific, Latin America, Middle East &amp; Africa, South Asia.</t>
  </si>
  <si>
    <t xml:space="preserve">Region slicer; filled map or bar chart; drill-down to platform.</t>
  </si>
  <si>
    <t xml:space="preserve">Platform</t>
  </si>
  <si>
    <t xml:space="preserve">iOS, Android or Web.</t>
  </si>
  <si>
    <t xml:space="preserve">Platform slicer; donut / stacked bar for platform mix.</t>
  </si>
  <si>
    <t xml:space="preserve">Monthly_Active_Users</t>
  </si>
  <si>
    <t xml:space="preserve">Measure</t>
  </si>
  <si>
    <t xml:space="preserve">Users active at least once in the month (MAU).</t>
  </si>
  <si>
    <t xml:space="preserve">KPI card (sum of latest month); trend line. Sum across rows.</t>
  </si>
  <si>
    <t xml:space="preserve">Daily_Active_Users</t>
  </si>
  <si>
    <t xml:space="preserve">Average daily active users in the month (DAU). Duolingo's headline growth metric.</t>
  </si>
  <si>
    <t xml:space="preserve">KPI card; area chart by Region/Platform; YoY growth %.</t>
  </si>
  <si>
    <t xml:space="preserve">DAU_MAU_Ratio</t>
  </si>
  <si>
    <t xml:space="preserve">Percent</t>
  </si>
  <si>
    <t xml:space="preserve">Calculated</t>
  </si>
  <si>
    <t xml:space="preserve">Stickiness: share of monthly users who show up daily.</t>
  </si>
  <si>
    <t xml:space="preserve">Formula: DAU / MAU</t>
  </si>
  <si>
    <t xml:space="preserve">Gauge or line chart. For totals use SUM(DAU)/SUM(MAU), never average this column.</t>
  </si>
  <si>
    <t xml:space="preserve">New_Signups</t>
  </si>
  <si>
    <t xml:space="preserve">New accounts created in the month.</t>
  </si>
  <si>
    <t xml:space="preserve">Acquisition trend; funnel top; spikes match Events sheet.</t>
  </si>
  <si>
    <t xml:space="preserve">Super_Subscribers</t>
  </si>
  <si>
    <t xml:space="preserve">Paid subscribers on individual Super plan (month-end).</t>
  </si>
  <si>
    <t xml:space="preserve">Stacked area of subscription mix.</t>
  </si>
  <si>
    <t xml:space="preserve">Family_Plan_Subscribers</t>
  </si>
  <si>
    <t xml:space="preserve">Paid subscribers on Family plan (month-end).</t>
  </si>
  <si>
    <t xml:space="preserve">Max_Subscribers</t>
  </si>
  <si>
    <t xml:space="preserve">Paid subscribers on Max (AI-powered top tier); zero before Mar 2023.</t>
  </si>
  <si>
    <t xml:space="preserve">Line chart showing Max adoption after launch; annotate with Events.</t>
  </si>
  <si>
    <t xml:space="preserve">Total_Paid_Subscribers</t>
  </si>
  <si>
    <t xml:space="preserve">All paid subscribers (month-end).</t>
  </si>
  <si>
    <t xml:space="preserve">Formula: Super + Family + Max</t>
  </si>
  <si>
    <t xml:space="preserve">KPI card; trend line; funnel bottom.</t>
  </si>
  <si>
    <t xml:space="preserve">Paid_Conversion_Rate</t>
  </si>
  <si>
    <t xml:space="preserve">Share of MAU that pays.</t>
  </si>
  <si>
    <t xml:space="preserve">Formula: Total_Paid / MAU</t>
  </si>
  <si>
    <t xml:space="preserve">KPI card; funnel conversion; compare regions/platforms.</t>
  </si>
  <si>
    <t xml:space="preserve">Monthly_Paid_Churn_Pct</t>
  </si>
  <si>
    <t xml:space="preserve">Share of paid subscribers who cancel in the month.</t>
  </si>
  <si>
    <t xml:space="preserve">Line chart by Platform; churn vs. retention comparison.</t>
  </si>
  <si>
    <t xml:space="preserve">Subscription_Revenue_USD</t>
  </si>
  <si>
    <t xml:space="preserve">Currency</t>
  </si>
  <si>
    <t xml:space="preserve">Revenue from Super/Family/Max subscriptions.</t>
  </si>
  <si>
    <t xml:space="preserve">Stacked column of revenue mix; largest revenue driver.</t>
  </si>
  <si>
    <t xml:space="preserve">Advertising_Revenue_USD</t>
  </si>
  <si>
    <t xml:space="preserve">Ad revenue from free users.</t>
  </si>
  <si>
    <t xml:space="preserve">Revenue mix chart.</t>
  </si>
  <si>
    <t xml:space="preserve">In_App_Purchase_Revenue_USD</t>
  </si>
  <si>
    <t xml:space="preserve">One-off in-app purchases (e.g. gems, streak repair).</t>
  </si>
  <si>
    <t xml:space="preserve">DET_Revenue_USD</t>
  </si>
  <si>
    <t xml:space="preserve">Duolingo English Test revenue.</t>
  </si>
  <si>
    <t xml:space="preserve">Total_Revenue_USD</t>
  </si>
  <si>
    <t xml:space="preserve">All revenue streams combined.</t>
  </si>
  <si>
    <t xml:space="preserve">Formula: Sub + Ads + IAP + DET</t>
  </si>
  <si>
    <t xml:space="preserve">KPI card; main trend line; treemap by Region.</t>
  </si>
  <si>
    <t xml:space="preserve">ARPPU_USD</t>
  </si>
  <si>
    <t xml:space="preserve">Monthly subscription revenue per paid subscriber.</t>
  </si>
  <si>
    <t xml:space="preserve">Formula: Subscription_Rev / Total_Paid</t>
  </si>
  <si>
    <t xml:space="preserve">Line chart; shows Max/pricing impact. Use weighted SUM/SUM at aggregate level.</t>
  </si>
  <si>
    <t xml:space="preserve">Revenue_per_DAU_USD</t>
  </si>
  <si>
    <t xml:space="preserve">Monthly monetization efficiency per daily user.</t>
  </si>
  <si>
    <t xml:space="preserve">Formula: Total_Revenue / DAU</t>
  </si>
  <si>
    <t xml:space="preserve">Line/bar by Region; compare monetization across markets.</t>
  </si>
  <si>
    <t xml:space="preserve">Marketing_Spend_USD</t>
  </si>
  <si>
    <t xml:space="preserve">Sales &amp; marketing spend allocated to the row.</t>
  </si>
  <si>
    <t xml:space="preserve">Spend vs. signups combo chart.</t>
  </si>
  <si>
    <t xml:space="preserve">Cost_per_Signup_USD</t>
  </si>
  <si>
    <t xml:space="preserve">Marketing cost per new signup.</t>
  </si>
  <si>
    <t xml:space="preserve">Formula: Marketing_Spend / New_Signups</t>
  </si>
  <si>
    <t xml:space="preserve">Bar by Region; efficiency KPI.</t>
  </si>
  <si>
    <t xml:space="preserve">Lessons_Completed</t>
  </si>
  <si>
    <t xml:space="preserve">Total lessons completed in the month.</t>
  </si>
  <si>
    <t xml:space="preserve">Engagement KPI; trend line.</t>
  </si>
  <si>
    <t xml:space="preserve">Avg_Session_Minutes</t>
  </si>
  <si>
    <t xml:space="preserve">Decimal</t>
  </si>
  <si>
    <t xml:space="preserve">Average minutes per session.</t>
  </si>
  <si>
    <t xml:space="preserve">Bar by Platform; line trend.</t>
  </si>
  <si>
    <t xml:space="preserve">Avg_Streak_Days</t>
  </si>
  <si>
    <t xml:space="preserve">Average current streak length of active users, in days.</t>
  </si>
  <si>
    <t xml:space="preserve">KPI card; streaks are Duolingo's core habit mechanic.</t>
  </si>
  <si>
    <t xml:space="preserve">Pct_DAU_With_7Day_Streak</t>
  </si>
  <si>
    <t xml:space="preserve">Share of DAU with a streak of 7+ days.</t>
  </si>
  <si>
    <t xml:space="preserve">Gauge / trend line for habit strength.</t>
  </si>
  <si>
    <t xml:space="preserve">D1_Retention</t>
  </si>
  <si>
    <t xml:space="preserve">Share of new users returning on day 1.</t>
  </si>
  <si>
    <t xml:space="preserve">Retention line chart; compare by Region. Average weighted by New_Signups.</t>
  </si>
  <si>
    <t xml:space="preserve">D7_Retention</t>
  </si>
  <si>
    <t xml:space="preserve">Share of new users returning on day 7.</t>
  </si>
  <si>
    <t xml:space="preserve">Retention line chart.</t>
  </si>
  <si>
    <t xml:space="preserve">D30_Retention</t>
  </si>
  <si>
    <t xml:space="preserve">Share of new users returning on day 30.</t>
  </si>
  <si>
    <t xml:space="preserve">Retention line chart; retention 'curve' visual using D1/D7/D30 as points.</t>
  </si>
  <si>
    <t xml:space="preserve">App_Store_Rating</t>
  </si>
  <si>
    <t xml:space="preserve">Average store rating (1-5). Blank for Web rows.</t>
  </si>
  <si>
    <t xml:space="preserve">KPI card; line chart for iOS vs Android.</t>
  </si>
  <si>
    <t xml:space="preserve">Fact_Language</t>
  </si>
  <si>
    <t xml:space="preserve">First day of the month. Grain = Month x Language (396 rows).</t>
  </si>
  <si>
    <t xml:space="preserve">Time axis; date slicer.</t>
  </si>
  <si>
    <t xml:space="preserve">Calendar year.</t>
  </si>
  <si>
    <t xml:space="preserve">Year slicer.</t>
  </si>
  <si>
    <t xml:space="preserve">Quarter slicer.</t>
  </si>
  <si>
    <t xml:space="preserve">Language</t>
  </si>
  <si>
    <t xml:space="preserve">Language being learned (11 values).</t>
  </si>
  <si>
    <t xml:space="preserve">Language slicer; ranked bar chart / bar-chart-race.</t>
  </si>
  <si>
    <t xml:space="preserve">Language_Family</t>
  </si>
  <si>
    <t xml:space="preserve">Germanic, Romance, East Asian, South Asian, Other.</t>
  </si>
  <si>
    <t xml:space="preserve">Treemap / sunburst grouping; family-level filters.</t>
  </si>
  <si>
    <t xml:space="preserve">Active_Learners</t>
  </si>
  <si>
    <t xml:space="preserve">Learners active in that language in the month (learners can study several).</t>
  </si>
  <si>
    <t xml:space="preserve">Ranked bar; area chart of language mix over time.</t>
  </si>
  <si>
    <t xml:space="preserve">New_Learners</t>
  </si>
  <si>
    <t xml:space="preserve">Learners who started the language this month.</t>
  </si>
  <si>
    <t xml:space="preserve">Growth chart - shows fast risers (Korean, Hindi, Chinese).</t>
  </si>
  <si>
    <t xml:space="preserve">Lessons completed in that language.</t>
  </si>
  <si>
    <t xml:space="preserve">Engagement by language.</t>
  </si>
  <si>
    <t xml:space="preserve">Avg_Daily_XP_per_Learner</t>
  </si>
  <si>
    <t xml:space="preserve">Average XP earned per active day per learner.</t>
  </si>
  <si>
    <t xml:space="preserve">Bar chart; engagement intensity by language.</t>
  </si>
  <si>
    <t xml:space="preserve">Course_Completion_Rate</t>
  </si>
  <si>
    <t xml:space="preserve">Share of active learners who completed a course section this month.</t>
  </si>
  <si>
    <t xml:space="preserve">Scatter (learners vs. completion) to find hard/easy courses.</t>
  </si>
  <si>
    <t xml:space="preserve">Average streak length among learners of that language.</t>
  </si>
  <si>
    <t xml:space="preserve">Bar by language.</t>
  </si>
  <si>
    <t xml:space="preserve">Share_of_Total_Learners</t>
  </si>
  <si>
    <t xml:space="preserve">Language share of that month's learners.</t>
  </si>
  <si>
    <t xml:space="preserve">Formula: Active_Learners / SUM(Active_Learners in same month)</t>
  </si>
  <si>
    <t xml:space="preserve">100% stacked area; donut for selected month.</t>
  </si>
  <si>
    <t xml:space="preserve">Quarterly_Summary</t>
  </si>
  <si>
    <t xml:space="preserve">Year_Quarter ... Revenue_QoQ</t>
  </si>
  <si>
    <t xml:space="preserve">Mixed</t>
  </si>
  <si>
    <t xml:space="preserve">Pre-aggregated quarterly KPIs: revenue by stream, avg DAU/MAU, quarter-end paid subs, marketing spend, subscription share, YoY and QoQ growth.</t>
  </si>
  <si>
    <t xml:space="preserve">SUMIFS on Fact_Monthly</t>
  </si>
  <si>
    <t xml:space="preserve">Ready-made source for headline KPI cards and quarterly trend charts (Year-over-year growth badges).</t>
  </si>
  <si>
    <t xml:space="preserve">Annual Summary block</t>
  </si>
  <si>
    <t xml:space="preserve">FY2023-FY2025 revenue, YoY growth, avg DAU, year-end paid subs, subscription share, marketing spend.</t>
  </si>
  <si>
    <t xml:space="preserve">Annual KPI header strip; FY comparison table.</t>
  </si>
  <si>
    <t xml:space="preserve">Events</t>
  </si>
  <si>
    <t xml:space="preserve">Month of the milestone.</t>
  </si>
  <si>
    <t xml:space="preserve">Vertical reference line on trend charts.</t>
  </si>
  <si>
    <t xml:space="preserve">Event / Category</t>
  </si>
  <si>
    <t xml:space="preserve">Milestone description and type (Product, Marketing, Content).</t>
  </si>
  <si>
    <t xml:space="preserve">Tooltip / annotation labels on trend charts.</t>
  </si>
  <si>
    <t xml:space="preserve">North America</t>
  </si>
  <si>
    <t xml:space="preserve">iOS</t>
  </si>
  <si>
    <t xml:space="preserve">Android</t>
  </si>
  <si>
    <t xml:space="preserve">Web</t>
  </si>
  <si>
    <t xml:space="preserve">Europe</t>
  </si>
  <si>
    <t xml:space="preserve">Asia Pacific</t>
  </si>
  <si>
    <t xml:space="preserve">Latin America</t>
  </si>
  <si>
    <t xml:space="preserve">Middle East &amp; Africa</t>
  </si>
  <si>
    <t xml:space="preserve">South Asia</t>
  </si>
  <si>
    <t xml:space="preserve">English</t>
  </si>
  <si>
    <t xml:space="preserve">Germanic</t>
  </si>
  <si>
    <t xml:space="preserve">Spanish</t>
  </si>
  <si>
    <t xml:space="preserve">Romance</t>
  </si>
  <si>
    <t xml:space="preserve">French</t>
  </si>
  <si>
    <t xml:space="preserve">German</t>
  </si>
  <si>
    <t xml:space="preserve">Japanese</t>
  </si>
  <si>
    <t xml:space="preserve">East Asian</t>
  </si>
  <si>
    <t xml:space="preserve">Korean</t>
  </si>
  <si>
    <t xml:space="preserve">Italian</t>
  </si>
  <si>
    <t xml:space="preserve">Portuguese</t>
  </si>
  <si>
    <t xml:space="preserve">Chinese (Mandarin)</t>
  </si>
  <si>
    <t xml:space="preserve">Hindi</t>
  </si>
  <si>
    <t xml:space="preserve">South Asian</t>
  </si>
  <si>
    <t xml:space="preserve">Other Languages</t>
  </si>
  <si>
    <t xml:space="preserve">Other</t>
  </si>
  <si>
    <t xml:space="preserve">Quarterly &amp; Annual Summary (all values calculated from Fact_Monthly)</t>
  </si>
  <si>
    <t xml:space="preserve">Sample / illustrative data. Formulas use SUMIFS on Fact_Monthly, so this sheet updates automatically if you edit or extend the fact table.</t>
  </si>
  <si>
    <t xml:space="preserve">Quarter_Start</t>
  </si>
  <si>
    <t xml:space="preserve">Subscription_Rev_USD</t>
  </si>
  <si>
    <t xml:space="preserve">Advertising_Rev_USD</t>
  </si>
  <si>
    <t xml:space="preserve">IAP_Rev_USD</t>
  </si>
  <si>
    <t xml:space="preserve">DET_Rev_USD</t>
  </si>
  <si>
    <t xml:space="preserve">Avg_DAU</t>
  </si>
  <si>
    <t xml:space="preserve">Avg_MAU</t>
  </si>
  <si>
    <t xml:space="preserve">Quarter_End_Paid_Subs</t>
  </si>
  <si>
    <t xml:space="preserve">Subscription_Share</t>
  </si>
  <si>
    <t xml:space="preserve">Revenue_YoY</t>
  </si>
  <si>
    <t xml:space="preserve">DAU_YoY</t>
  </si>
  <si>
    <t xml:space="preserve">Paid_Subs_YoY</t>
  </si>
  <si>
    <t xml:space="preserve">Revenue_QoQ</t>
  </si>
  <si>
    <t xml:space="preserve">2023-Q1</t>
  </si>
  <si>
    <t xml:space="preserve">n/a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</si>
  <si>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</si>
  <si>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</si>
  <si>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</si>
  <si>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</si>
  <si>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</si>
  <si>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</si>
  <si>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</si>
  <si>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</si>
  <si>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</si>
  <si>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</si>
  <si>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</si>
  <si>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Annual Summary</t>
  </si>
  <si>
    <t xml:space="preserve">Year_End_Paid_Subs</t>
  </si>
  <si>
    <t xml:space="preserve">Event</t>
  </si>
  <si>
    <t xml:space="preserve">Category</t>
  </si>
  <si>
    <t xml:space="preserve">Dashboard_Use</t>
  </si>
  <si>
    <t xml:space="preserve">Duolingo Max (GPT-4 powered tier) launched</t>
  </si>
  <si>
    <t xml:space="preserve">Product</t>
  </si>
  <si>
    <t xml:space="preserve">Annotation on Max_Subscribers / ARPPU trend</t>
  </si>
  <si>
    <t xml:space="preserve">'Death of Duo' viral social campaign</t>
  </si>
  <si>
    <t xml:space="preserve">Marketing</t>
  </si>
  <si>
    <t xml:space="preserve">Annotation on New_Signups / DAU spike</t>
  </si>
  <si>
    <t xml:space="preserve">148 new AI-generated language courses announced</t>
  </si>
  <si>
    <t xml:space="preserve">Content</t>
  </si>
  <si>
    <t xml:space="preserve">Annotation on Fact_Language learners (Hindi, Chinese, Korean, etc.)</t>
  </si>
  <si>
    <t xml:space="preserve">Dates are month-level; confirm exact dates against Duolingo announcements before publishing. Add your own rows below.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</si>
</sst>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General"/>
    <numFmt numFmtId="167" formatCode="#,##0"/>
    <numFmt numFmtId="168" formatCode="0.0%"/>
    <numFmt numFmtId="169" formatCode="\$#,##0"/>
    <numFmt numFmtId="170" formatCode="\$#,##0.00"/>
    <numFmt numFmtId="171" formatCode="0.0"/>
    <numFmt numFmtId="172" formatCode="0.00"/>
    <numFmt numFmtId="173" formatCode="0"/>
    <numFmt numFmtId="174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58A70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58A7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8A700"/>
        <bgColor rgb="FF339966"/>
      </patternFill>
    </fill>
    <fill>
      <patternFill patternType="solid">
        <fgColor rgb="FFFFF4CC"/>
        <bgColor rgb="FFEAF7DA"/>
      </patternFill>
    </fill>
    <fill>
      <patternFill patternType="solid">
        <fgColor rgb="FFEAF7DA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58A7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EAF7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8A7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7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nguage" displayName="tblLanguage" ref="A1:L397" headerRowCount="1" totalsRowCount="0" totalsRowShown="0">
  <autoFilter ref="A1:L397"/>
  <tableColumns count="12">
    <tableColumn id="1" name="Date"/>
    <tableColumn id="2" name="Year"/>
    <tableColumn id="3" name="Quarter"/>
    <tableColumn id="4" name="Language"/>
    <tableColumn id="5" name="Language_Family"/>
    <tableColumn id="6" name="Active_Learners"/>
    <tableColumn id="7" name="New_Learners"/>
    <tableColumn id="8" name="Lessons_Completed"/>
    <tableColumn id="9" name="Avg_Daily_XP_per_Learner"/>
    <tableColumn id="10" name="Course_Completion_Rate"/>
    <tableColumn id="11" name="Avg_Streak_Days"/>
    <tableColumn id="12" name="Share_of_Total_Learners"/>
  </tableColumns>
</table>
</file>

<file path=xl/tables/table2.xml><?xml version="1.0" encoding="utf-8"?>
<table xmlns="http://schemas.openxmlformats.org/spreadsheetml/2006/main" id="2" name="tblMonthly" displayName="tblMonthly" ref="A1:AI649" headerRowCount="1" totalsRowCount="0" totalsRowShown="0">
  <autoFilter ref="A1:AI649"/>
  <tableColumns count="35">
    <tableColumn id="1" name="Date"/>
    <tableColumn id="2" name="Year"/>
    <tableColumn id="3" name="Quarter"/>
    <tableColumn id="4" name="Year_Quarter"/>
    <tableColumn id="5" name="Month_Num"/>
    <tableColumn id="6" name="Month_Name"/>
    <tableColumn id="7" name="Region"/>
    <tableColumn id="8" name="Platform"/>
    <tableColumn id="9" name="Monthly_Active_Users"/>
    <tableColumn id="10" name="Daily_Active_Users"/>
    <tableColumn id="11" name="DAU_MAU_Ratio"/>
    <tableColumn id="12" name="New_Signups"/>
    <tableColumn id="13" name="Super_Subscribers"/>
    <tableColumn id="14" name="Family_Plan_Subscribers"/>
    <tableColumn id="15" name="Max_Subscribers"/>
    <tableColumn id="16" name="Total_Paid_Subscribers"/>
    <tableColumn id="17" name="Paid_Conversion_Rate"/>
    <tableColumn id="18" name="Monthly_Paid_Churn_Pct"/>
    <tableColumn id="19" name="Subscription_Revenue_USD"/>
    <tableColumn id="20" name="Advertising_Revenue_USD"/>
    <tableColumn id="21" name="In_App_Purchase_Revenue_USD"/>
    <tableColumn id="22" name="DET_Revenue_USD"/>
    <tableColumn id="23" name="Total_Revenue_USD"/>
    <tableColumn id="24" name="ARPPU_USD"/>
    <tableColumn id="25" name="Revenue_per_DAU_USD"/>
    <tableColumn id="26" name="Marketing_Spend_USD"/>
    <tableColumn id="27" name="Cost_per_Signup_USD"/>
    <tableColumn id="28" name="Lessons_Completed"/>
    <tableColumn id="29" name="Avg_Session_Minutes"/>
    <tableColumn id="30" name="Avg_Streak_Days"/>
    <tableColumn id="31" name="Pct_DAU_With_7Day_Streak"/>
    <tableColumn id="32" name="D1_Retention"/>
    <tableColumn id="33" name="D7_Retention"/>
    <tableColumn id="34" name="D30_Retention"/>
    <tableColumn id="35" name="App_Store_Ra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5" hidden="false" customHeight="true" outlineLevel="0" collapsed="false">
      <c r="B5" s="3" t="s">
        <v>2</v>
      </c>
    </row>
    <row r="6" customFormat="false" ht="67.5" hidden="false" customHeight="true" outlineLevel="0" collapsed="false">
      <c r="B6" s="4" t="s">
        <v>3</v>
      </c>
    </row>
    <row r="7" customFormat="false" ht="19.5" hidden="false" customHeight="true" outlineLevel="0" collapsed="false">
      <c r="B7" s="3" t="s">
        <v>4</v>
      </c>
    </row>
    <row r="8" customFormat="false" ht="33.75" hidden="false" customHeight="true" outlineLevel="0" collapsed="false">
      <c r="B8" s="5" t="s">
        <v>5</v>
      </c>
    </row>
    <row r="9" customFormat="false" ht="18.75" hidden="false" customHeight="true" outlineLevel="0" collapsed="false">
      <c r="B9" s="5" t="s">
        <v>6</v>
      </c>
    </row>
    <row r="10" customFormat="false" ht="33.75" hidden="false" customHeight="true" outlineLevel="0" collapsed="false">
      <c r="B10" s="5" t="s">
        <v>7</v>
      </c>
    </row>
    <row r="11" customFormat="false" ht="18.75" hidden="false" customHeight="true" outlineLevel="0" collapsed="false">
      <c r="B11" s="5" t="s">
        <v>8</v>
      </c>
    </row>
    <row r="12" customFormat="false" ht="33.75" hidden="false" customHeight="true" outlineLevel="0" collapsed="false">
      <c r="B12" s="5" t="s">
        <v>9</v>
      </c>
    </row>
    <row r="13" customFormat="false" ht="19.5" hidden="false" customHeight="true" outlineLevel="0" collapsed="false">
      <c r="B13" s="3" t="s">
        <v>10</v>
      </c>
    </row>
    <row r="14" customFormat="false" ht="33.75" hidden="false" customHeight="true" outlineLevel="0" collapsed="false">
      <c r="B14" s="5" t="s">
        <v>11</v>
      </c>
    </row>
    <row r="15" customFormat="false" ht="33.75" hidden="false" customHeight="true" outlineLevel="0" collapsed="false">
      <c r="B15" s="5" t="s">
        <v>12</v>
      </c>
    </row>
    <row r="16" customFormat="false" ht="33.75" hidden="false" customHeight="true" outlineLevel="0" collapsed="false">
      <c r="B16" s="5" t="s">
        <v>13</v>
      </c>
    </row>
    <row r="17" customFormat="false" ht="33.75" hidden="false" customHeight="true" outlineLevel="0" collapsed="false">
      <c r="B17" s="5" t="s">
        <v>14</v>
      </c>
    </row>
    <row r="18" customFormat="false" ht="33.75" hidden="false" customHeight="true" outlineLevel="0" collapsed="false">
      <c r="B18" s="5" t="s">
        <v>15</v>
      </c>
    </row>
    <row r="19" customFormat="false" ht="19.5" hidden="false" customHeight="true" outlineLevel="0" collapsed="false">
      <c r="B19" s="3" t="s">
        <v>16</v>
      </c>
    </row>
    <row r="20" customFormat="false" ht="48.75" hidden="false" customHeight="true" outlineLevel="0" collapsed="false">
      <c r="B20" s="5" t="s">
        <v>17</v>
      </c>
    </row>
    <row r="21" customFormat="false" ht="33.75" hidden="false" customHeight="true" outlineLevel="0" collapsed="false">
      <c r="B21" s="5" t="s">
        <v>18</v>
      </c>
    </row>
    <row r="22" customFormat="false" ht="18.75" hidden="false" customHeight="true" outlineLevel="0" collapsed="false">
      <c r="B22" s="5" t="s">
        <v>19</v>
      </c>
    </row>
    <row r="23" customFormat="false" ht="18.75" hidden="false" customHeight="true" outlineLevel="0" collapsed="false">
      <c r="B23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58"/>
    <col collapsed="false" customWidth="true" hidden="false" outlineLevel="0" max="6" min="6" style="0" width="36"/>
    <col collapsed="false" customWidth="true" hidden="false" outlineLevel="0" max="7" min="7" style="0" width="62"/>
    <col collapsed="false" customWidth="true" hidden="false" outlineLevel="0" max="8" min="8" style="0" width="11"/>
  </cols>
  <sheetData>
    <row r="1" customFormat="false" ht="31.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</row>
    <row r="2" customFormat="false" ht="23.85" hidden="false" customHeight="false" outlineLevel="0" collapsed="false">
      <c r="A2" s="7" t="s">
        <v>29</v>
      </c>
      <c r="B2" s="7" t="s">
        <v>30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8" t="s">
        <v>35</v>
      </c>
    </row>
    <row r="3" customFormat="false" ht="15" hidden="false" customHeight="false" outlineLevel="0" collapsed="false">
      <c r="A3" s="7" t="s">
        <v>29</v>
      </c>
      <c r="B3" s="7" t="s">
        <v>36</v>
      </c>
      <c r="C3" s="7" t="s">
        <v>37</v>
      </c>
      <c r="D3" s="7" t="s">
        <v>31</v>
      </c>
      <c r="E3" s="7" t="s">
        <v>38</v>
      </c>
      <c r="F3" s="7" t="s">
        <v>39</v>
      </c>
      <c r="G3" s="7" t="s">
        <v>40</v>
      </c>
      <c r="H3" s="8" t="s">
        <v>35</v>
      </c>
    </row>
    <row r="4" customFormat="false" ht="23.85" hidden="false" customHeight="false" outlineLevel="0" collapsed="false">
      <c r="A4" s="7" t="s">
        <v>29</v>
      </c>
      <c r="B4" s="7" t="s">
        <v>41</v>
      </c>
      <c r="C4" s="7" t="s">
        <v>42</v>
      </c>
      <c r="D4" s="7" t="s">
        <v>31</v>
      </c>
      <c r="E4" s="7" t="s">
        <v>43</v>
      </c>
      <c r="F4" s="7" t="s">
        <v>44</v>
      </c>
      <c r="G4" s="7" t="s">
        <v>45</v>
      </c>
      <c r="H4" s="8" t="s">
        <v>35</v>
      </c>
    </row>
    <row r="5" customFormat="false" ht="15" hidden="false" customHeight="false" outlineLevel="0" collapsed="false">
      <c r="A5" s="7" t="s">
        <v>29</v>
      </c>
      <c r="B5" s="7" t="s">
        <v>46</v>
      </c>
      <c r="C5" s="7" t="s">
        <v>42</v>
      </c>
      <c r="D5" s="7" t="s">
        <v>31</v>
      </c>
      <c r="E5" s="7" t="s">
        <v>47</v>
      </c>
      <c r="F5" s="7" t="s">
        <v>48</v>
      </c>
      <c r="G5" s="7" t="s">
        <v>49</v>
      </c>
      <c r="H5" s="8" t="s">
        <v>35</v>
      </c>
    </row>
    <row r="6" customFormat="false" ht="15" hidden="false" customHeight="false" outlineLevel="0" collapsed="false">
      <c r="A6" s="7" t="s">
        <v>29</v>
      </c>
      <c r="B6" s="7" t="s">
        <v>50</v>
      </c>
      <c r="C6" s="7" t="s">
        <v>37</v>
      </c>
      <c r="D6" s="7" t="s">
        <v>31</v>
      </c>
      <c r="E6" s="7" t="s">
        <v>51</v>
      </c>
      <c r="F6" s="7" t="s">
        <v>52</v>
      </c>
      <c r="G6" s="7" t="s">
        <v>53</v>
      </c>
      <c r="H6" s="7" t="s">
        <v>54</v>
      </c>
    </row>
    <row r="7" customFormat="false" ht="15" hidden="false" customHeight="false" outlineLevel="0" collapsed="false">
      <c r="A7" s="7" t="s">
        <v>29</v>
      </c>
      <c r="B7" s="7" t="s">
        <v>55</v>
      </c>
      <c r="C7" s="7" t="s">
        <v>42</v>
      </c>
      <c r="D7" s="7" t="s">
        <v>31</v>
      </c>
      <c r="E7" s="7" t="s">
        <v>56</v>
      </c>
      <c r="F7" s="7" t="s">
        <v>57</v>
      </c>
      <c r="G7" s="7" t="s">
        <v>58</v>
      </c>
      <c r="H7" s="7" t="s">
        <v>54</v>
      </c>
    </row>
    <row r="8" customFormat="false" ht="23.85" hidden="false" customHeight="false" outlineLevel="0" collapsed="false">
      <c r="A8" s="7" t="s">
        <v>29</v>
      </c>
      <c r="B8" s="7" t="s">
        <v>59</v>
      </c>
      <c r="C8" s="7" t="s">
        <v>42</v>
      </c>
      <c r="D8" s="7" t="s">
        <v>31</v>
      </c>
      <c r="E8" s="7" t="s">
        <v>60</v>
      </c>
      <c r="F8" s="7" t="s">
        <v>33</v>
      </c>
      <c r="G8" s="7" t="s">
        <v>61</v>
      </c>
      <c r="H8" s="8" t="s">
        <v>35</v>
      </c>
    </row>
    <row r="9" customFormat="false" ht="15" hidden="false" customHeight="false" outlineLevel="0" collapsed="false">
      <c r="A9" s="7" t="s">
        <v>29</v>
      </c>
      <c r="B9" s="7" t="s">
        <v>62</v>
      </c>
      <c r="C9" s="7" t="s">
        <v>42</v>
      </c>
      <c r="D9" s="7" t="s">
        <v>31</v>
      </c>
      <c r="E9" s="7" t="s">
        <v>63</v>
      </c>
      <c r="F9" s="7" t="s">
        <v>33</v>
      </c>
      <c r="G9" s="7" t="s">
        <v>64</v>
      </c>
      <c r="H9" s="8" t="s">
        <v>35</v>
      </c>
    </row>
    <row r="10" customFormat="false" ht="15" hidden="false" customHeight="false" outlineLevel="0" collapsed="false">
      <c r="A10" s="7" t="s">
        <v>29</v>
      </c>
      <c r="B10" s="7" t="s">
        <v>65</v>
      </c>
      <c r="C10" s="7" t="s">
        <v>37</v>
      </c>
      <c r="D10" s="7" t="s">
        <v>66</v>
      </c>
      <c r="E10" s="7" t="s">
        <v>67</v>
      </c>
      <c r="F10" s="7" t="s">
        <v>33</v>
      </c>
      <c r="G10" s="7" t="s">
        <v>68</v>
      </c>
      <c r="H10" s="8" t="s">
        <v>35</v>
      </c>
    </row>
    <row r="11" customFormat="false" ht="23.85" hidden="false" customHeight="false" outlineLevel="0" collapsed="false">
      <c r="A11" s="7" t="s">
        <v>29</v>
      </c>
      <c r="B11" s="7" t="s">
        <v>69</v>
      </c>
      <c r="C11" s="7" t="s">
        <v>37</v>
      </c>
      <c r="D11" s="7" t="s">
        <v>66</v>
      </c>
      <c r="E11" s="7" t="s">
        <v>70</v>
      </c>
      <c r="F11" s="7" t="s">
        <v>33</v>
      </c>
      <c r="G11" s="7" t="s">
        <v>71</v>
      </c>
      <c r="H11" s="8" t="s">
        <v>35</v>
      </c>
    </row>
    <row r="12" customFormat="false" ht="23.85" hidden="false" customHeight="false" outlineLevel="0" collapsed="false">
      <c r="A12" s="7" t="s">
        <v>29</v>
      </c>
      <c r="B12" s="7" t="s">
        <v>72</v>
      </c>
      <c r="C12" s="7" t="s">
        <v>73</v>
      </c>
      <c r="D12" s="9" t="s">
        <v>74</v>
      </c>
      <c r="E12" s="7" t="s">
        <v>75</v>
      </c>
      <c r="F12" s="7" t="s">
        <v>76</v>
      </c>
      <c r="G12" s="7" t="s">
        <v>77</v>
      </c>
      <c r="H12" s="8" t="s">
        <v>35</v>
      </c>
    </row>
    <row r="13" customFormat="false" ht="15" hidden="false" customHeight="false" outlineLevel="0" collapsed="false">
      <c r="A13" s="7" t="s">
        <v>29</v>
      </c>
      <c r="B13" s="7" t="s">
        <v>78</v>
      </c>
      <c r="C13" s="7" t="s">
        <v>37</v>
      </c>
      <c r="D13" s="7" t="s">
        <v>66</v>
      </c>
      <c r="E13" s="7" t="s">
        <v>79</v>
      </c>
      <c r="F13" s="7" t="s">
        <v>33</v>
      </c>
      <c r="G13" s="7" t="s">
        <v>80</v>
      </c>
      <c r="H13" s="8" t="s">
        <v>35</v>
      </c>
    </row>
    <row r="14" customFormat="false" ht="15" hidden="false" customHeight="false" outlineLevel="0" collapsed="false">
      <c r="A14" s="7" t="s">
        <v>29</v>
      </c>
      <c r="B14" s="7" t="s">
        <v>81</v>
      </c>
      <c r="C14" s="7" t="s">
        <v>37</v>
      </c>
      <c r="D14" s="7" t="s">
        <v>66</v>
      </c>
      <c r="E14" s="7" t="s">
        <v>82</v>
      </c>
      <c r="F14" s="7" t="s">
        <v>33</v>
      </c>
      <c r="G14" s="7" t="s">
        <v>83</v>
      </c>
      <c r="H14" s="7" t="s">
        <v>54</v>
      </c>
    </row>
    <row r="15" customFormat="false" ht="15" hidden="false" customHeight="false" outlineLevel="0" collapsed="false">
      <c r="A15" s="7" t="s">
        <v>29</v>
      </c>
      <c r="B15" s="7" t="s">
        <v>84</v>
      </c>
      <c r="C15" s="7" t="s">
        <v>37</v>
      </c>
      <c r="D15" s="7" t="s">
        <v>66</v>
      </c>
      <c r="E15" s="7" t="s">
        <v>85</v>
      </c>
      <c r="F15" s="7" t="s">
        <v>33</v>
      </c>
      <c r="G15" s="7" t="s">
        <v>83</v>
      </c>
      <c r="H15" s="7" t="s">
        <v>54</v>
      </c>
    </row>
    <row r="16" customFormat="false" ht="15" hidden="false" customHeight="false" outlineLevel="0" collapsed="false">
      <c r="A16" s="7" t="s">
        <v>29</v>
      </c>
      <c r="B16" s="7" t="s">
        <v>86</v>
      </c>
      <c r="C16" s="7" t="s">
        <v>37</v>
      </c>
      <c r="D16" s="7" t="s">
        <v>66</v>
      </c>
      <c r="E16" s="7" t="s">
        <v>87</v>
      </c>
      <c r="F16" s="7" t="s">
        <v>33</v>
      </c>
      <c r="G16" s="7" t="s">
        <v>88</v>
      </c>
      <c r="H16" s="8" t="s">
        <v>35</v>
      </c>
    </row>
    <row r="17" customFormat="false" ht="15" hidden="false" customHeight="false" outlineLevel="0" collapsed="false">
      <c r="A17" s="7" t="s">
        <v>29</v>
      </c>
      <c r="B17" s="7" t="s">
        <v>89</v>
      </c>
      <c r="C17" s="7" t="s">
        <v>37</v>
      </c>
      <c r="D17" s="9" t="s">
        <v>74</v>
      </c>
      <c r="E17" s="7" t="s">
        <v>90</v>
      </c>
      <c r="F17" s="7" t="s">
        <v>91</v>
      </c>
      <c r="G17" s="7" t="s">
        <v>92</v>
      </c>
      <c r="H17" s="8" t="s">
        <v>35</v>
      </c>
    </row>
    <row r="18" customFormat="false" ht="15" hidden="false" customHeight="false" outlineLevel="0" collapsed="false">
      <c r="A18" s="7" t="s">
        <v>29</v>
      </c>
      <c r="B18" s="7" t="s">
        <v>93</v>
      </c>
      <c r="C18" s="7" t="s">
        <v>73</v>
      </c>
      <c r="D18" s="9" t="s">
        <v>74</v>
      </c>
      <c r="E18" s="7" t="s">
        <v>94</v>
      </c>
      <c r="F18" s="7" t="s">
        <v>95</v>
      </c>
      <c r="G18" s="7" t="s">
        <v>96</v>
      </c>
      <c r="H18" s="8" t="s">
        <v>35</v>
      </c>
    </row>
    <row r="19" customFormat="false" ht="15" hidden="false" customHeight="false" outlineLevel="0" collapsed="false">
      <c r="A19" s="7" t="s">
        <v>29</v>
      </c>
      <c r="B19" s="7" t="s">
        <v>97</v>
      </c>
      <c r="C19" s="7" t="s">
        <v>73</v>
      </c>
      <c r="D19" s="7" t="s">
        <v>66</v>
      </c>
      <c r="E19" s="7" t="s">
        <v>98</v>
      </c>
      <c r="F19" s="7" t="s">
        <v>33</v>
      </c>
      <c r="G19" s="7" t="s">
        <v>99</v>
      </c>
      <c r="H19" s="8" t="s">
        <v>35</v>
      </c>
    </row>
    <row r="20" customFormat="false" ht="15" hidden="false" customHeight="false" outlineLevel="0" collapsed="false">
      <c r="A20" s="7" t="s">
        <v>29</v>
      </c>
      <c r="B20" s="7" t="s">
        <v>100</v>
      </c>
      <c r="C20" s="7" t="s">
        <v>101</v>
      </c>
      <c r="D20" s="7" t="s">
        <v>66</v>
      </c>
      <c r="E20" s="7" t="s">
        <v>102</v>
      </c>
      <c r="F20" s="7" t="s">
        <v>33</v>
      </c>
      <c r="G20" s="7" t="s">
        <v>103</v>
      </c>
      <c r="H20" s="8" t="s">
        <v>35</v>
      </c>
    </row>
    <row r="21" customFormat="false" ht="15" hidden="false" customHeight="false" outlineLevel="0" collapsed="false">
      <c r="A21" s="7" t="s">
        <v>29</v>
      </c>
      <c r="B21" s="7" t="s">
        <v>104</v>
      </c>
      <c r="C21" s="7" t="s">
        <v>101</v>
      </c>
      <c r="D21" s="7" t="s">
        <v>66</v>
      </c>
      <c r="E21" s="7" t="s">
        <v>105</v>
      </c>
      <c r="F21" s="7" t="s">
        <v>33</v>
      </c>
      <c r="G21" s="7" t="s">
        <v>106</v>
      </c>
      <c r="H21" s="7" t="s">
        <v>54</v>
      </c>
    </row>
    <row r="22" customFormat="false" ht="15" hidden="false" customHeight="false" outlineLevel="0" collapsed="false">
      <c r="A22" s="7" t="s">
        <v>29</v>
      </c>
      <c r="B22" s="7" t="s">
        <v>107</v>
      </c>
      <c r="C22" s="7" t="s">
        <v>101</v>
      </c>
      <c r="D22" s="7" t="s">
        <v>66</v>
      </c>
      <c r="E22" s="7" t="s">
        <v>108</v>
      </c>
      <c r="F22" s="7" t="s">
        <v>33</v>
      </c>
      <c r="G22" s="7" t="s">
        <v>106</v>
      </c>
      <c r="H22" s="7" t="s">
        <v>54</v>
      </c>
    </row>
    <row r="23" customFormat="false" ht="15" hidden="false" customHeight="false" outlineLevel="0" collapsed="false">
      <c r="A23" s="7" t="s">
        <v>29</v>
      </c>
      <c r="B23" s="7" t="s">
        <v>109</v>
      </c>
      <c r="C23" s="7" t="s">
        <v>101</v>
      </c>
      <c r="D23" s="7" t="s">
        <v>66</v>
      </c>
      <c r="E23" s="7" t="s">
        <v>110</v>
      </c>
      <c r="F23" s="7" t="s">
        <v>33</v>
      </c>
      <c r="G23" s="7" t="s">
        <v>106</v>
      </c>
      <c r="H23" s="7" t="s">
        <v>54</v>
      </c>
    </row>
    <row r="24" customFormat="false" ht="15" hidden="false" customHeight="false" outlineLevel="0" collapsed="false">
      <c r="A24" s="7" t="s">
        <v>29</v>
      </c>
      <c r="B24" s="7" t="s">
        <v>111</v>
      </c>
      <c r="C24" s="7" t="s">
        <v>101</v>
      </c>
      <c r="D24" s="9" t="s">
        <v>74</v>
      </c>
      <c r="E24" s="7" t="s">
        <v>112</v>
      </c>
      <c r="F24" s="7" t="s">
        <v>113</v>
      </c>
      <c r="G24" s="7" t="s">
        <v>114</v>
      </c>
      <c r="H24" s="8" t="s">
        <v>35</v>
      </c>
    </row>
    <row r="25" customFormat="false" ht="23.85" hidden="false" customHeight="false" outlineLevel="0" collapsed="false">
      <c r="A25" s="7" t="s">
        <v>29</v>
      </c>
      <c r="B25" s="7" t="s">
        <v>115</v>
      </c>
      <c r="C25" s="7" t="s">
        <v>101</v>
      </c>
      <c r="D25" s="9" t="s">
        <v>74</v>
      </c>
      <c r="E25" s="7" t="s">
        <v>116</v>
      </c>
      <c r="F25" s="7" t="s">
        <v>117</v>
      </c>
      <c r="G25" s="7" t="s">
        <v>118</v>
      </c>
      <c r="H25" s="7" t="s">
        <v>54</v>
      </c>
    </row>
    <row r="26" customFormat="false" ht="15" hidden="false" customHeight="false" outlineLevel="0" collapsed="false">
      <c r="A26" s="7" t="s">
        <v>29</v>
      </c>
      <c r="B26" s="7" t="s">
        <v>119</v>
      </c>
      <c r="C26" s="7" t="s">
        <v>101</v>
      </c>
      <c r="D26" s="9" t="s">
        <v>74</v>
      </c>
      <c r="E26" s="7" t="s">
        <v>120</v>
      </c>
      <c r="F26" s="7" t="s">
        <v>121</v>
      </c>
      <c r="G26" s="7" t="s">
        <v>122</v>
      </c>
      <c r="H26" s="7" t="s">
        <v>54</v>
      </c>
    </row>
    <row r="27" customFormat="false" ht="15" hidden="false" customHeight="false" outlineLevel="0" collapsed="false">
      <c r="A27" s="7" t="s">
        <v>29</v>
      </c>
      <c r="B27" s="7" t="s">
        <v>123</v>
      </c>
      <c r="C27" s="7" t="s">
        <v>101</v>
      </c>
      <c r="D27" s="7" t="s">
        <v>66</v>
      </c>
      <c r="E27" s="7" t="s">
        <v>124</v>
      </c>
      <c r="F27" s="7" t="s">
        <v>33</v>
      </c>
      <c r="G27" s="7" t="s">
        <v>125</v>
      </c>
      <c r="H27" s="7" t="s">
        <v>54</v>
      </c>
    </row>
    <row r="28" customFormat="false" ht="15" hidden="false" customHeight="false" outlineLevel="0" collapsed="false">
      <c r="A28" s="7" t="s">
        <v>29</v>
      </c>
      <c r="B28" s="7" t="s">
        <v>126</v>
      </c>
      <c r="C28" s="7" t="s">
        <v>101</v>
      </c>
      <c r="D28" s="9" t="s">
        <v>74</v>
      </c>
      <c r="E28" s="7" t="s">
        <v>127</v>
      </c>
      <c r="F28" s="7" t="s">
        <v>128</v>
      </c>
      <c r="G28" s="7" t="s">
        <v>129</v>
      </c>
      <c r="H28" s="7" t="s">
        <v>54</v>
      </c>
    </row>
    <row r="29" customFormat="false" ht="15" hidden="false" customHeight="false" outlineLevel="0" collapsed="false">
      <c r="A29" s="7" t="s">
        <v>29</v>
      </c>
      <c r="B29" s="7" t="s">
        <v>130</v>
      </c>
      <c r="C29" s="7" t="s">
        <v>37</v>
      </c>
      <c r="D29" s="7" t="s">
        <v>66</v>
      </c>
      <c r="E29" s="7" t="s">
        <v>131</v>
      </c>
      <c r="F29" s="7" t="s">
        <v>33</v>
      </c>
      <c r="G29" s="7" t="s">
        <v>132</v>
      </c>
      <c r="H29" s="7" t="s">
        <v>54</v>
      </c>
    </row>
    <row r="30" customFormat="false" ht="15" hidden="false" customHeight="false" outlineLevel="0" collapsed="false">
      <c r="A30" s="7" t="s">
        <v>29</v>
      </c>
      <c r="B30" s="7" t="s">
        <v>133</v>
      </c>
      <c r="C30" s="7" t="s">
        <v>134</v>
      </c>
      <c r="D30" s="7" t="s">
        <v>66</v>
      </c>
      <c r="E30" s="7" t="s">
        <v>135</v>
      </c>
      <c r="F30" s="7" t="s">
        <v>33</v>
      </c>
      <c r="G30" s="7" t="s">
        <v>136</v>
      </c>
      <c r="H30" s="7" t="s">
        <v>54</v>
      </c>
    </row>
    <row r="31" customFormat="false" ht="15" hidden="false" customHeight="false" outlineLevel="0" collapsed="false">
      <c r="A31" s="7" t="s">
        <v>29</v>
      </c>
      <c r="B31" s="7" t="s">
        <v>137</v>
      </c>
      <c r="C31" s="7" t="s">
        <v>134</v>
      </c>
      <c r="D31" s="7" t="s">
        <v>66</v>
      </c>
      <c r="E31" s="7" t="s">
        <v>138</v>
      </c>
      <c r="F31" s="7" t="s">
        <v>33</v>
      </c>
      <c r="G31" s="7" t="s">
        <v>139</v>
      </c>
      <c r="H31" s="8" t="s">
        <v>35</v>
      </c>
    </row>
    <row r="32" customFormat="false" ht="15" hidden="false" customHeight="false" outlineLevel="0" collapsed="false">
      <c r="A32" s="7" t="s">
        <v>29</v>
      </c>
      <c r="B32" s="7" t="s">
        <v>140</v>
      </c>
      <c r="C32" s="7" t="s">
        <v>73</v>
      </c>
      <c r="D32" s="7" t="s">
        <v>66</v>
      </c>
      <c r="E32" s="7" t="s">
        <v>141</v>
      </c>
      <c r="F32" s="7" t="s">
        <v>33</v>
      </c>
      <c r="G32" s="7" t="s">
        <v>142</v>
      </c>
      <c r="H32" s="7" t="s">
        <v>54</v>
      </c>
    </row>
    <row r="33" customFormat="false" ht="23.85" hidden="false" customHeight="false" outlineLevel="0" collapsed="false">
      <c r="A33" s="7" t="s">
        <v>29</v>
      </c>
      <c r="B33" s="7" t="s">
        <v>143</v>
      </c>
      <c r="C33" s="7" t="s">
        <v>73</v>
      </c>
      <c r="D33" s="7" t="s">
        <v>66</v>
      </c>
      <c r="E33" s="7" t="s">
        <v>144</v>
      </c>
      <c r="F33" s="7" t="s">
        <v>33</v>
      </c>
      <c r="G33" s="7" t="s">
        <v>145</v>
      </c>
      <c r="H33" s="8" t="s">
        <v>35</v>
      </c>
    </row>
    <row r="34" customFormat="false" ht="15" hidden="false" customHeight="false" outlineLevel="0" collapsed="false">
      <c r="A34" s="7" t="s">
        <v>29</v>
      </c>
      <c r="B34" s="7" t="s">
        <v>146</v>
      </c>
      <c r="C34" s="7" t="s">
        <v>73</v>
      </c>
      <c r="D34" s="7" t="s">
        <v>66</v>
      </c>
      <c r="E34" s="7" t="s">
        <v>147</v>
      </c>
      <c r="F34" s="7" t="s">
        <v>33</v>
      </c>
      <c r="G34" s="7" t="s">
        <v>148</v>
      </c>
      <c r="H34" s="8" t="s">
        <v>35</v>
      </c>
    </row>
    <row r="35" customFormat="false" ht="15" hidden="false" customHeight="false" outlineLevel="0" collapsed="false">
      <c r="A35" s="7" t="s">
        <v>29</v>
      </c>
      <c r="B35" s="7" t="s">
        <v>149</v>
      </c>
      <c r="C35" s="7" t="s">
        <v>73</v>
      </c>
      <c r="D35" s="7" t="s">
        <v>66</v>
      </c>
      <c r="E35" s="7" t="s">
        <v>150</v>
      </c>
      <c r="F35" s="7" t="s">
        <v>33</v>
      </c>
      <c r="G35" s="7" t="s">
        <v>151</v>
      </c>
      <c r="H35" s="8" t="s">
        <v>35</v>
      </c>
    </row>
    <row r="36" customFormat="false" ht="15" hidden="false" customHeight="false" outlineLevel="0" collapsed="false">
      <c r="A36" s="7" t="s">
        <v>29</v>
      </c>
      <c r="B36" s="7" t="s">
        <v>152</v>
      </c>
      <c r="C36" s="7" t="s">
        <v>134</v>
      </c>
      <c r="D36" s="7" t="s">
        <v>66</v>
      </c>
      <c r="E36" s="7" t="s">
        <v>153</v>
      </c>
      <c r="F36" s="7" t="s">
        <v>33</v>
      </c>
      <c r="G36" s="7" t="s">
        <v>154</v>
      </c>
      <c r="H36" s="7" t="s">
        <v>54</v>
      </c>
    </row>
    <row r="37" customFormat="false" ht="15" hidden="false" customHeight="false" outlineLevel="0" collapsed="false">
      <c r="A37" s="7" t="s">
        <v>155</v>
      </c>
      <c r="B37" s="7" t="s">
        <v>30</v>
      </c>
      <c r="C37" s="7" t="s">
        <v>30</v>
      </c>
      <c r="D37" s="7" t="s">
        <v>31</v>
      </c>
      <c r="E37" s="7" t="s">
        <v>156</v>
      </c>
      <c r="F37" s="7" t="s">
        <v>33</v>
      </c>
      <c r="G37" s="7" t="s">
        <v>157</v>
      </c>
      <c r="H37" s="8" t="s">
        <v>35</v>
      </c>
    </row>
    <row r="38" customFormat="false" ht="15" hidden="false" customHeight="false" outlineLevel="0" collapsed="false">
      <c r="A38" s="7" t="s">
        <v>155</v>
      </c>
      <c r="B38" s="7" t="s">
        <v>36</v>
      </c>
      <c r="C38" s="7" t="s">
        <v>37</v>
      </c>
      <c r="D38" s="7" t="s">
        <v>31</v>
      </c>
      <c r="E38" s="7" t="s">
        <v>158</v>
      </c>
      <c r="F38" s="7" t="s">
        <v>39</v>
      </c>
      <c r="G38" s="7" t="s">
        <v>159</v>
      </c>
      <c r="H38" s="8" t="s">
        <v>35</v>
      </c>
    </row>
    <row r="39" customFormat="false" ht="23.85" hidden="false" customHeight="false" outlineLevel="0" collapsed="false">
      <c r="A39" s="7" t="s">
        <v>155</v>
      </c>
      <c r="B39" s="7" t="s">
        <v>41</v>
      </c>
      <c r="C39" s="7" t="s">
        <v>42</v>
      </c>
      <c r="D39" s="7" t="s">
        <v>31</v>
      </c>
      <c r="E39" s="7" t="s">
        <v>43</v>
      </c>
      <c r="F39" s="7" t="s">
        <v>44</v>
      </c>
      <c r="G39" s="7" t="s">
        <v>160</v>
      </c>
      <c r="H39" s="7" t="s">
        <v>54</v>
      </c>
    </row>
    <row r="40" customFormat="false" ht="15" hidden="false" customHeight="false" outlineLevel="0" collapsed="false">
      <c r="A40" s="7" t="s">
        <v>155</v>
      </c>
      <c r="B40" s="7" t="s">
        <v>161</v>
      </c>
      <c r="C40" s="7" t="s">
        <v>42</v>
      </c>
      <c r="D40" s="7" t="s">
        <v>31</v>
      </c>
      <c r="E40" s="7" t="s">
        <v>162</v>
      </c>
      <c r="F40" s="7" t="s">
        <v>33</v>
      </c>
      <c r="G40" s="7" t="s">
        <v>163</v>
      </c>
      <c r="H40" s="8" t="s">
        <v>35</v>
      </c>
    </row>
    <row r="41" customFormat="false" ht="15" hidden="false" customHeight="false" outlineLevel="0" collapsed="false">
      <c r="A41" s="7" t="s">
        <v>155</v>
      </c>
      <c r="B41" s="7" t="s">
        <v>164</v>
      </c>
      <c r="C41" s="7" t="s">
        <v>42</v>
      </c>
      <c r="D41" s="7" t="s">
        <v>31</v>
      </c>
      <c r="E41" s="7" t="s">
        <v>165</v>
      </c>
      <c r="F41" s="7" t="s">
        <v>33</v>
      </c>
      <c r="G41" s="7" t="s">
        <v>166</v>
      </c>
      <c r="H41" s="7" t="s">
        <v>54</v>
      </c>
    </row>
    <row r="42" customFormat="false" ht="23.85" hidden="false" customHeight="false" outlineLevel="0" collapsed="false">
      <c r="A42" s="7" t="s">
        <v>155</v>
      </c>
      <c r="B42" s="7" t="s">
        <v>167</v>
      </c>
      <c r="C42" s="7" t="s">
        <v>37</v>
      </c>
      <c r="D42" s="7" t="s">
        <v>66</v>
      </c>
      <c r="E42" s="7" t="s">
        <v>168</v>
      </c>
      <c r="F42" s="7" t="s">
        <v>33</v>
      </c>
      <c r="G42" s="7" t="s">
        <v>169</v>
      </c>
      <c r="H42" s="8" t="s">
        <v>35</v>
      </c>
    </row>
    <row r="43" customFormat="false" ht="15" hidden="false" customHeight="false" outlineLevel="0" collapsed="false">
      <c r="A43" s="7" t="s">
        <v>155</v>
      </c>
      <c r="B43" s="7" t="s">
        <v>170</v>
      </c>
      <c r="C43" s="7" t="s">
        <v>37</v>
      </c>
      <c r="D43" s="7" t="s">
        <v>66</v>
      </c>
      <c r="E43" s="7" t="s">
        <v>171</v>
      </c>
      <c r="F43" s="7" t="s">
        <v>33</v>
      </c>
      <c r="G43" s="7" t="s">
        <v>172</v>
      </c>
      <c r="H43" s="8" t="s">
        <v>35</v>
      </c>
    </row>
    <row r="44" customFormat="false" ht="15" hidden="false" customHeight="false" outlineLevel="0" collapsed="false">
      <c r="A44" s="7" t="s">
        <v>155</v>
      </c>
      <c r="B44" s="7" t="s">
        <v>130</v>
      </c>
      <c r="C44" s="7" t="s">
        <v>37</v>
      </c>
      <c r="D44" s="7" t="s">
        <v>66</v>
      </c>
      <c r="E44" s="7" t="s">
        <v>173</v>
      </c>
      <c r="F44" s="7" t="s">
        <v>33</v>
      </c>
      <c r="G44" s="7" t="s">
        <v>174</v>
      </c>
      <c r="H44" s="7" t="s">
        <v>54</v>
      </c>
    </row>
    <row r="45" customFormat="false" ht="15" hidden="false" customHeight="false" outlineLevel="0" collapsed="false">
      <c r="A45" s="7" t="s">
        <v>155</v>
      </c>
      <c r="B45" s="7" t="s">
        <v>175</v>
      </c>
      <c r="C45" s="7" t="s">
        <v>134</v>
      </c>
      <c r="D45" s="7" t="s">
        <v>66</v>
      </c>
      <c r="E45" s="7" t="s">
        <v>176</v>
      </c>
      <c r="F45" s="7" t="s">
        <v>33</v>
      </c>
      <c r="G45" s="7" t="s">
        <v>177</v>
      </c>
      <c r="H45" s="7" t="s">
        <v>54</v>
      </c>
    </row>
    <row r="46" customFormat="false" ht="15" hidden="false" customHeight="false" outlineLevel="0" collapsed="false">
      <c r="A46" s="7" t="s">
        <v>155</v>
      </c>
      <c r="B46" s="7" t="s">
        <v>178</v>
      </c>
      <c r="C46" s="7" t="s">
        <v>73</v>
      </c>
      <c r="D46" s="7" t="s">
        <v>66</v>
      </c>
      <c r="E46" s="7" t="s">
        <v>179</v>
      </c>
      <c r="F46" s="7" t="s">
        <v>33</v>
      </c>
      <c r="G46" s="7" t="s">
        <v>180</v>
      </c>
      <c r="H46" s="7" t="s">
        <v>54</v>
      </c>
    </row>
    <row r="47" customFormat="false" ht="15" hidden="false" customHeight="false" outlineLevel="0" collapsed="false">
      <c r="A47" s="7" t="s">
        <v>155</v>
      </c>
      <c r="B47" s="7" t="s">
        <v>137</v>
      </c>
      <c r="C47" s="7" t="s">
        <v>134</v>
      </c>
      <c r="D47" s="7" t="s">
        <v>66</v>
      </c>
      <c r="E47" s="7" t="s">
        <v>181</v>
      </c>
      <c r="F47" s="7" t="s">
        <v>33</v>
      </c>
      <c r="G47" s="7" t="s">
        <v>182</v>
      </c>
      <c r="H47" s="7" t="s">
        <v>54</v>
      </c>
    </row>
    <row r="48" customFormat="false" ht="23.85" hidden="false" customHeight="false" outlineLevel="0" collapsed="false">
      <c r="A48" s="7" t="s">
        <v>155</v>
      </c>
      <c r="B48" s="7" t="s">
        <v>183</v>
      </c>
      <c r="C48" s="7" t="s">
        <v>73</v>
      </c>
      <c r="D48" s="9" t="s">
        <v>74</v>
      </c>
      <c r="E48" s="7" t="s">
        <v>184</v>
      </c>
      <c r="F48" s="7" t="s">
        <v>185</v>
      </c>
      <c r="G48" s="7" t="s">
        <v>186</v>
      </c>
      <c r="H48" s="8" t="s">
        <v>35</v>
      </c>
    </row>
    <row r="49" customFormat="false" ht="35.05" hidden="false" customHeight="false" outlineLevel="0" collapsed="false">
      <c r="A49" s="7" t="s">
        <v>187</v>
      </c>
      <c r="B49" s="7" t="s">
        <v>188</v>
      </c>
      <c r="C49" s="7" t="s">
        <v>189</v>
      </c>
      <c r="D49" s="9" t="s">
        <v>74</v>
      </c>
      <c r="E49" s="7" t="s">
        <v>190</v>
      </c>
      <c r="F49" s="7" t="s">
        <v>191</v>
      </c>
      <c r="G49" s="7" t="s">
        <v>192</v>
      </c>
      <c r="H49" s="8" t="s">
        <v>35</v>
      </c>
    </row>
    <row r="50" customFormat="false" ht="23.85" hidden="false" customHeight="false" outlineLevel="0" collapsed="false">
      <c r="A50" s="7" t="s">
        <v>187</v>
      </c>
      <c r="B50" s="7" t="s">
        <v>193</v>
      </c>
      <c r="C50" s="7" t="s">
        <v>189</v>
      </c>
      <c r="D50" s="9" t="s">
        <v>74</v>
      </c>
      <c r="E50" s="7" t="s">
        <v>194</v>
      </c>
      <c r="F50" s="7" t="s">
        <v>191</v>
      </c>
      <c r="G50" s="7" t="s">
        <v>195</v>
      </c>
      <c r="H50" s="7" t="s">
        <v>54</v>
      </c>
    </row>
    <row r="51" customFormat="false" ht="15" hidden="false" customHeight="false" outlineLevel="0" collapsed="false">
      <c r="A51" s="7" t="s">
        <v>196</v>
      </c>
      <c r="B51" s="7" t="s">
        <v>30</v>
      </c>
      <c r="C51" s="7" t="s">
        <v>30</v>
      </c>
      <c r="D51" s="7" t="s">
        <v>31</v>
      </c>
      <c r="E51" s="7" t="s">
        <v>197</v>
      </c>
      <c r="F51" s="7" t="s">
        <v>33</v>
      </c>
      <c r="G51" s="7" t="s">
        <v>198</v>
      </c>
      <c r="H51" s="7" t="s">
        <v>54</v>
      </c>
    </row>
    <row r="52" customFormat="false" ht="15" hidden="false" customHeight="false" outlineLevel="0" collapsed="false">
      <c r="A52" s="7" t="s">
        <v>196</v>
      </c>
      <c r="B52" s="7" t="s">
        <v>199</v>
      </c>
      <c r="C52" s="7" t="s">
        <v>42</v>
      </c>
      <c r="D52" s="7" t="s">
        <v>31</v>
      </c>
      <c r="E52" s="7" t="s">
        <v>200</v>
      </c>
      <c r="F52" s="7" t="s">
        <v>33</v>
      </c>
      <c r="G52" s="7" t="s">
        <v>201</v>
      </c>
      <c r="H52" s="7" t="s">
        <v>54</v>
      </c>
    </row>
  </sheetData>
  <autoFilter ref="A1:H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21"/>
    <col collapsed="false" customWidth="true" hidden="false" outlineLevel="0" max="18" min="8" style="0" width="15"/>
    <col collapsed="false" customWidth="true" hidden="false" outlineLevel="0" max="23" min="19" style="0" width="17"/>
    <col collapsed="false" customWidth="true" hidden="false" outlineLevel="0" max="25" min="24" style="0" width="15"/>
    <col collapsed="false" customWidth="true" hidden="false" outlineLevel="0" max="26" min="26" style="0" width="17"/>
    <col collapsed="false" customWidth="true" hidden="false" outlineLevel="0" max="35" min="27" style="0" width="15"/>
  </cols>
  <sheetData>
    <row r="1" customFormat="false" ht="31.5" hidden="false" customHeight="true" outlineLevel="0" collapsed="false">
      <c r="A1" s="6" t="s">
        <v>30</v>
      </c>
      <c r="B1" s="6" t="s">
        <v>36</v>
      </c>
      <c r="C1" s="6" t="s">
        <v>41</v>
      </c>
      <c r="D1" s="6" t="s">
        <v>46</v>
      </c>
      <c r="E1" s="6" t="s">
        <v>50</v>
      </c>
      <c r="F1" s="6" t="s">
        <v>55</v>
      </c>
      <c r="G1" s="6" t="s">
        <v>59</v>
      </c>
      <c r="H1" s="6" t="s">
        <v>62</v>
      </c>
      <c r="I1" s="6" t="s">
        <v>65</v>
      </c>
      <c r="J1" s="6" t="s">
        <v>69</v>
      </c>
      <c r="K1" s="6" t="s">
        <v>72</v>
      </c>
      <c r="L1" s="6" t="s">
        <v>78</v>
      </c>
      <c r="M1" s="6" t="s">
        <v>81</v>
      </c>
      <c r="N1" s="6" t="s">
        <v>84</v>
      </c>
      <c r="O1" s="6" t="s">
        <v>86</v>
      </c>
      <c r="P1" s="6" t="s">
        <v>89</v>
      </c>
      <c r="Q1" s="6" t="s">
        <v>93</v>
      </c>
      <c r="R1" s="6" t="s">
        <v>97</v>
      </c>
      <c r="S1" s="6" t="s">
        <v>100</v>
      </c>
      <c r="T1" s="6" t="s">
        <v>104</v>
      </c>
      <c r="U1" s="6" t="s">
        <v>107</v>
      </c>
      <c r="V1" s="6" t="s">
        <v>109</v>
      </c>
      <c r="W1" s="6" t="s">
        <v>111</v>
      </c>
      <c r="X1" s="6" t="s">
        <v>115</v>
      </c>
      <c r="Y1" s="6" t="s">
        <v>119</v>
      </c>
      <c r="Z1" s="6" t="s">
        <v>123</v>
      </c>
      <c r="AA1" s="6" t="s">
        <v>126</v>
      </c>
      <c r="AB1" s="6" t="s">
        <v>130</v>
      </c>
      <c r="AC1" s="6" t="s">
        <v>133</v>
      </c>
      <c r="AD1" s="6" t="s">
        <v>137</v>
      </c>
      <c r="AE1" s="6" t="s">
        <v>140</v>
      </c>
      <c r="AF1" s="6" t="s">
        <v>143</v>
      </c>
      <c r="AG1" s="6" t="s">
        <v>146</v>
      </c>
      <c r="AH1" s="6" t="s">
        <v>149</v>
      </c>
      <c r="AI1" s="6" t="s">
        <v>152</v>
      </c>
    </row>
    <row r="2" customFormat="false" ht="15" hidden="false" customHeight="false" outlineLevel="0" collapsed="false">
      <c r="A2" s="10" t="n">
        <v>44927</v>
      </c>
      <c r="B2" s="11" t="n">
        <f aca="false">YEAR(A2)</f>
        <v>2023</v>
      </c>
      <c r="C2" s="11" t="str">
        <f aca="false">"Q"&amp;ROUNDUP(MONTH(A2)/3,0)</f>
        <v>Q1</v>
      </c>
      <c r="D2" s="11" t="str">
        <f aca="false">B2&amp;"-"&amp;C2</f>
        <v>2023-Q1</v>
      </c>
      <c r="E2" s="11" t="n">
        <f aca="false">MONTH(A2)</f>
        <v>1</v>
      </c>
      <c r="F2" s="11" t="str">
        <f aca="false">TEXT(A2,"mmm")</f>
        <v>Jan</v>
      </c>
      <c r="G2" s="11" t="s">
        <v>202</v>
      </c>
      <c r="H2" s="11" t="s">
        <v>203</v>
      </c>
      <c r="I2" s="12" t="n">
        <v>5696784</v>
      </c>
      <c r="J2" s="12" t="n">
        <v>1678662</v>
      </c>
      <c r="K2" s="13" t="n">
        <f aca="false">IF(I2=0,0,J2/I2)</f>
        <v>0.294668360253785</v>
      </c>
      <c r="L2" s="12" t="n">
        <v>1008018</v>
      </c>
      <c r="M2" s="12" t="n">
        <v>1035717</v>
      </c>
      <c r="N2" s="12" t="n">
        <v>96132</v>
      </c>
      <c r="O2" s="12" t="n">
        <v>0</v>
      </c>
      <c r="P2" s="12" t="n">
        <f aca="false">M2+N2+O2</f>
        <v>1131849</v>
      </c>
      <c r="Q2" s="13" t="n">
        <f aca="false">IF(I2=0,0,P2/I2)</f>
        <v>0.198682098531382</v>
      </c>
      <c r="R2" s="13" t="n">
        <v>0.0475</v>
      </c>
      <c r="S2" s="14" t="n">
        <v>7870321</v>
      </c>
      <c r="T2" s="14" t="n">
        <v>872173</v>
      </c>
      <c r="U2" s="14" t="n">
        <v>240366</v>
      </c>
      <c r="V2" s="14" t="n">
        <v>729020</v>
      </c>
      <c r="W2" s="14" t="n">
        <f aca="false">S2+T2+U2+V2</f>
        <v>9711880</v>
      </c>
      <c r="X2" s="15" t="n">
        <f aca="false">IF(P2=0,0,S2/P2)</f>
        <v>6.95350793259525</v>
      </c>
      <c r="Y2" s="15" t="n">
        <f aca="false">IF(J2=0,0,W2/J2)</f>
        <v>5.78548868086607</v>
      </c>
      <c r="Z2" s="14" t="n">
        <v>2139129</v>
      </c>
      <c r="AA2" s="15" t="n">
        <f aca="false">IF(L2=0,0,Z2/L2)</f>
        <v>2.12211389082338</v>
      </c>
      <c r="AB2" s="12" t="n">
        <v>123278118</v>
      </c>
      <c r="AC2" s="16" t="n">
        <v>11.7</v>
      </c>
      <c r="AD2" s="16" t="n">
        <v>16</v>
      </c>
      <c r="AE2" s="13" t="n">
        <v>0.365</v>
      </c>
      <c r="AF2" s="13" t="n">
        <v>0.569</v>
      </c>
      <c r="AG2" s="13" t="n">
        <v>0.343</v>
      </c>
      <c r="AH2" s="13" t="n">
        <v>0.187</v>
      </c>
      <c r="AI2" s="17" t="n">
        <v>4.67</v>
      </c>
    </row>
    <row r="3" customFormat="false" ht="15" hidden="false" customHeight="false" outlineLevel="0" collapsed="false">
      <c r="A3" s="10" t="n">
        <v>44927</v>
      </c>
      <c r="B3" s="11" t="n">
        <f aca="false">YEAR(A3)</f>
        <v>2023</v>
      </c>
      <c r="C3" s="11" t="str">
        <f aca="false">"Q"&amp;ROUNDUP(MONTH(A3)/3,0)</f>
        <v>Q1</v>
      </c>
      <c r="D3" s="11" t="str">
        <f aca="false">B3&amp;"-"&amp;C3</f>
        <v>2023-Q1</v>
      </c>
      <c r="E3" s="11" t="n">
        <f aca="false">MONTH(A3)</f>
        <v>1</v>
      </c>
      <c r="F3" s="11" t="str">
        <f aca="false">TEXT(A3,"mmm")</f>
        <v>Jan</v>
      </c>
      <c r="G3" s="11" t="s">
        <v>202</v>
      </c>
      <c r="H3" s="11" t="s">
        <v>204</v>
      </c>
      <c r="I3" s="12" t="n">
        <v>6891491</v>
      </c>
      <c r="J3" s="12" t="n">
        <v>1847127</v>
      </c>
      <c r="K3" s="13" t="n">
        <f aca="false">IF(I3=0,0,J3/I3)</f>
        <v>0.268030096825201</v>
      </c>
      <c r="L3" s="12" t="n">
        <v>1101786</v>
      </c>
      <c r="M3" s="12" t="n">
        <v>597101</v>
      </c>
      <c r="N3" s="12" t="n">
        <v>53841</v>
      </c>
      <c r="O3" s="12" t="n">
        <v>0</v>
      </c>
      <c r="P3" s="12" t="n">
        <f aca="false">M3+N3+O3</f>
        <v>650942</v>
      </c>
      <c r="Q3" s="13" t="n">
        <f aca="false">IF(I3=0,0,P3/I3)</f>
        <v>0.0944559022133236</v>
      </c>
      <c r="R3" s="13" t="n">
        <v>0.0449</v>
      </c>
      <c r="S3" s="14" t="n">
        <v>4902294</v>
      </c>
      <c r="T3" s="14" t="n">
        <v>431173</v>
      </c>
      <c r="U3" s="14" t="n">
        <v>151270</v>
      </c>
      <c r="V3" s="14" t="n">
        <v>378708</v>
      </c>
      <c r="W3" s="14" t="n">
        <f aca="false">S3+T3+U3+V3</f>
        <v>5863445</v>
      </c>
      <c r="X3" s="15" t="n">
        <f aca="false">IF(P3=0,0,S3/P3)</f>
        <v>7.53107650143945</v>
      </c>
      <c r="Y3" s="15" t="n">
        <f aca="false">IF(J3=0,0,W3/J3)</f>
        <v>3.17435942412189</v>
      </c>
      <c r="Z3" s="14" t="n">
        <v>976750</v>
      </c>
      <c r="AA3" s="15" t="n">
        <f aca="false">IF(L3=0,0,Z3/L3)</f>
        <v>0.886515167192177</v>
      </c>
      <c r="AB3" s="12" t="n">
        <v>131752466</v>
      </c>
      <c r="AC3" s="16" t="n">
        <v>11.1</v>
      </c>
      <c r="AD3" s="16" t="n">
        <v>17</v>
      </c>
      <c r="AE3" s="13" t="n">
        <v>0.34</v>
      </c>
      <c r="AF3" s="13" t="n">
        <v>0.551</v>
      </c>
      <c r="AG3" s="13" t="n">
        <v>0.343</v>
      </c>
      <c r="AH3" s="13" t="n">
        <v>0.19</v>
      </c>
      <c r="AI3" s="17" t="n">
        <v>4.61</v>
      </c>
    </row>
    <row r="4" customFormat="false" ht="15" hidden="false" customHeight="false" outlineLevel="0" collapsed="false">
      <c r="A4" s="10" t="n">
        <v>44927</v>
      </c>
      <c r="B4" s="11" t="n">
        <f aca="false">YEAR(A4)</f>
        <v>2023</v>
      </c>
      <c r="C4" s="11" t="str">
        <f aca="false">"Q"&amp;ROUNDUP(MONTH(A4)/3,0)</f>
        <v>Q1</v>
      </c>
      <c r="D4" s="11" t="str">
        <f aca="false">B4&amp;"-"&amp;C4</f>
        <v>2023-Q1</v>
      </c>
      <c r="E4" s="11" t="n">
        <f aca="false">MONTH(A4)</f>
        <v>1</v>
      </c>
      <c r="F4" s="11" t="str">
        <f aca="false">TEXT(A4,"mmm")</f>
        <v>Jan</v>
      </c>
      <c r="G4" s="11" t="s">
        <v>202</v>
      </c>
      <c r="H4" s="11" t="s">
        <v>205</v>
      </c>
      <c r="I4" s="12" t="n">
        <v>2445452</v>
      </c>
      <c r="J4" s="12" t="n">
        <v>599773</v>
      </c>
      <c r="K4" s="13" t="n">
        <f aca="false">IF(I4=0,0,J4/I4)</f>
        <v>0.245260589862324</v>
      </c>
      <c r="L4" s="12" t="n">
        <v>341479</v>
      </c>
      <c r="M4" s="12" t="n">
        <v>169195</v>
      </c>
      <c r="N4" s="12" t="n">
        <v>15357</v>
      </c>
      <c r="O4" s="12" t="n">
        <v>0</v>
      </c>
      <c r="P4" s="12" t="n">
        <f aca="false">M4+N4+O4</f>
        <v>184552</v>
      </c>
      <c r="Q4" s="13" t="n">
        <f aca="false">IF(I4=0,0,P4/I4)</f>
        <v>0.0754674391482638</v>
      </c>
      <c r="R4" s="13" t="n">
        <v>0.0517</v>
      </c>
      <c r="S4" s="14" t="n">
        <v>1304157</v>
      </c>
      <c r="T4" s="14" t="n">
        <v>133171</v>
      </c>
      <c r="U4" s="14" t="n">
        <v>43831</v>
      </c>
      <c r="V4" s="14" t="n">
        <v>112666</v>
      </c>
      <c r="W4" s="14" t="n">
        <f aca="false">S4+T4+U4+V4</f>
        <v>1593825</v>
      </c>
      <c r="X4" s="15" t="n">
        <f aca="false">IF(P4=0,0,S4/P4)</f>
        <v>7.06660995275044</v>
      </c>
      <c r="Y4" s="15" t="n">
        <f aca="false">IF(J4=0,0,W4/J4)</f>
        <v>2.65738037557543</v>
      </c>
      <c r="Z4" s="14" t="n">
        <v>311412</v>
      </c>
      <c r="AA4" s="15" t="n">
        <f aca="false">IF(L4=0,0,Z4/L4)</f>
        <v>0.911950661680513</v>
      </c>
      <c r="AB4" s="12" t="n">
        <v>40888516</v>
      </c>
      <c r="AC4" s="16" t="n">
        <v>9.9</v>
      </c>
      <c r="AD4" s="16" t="n">
        <v>17.6</v>
      </c>
      <c r="AE4" s="13" t="n">
        <v>0.353</v>
      </c>
      <c r="AF4" s="13" t="n">
        <v>0.568</v>
      </c>
      <c r="AG4" s="13" t="n">
        <v>0.318</v>
      </c>
      <c r="AH4" s="13" t="n">
        <v>0.189</v>
      </c>
      <c r="AI4" s="17"/>
    </row>
    <row r="5" customFormat="false" ht="15" hidden="false" customHeight="false" outlineLevel="0" collapsed="false">
      <c r="A5" s="10" t="n">
        <v>44927</v>
      </c>
      <c r="B5" s="11" t="n">
        <f aca="false">YEAR(A5)</f>
        <v>2023</v>
      </c>
      <c r="C5" s="11" t="str">
        <f aca="false">"Q"&amp;ROUNDUP(MONTH(A5)/3,0)</f>
        <v>Q1</v>
      </c>
      <c r="D5" s="11" t="str">
        <f aca="false">B5&amp;"-"&amp;C5</f>
        <v>2023-Q1</v>
      </c>
      <c r="E5" s="11" t="n">
        <f aca="false">MONTH(A5)</f>
        <v>1</v>
      </c>
      <c r="F5" s="11" t="str">
        <f aca="false">TEXT(A5,"mmm")</f>
        <v>Jan</v>
      </c>
      <c r="G5" s="11" t="s">
        <v>206</v>
      </c>
      <c r="H5" s="11" t="s">
        <v>203</v>
      </c>
      <c r="I5" s="12" t="n">
        <v>6407171</v>
      </c>
      <c r="J5" s="12" t="n">
        <v>1943139</v>
      </c>
      <c r="K5" s="13" t="n">
        <f aca="false">IF(I5=0,0,J5/I5)</f>
        <v>0.30327565785274</v>
      </c>
      <c r="L5" s="12" t="n">
        <v>1337396</v>
      </c>
      <c r="M5" s="12" t="n">
        <v>647014</v>
      </c>
      <c r="N5" s="12" t="n">
        <v>55084</v>
      </c>
      <c r="O5" s="12" t="n">
        <v>0</v>
      </c>
      <c r="P5" s="12" t="n">
        <f aca="false">M5+N5+O5</f>
        <v>702098</v>
      </c>
      <c r="Q5" s="13" t="n">
        <f aca="false">IF(I5=0,0,P5/I5)</f>
        <v>0.109580031499081</v>
      </c>
      <c r="R5" s="13" t="n">
        <v>0.0423</v>
      </c>
      <c r="S5" s="14" t="n">
        <v>4983929</v>
      </c>
      <c r="T5" s="14" t="n">
        <v>545121</v>
      </c>
      <c r="U5" s="14" t="n">
        <v>167735</v>
      </c>
      <c r="V5" s="14" t="n">
        <v>439859</v>
      </c>
      <c r="W5" s="14" t="n">
        <f aca="false">S5+T5+U5+V5</f>
        <v>6136644</v>
      </c>
      <c r="X5" s="15" t="n">
        <f aca="false">IF(P5=0,0,S5/P5)</f>
        <v>7.09862298425576</v>
      </c>
      <c r="Y5" s="15" t="n">
        <f aca="false">IF(J5=0,0,W5/J5)</f>
        <v>3.15810860674404</v>
      </c>
      <c r="Z5" s="14" t="n">
        <v>1321431</v>
      </c>
      <c r="AA5" s="15" t="n">
        <f aca="false">IF(L5=0,0,Z5/L5)</f>
        <v>0.988062623187149</v>
      </c>
      <c r="AB5" s="12" t="n">
        <v>144135851</v>
      </c>
      <c r="AC5" s="16" t="n">
        <v>11.5</v>
      </c>
      <c r="AD5" s="16" t="n">
        <v>17.2</v>
      </c>
      <c r="AE5" s="13" t="n">
        <v>0.372</v>
      </c>
      <c r="AF5" s="13" t="n">
        <v>0.55</v>
      </c>
      <c r="AG5" s="13" t="n">
        <v>0.322</v>
      </c>
      <c r="AH5" s="13" t="n">
        <v>0.187</v>
      </c>
      <c r="AI5" s="17" t="n">
        <v>4.65</v>
      </c>
    </row>
    <row r="6" customFormat="false" ht="15" hidden="false" customHeight="false" outlineLevel="0" collapsed="false">
      <c r="A6" s="10" t="n">
        <v>44927</v>
      </c>
      <c r="B6" s="11" t="n">
        <f aca="false">YEAR(A6)</f>
        <v>2023</v>
      </c>
      <c r="C6" s="11" t="str">
        <f aca="false">"Q"&amp;ROUNDUP(MONTH(A6)/3,0)</f>
        <v>Q1</v>
      </c>
      <c r="D6" s="11" t="str">
        <f aca="false">B6&amp;"-"&amp;C6</f>
        <v>2023-Q1</v>
      </c>
      <c r="E6" s="11" t="n">
        <f aca="false">MONTH(A6)</f>
        <v>1</v>
      </c>
      <c r="F6" s="11" t="str">
        <f aca="false">TEXT(A6,"mmm")</f>
        <v>Jan</v>
      </c>
      <c r="G6" s="11" t="s">
        <v>206</v>
      </c>
      <c r="H6" s="11" t="s">
        <v>204</v>
      </c>
      <c r="I6" s="12" t="n">
        <v>8542654</v>
      </c>
      <c r="J6" s="12" t="n">
        <v>2403457</v>
      </c>
      <c r="K6" s="13" t="n">
        <f aca="false">IF(I6=0,0,J6/I6)</f>
        <v>0.281347810645263</v>
      </c>
      <c r="L6" s="12" t="n">
        <v>1300355</v>
      </c>
      <c r="M6" s="12" t="n">
        <v>358538</v>
      </c>
      <c r="N6" s="12" t="n">
        <v>31301</v>
      </c>
      <c r="O6" s="12" t="n">
        <v>0</v>
      </c>
      <c r="P6" s="12" t="n">
        <f aca="false">M6+N6+O6</f>
        <v>389839</v>
      </c>
      <c r="Q6" s="13" t="n">
        <f aca="false">IF(I6=0,0,P6/I6)</f>
        <v>0.0456344129119592</v>
      </c>
      <c r="R6" s="13" t="n">
        <v>0.0435</v>
      </c>
      <c r="S6" s="14" t="n">
        <v>2533195</v>
      </c>
      <c r="T6" s="14" t="n">
        <v>239795</v>
      </c>
      <c r="U6" s="14" t="n">
        <v>68295</v>
      </c>
      <c r="V6" s="14" t="n">
        <v>216368</v>
      </c>
      <c r="W6" s="14" t="n">
        <f aca="false">S6+T6+U6+V6</f>
        <v>3057653</v>
      </c>
      <c r="X6" s="15" t="n">
        <f aca="false">IF(P6=0,0,S6/P6)</f>
        <v>6.49805432499057</v>
      </c>
      <c r="Y6" s="15" t="n">
        <f aca="false">IF(J6=0,0,W6/J6)</f>
        <v>1.27218960023</v>
      </c>
      <c r="Z6" s="14" t="n">
        <v>614422</v>
      </c>
      <c r="AA6" s="15" t="n">
        <f aca="false">IF(L6=0,0,Z6/L6)</f>
        <v>0.472503277951021</v>
      </c>
      <c r="AB6" s="12" t="n">
        <v>179274870</v>
      </c>
      <c r="AC6" s="16" t="n">
        <v>11.2</v>
      </c>
      <c r="AD6" s="16" t="n">
        <v>15.9</v>
      </c>
      <c r="AE6" s="13" t="n">
        <v>0.362</v>
      </c>
      <c r="AF6" s="13" t="n">
        <v>0.553</v>
      </c>
      <c r="AG6" s="13" t="n">
        <v>0.318</v>
      </c>
      <c r="AH6" s="13" t="n">
        <v>0.197</v>
      </c>
      <c r="AI6" s="17" t="n">
        <v>4.62</v>
      </c>
    </row>
    <row r="7" customFormat="false" ht="15" hidden="false" customHeight="false" outlineLevel="0" collapsed="false">
      <c r="A7" s="10" t="n">
        <v>44927</v>
      </c>
      <c r="B7" s="11" t="n">
        <f aca="false">YEAR(A7)</f>
        <v>2023</v>
      </c>
      <c r="C7" s="11" t="str">
        <f aca="false">"Q"&amp;ROUNDUP(MONTH(A7)/3,0)</f>
        <v>Q1</v>
      </c>
      <c r="D7" s="11" t="str">
        <f aca="false">B7&amp;"-"&amp;C7</f>
        <v>2023-Q1</v>
      </c>
      <c r="E7" s="11" t="n">
        <f aca="false">MONTH(A7)</f>
        <v>1</v>
      </c>
      <c r="F7" s="11" t="str">
        <f aca="false">TEXT(A7,"mmm")</f>
        <v>Jan</v>
      </c>
      <c r="G7" s="11" t="s">
        <v>206</v>
      </c>
      <c r="H7" s="11" t="s">
        <v>205</v>
      </c>
      <c r="I7" s="12" t="n">
        <v>2763143</v>
      </c>
      <c r="J7" s="12" t="n">
        <v>679396</v>
      </c>
      <c r="K7" s="13" t="n">
        <f aca="false">IF(I7=0,0,J7/I7)</f>
        <v>0.245877973018407</v>
      </c>
      <c r="L7" s="12" t="n">
        <v>404594</v>
      </c>
      <c r="M7" s="12" t="n">
        <v>99286</v>
      </c>
      <c r="N7" s="12" t="n">
        <v>8812</v>
      </c>
      <c r="O7" s="12" t="n">
        <v>0</v>
      </c>
      <c r="P7" s="12" t="n">
        <f aca="false">M7+N7+O7</f>
        <v>108098</v>
      </c>
      <c r="Q7" s="13" t="n">
        <f aca="false">IF(I7=0,0,P7/I7)</f>
        <v>0.0391213918353122</v>
      </c>
      <c r="R7" s="13" t="n">
        <v>0.0479</v>
      </c>
      <c r="S7" s="14" t="n">
        <v>764751</v>
      </c>
      <c r="T7" s="14" t="n">
        <v>81986</v>
      </c>
      <c r="U7" s="14" t="n">
        <v>24158</v>
      </c>
      <c r="V7" s="14" t="n">
        <v>63657</v>
      </c>
      <c r="W7" s="14" t="n">
        <f aca="false">S7+T7+U7+V7</f>
        <v>934552</v>
      </c>
      <c r="X7" s="15" t="n">
        <f aca="false">IF(P7=0,0,S7/P7)</f>
        <v>7.07460822586912</v>
      </c>
      <c r="Y7" s="15" t="n">
        <f aca="false">IF(J7=0,0,W7/J7)</f>
        <v>1.37556300007654</v>
      </c>
      <c r="Z7" s="14" t="n">
        <v>188119</v>
      </c>
      <c r="AA7" s="15" t="n">
        <f aca="false">IF(L7=0,0,Z7/L7)</f>
        <v>0.464957463531343</v>
      </c>
      <c r="AB7" s="12" t="n">
        <v>46385070</v>
      </c>
      <c r="AC7" s="16" t="n">
        <v>9.8</v>
      </c>
      <c r="AD7" s="16" t="n">
        <v>16.4</v>
      </c>
      <c r="AE7" s="13" t="n">
        <v>0.365</v>
      </c>
      <c r="AF7" s="13" t="n">
        <v>0.563</v>
      </c>
      <c r="AG7" s="13" t="n">
        <v>0.332</v>
      </c>
      <c r="AH7" s="13" t="n">
        <v>0.192</v>
      </c>
      <c r="AI7" s="17"/>
    </row>
    <row r="8" customFormat="false" ht="15" hidden="false" customHeight="false" outlineLevel="0" collapsed="false">
      <c r="A8" s="10" t="n">
        <v>44927</v>
      </c>
      <c r="B8" s="11" t="n">
        <f aca="false">YEAR(A8)</f>
        <v>2023</v>
      </c>
      <c r="C8" s="11" t="str">
        <f aca="false">"Q"&amp;ROUNDUP(MONTH(A8)/3,0)</f>
        <v>Q1</v>
      </c>
      <c r="D8" s="11" t="str">
        <f aca="false">B8&amp;"-"&amp;C8</f>
        <v>2023-Q1</v>
      </c>
      <c r="E8" s="11" t="n">
        <f aca="false">MONTH(A8)</f>
        <v>1</v>
      </c>
      <c r="F8" s="11" t="str">
        <f aca="false">TEXT(A8,"mmm")</f>
        <v>Jan</v>
      </c>
      <c r="G8" s="11" t="s">
        <v>207</v>
      </c>
      <c r="H8" s="11" t="s">
        <v>203</v>
      </c>
      <c r="I8" s="12" t="n">
        <v>4593757</v>
      </c>
      <c r="J8" s="12" t="n">
        <v>1310763</v>
      </c>
      <c r="K8" s="13" t="n">
        <f aca="false">IF(I8=0,0,J8/I8)</f>
        <v>0.285335728468006</v>
      </c>
      <c r="L8" s="12" t="n">
        <v>795895</v>
      </c>
      <c r="M8" s="12" t="n">
        <v>291757</v>
      </c>
      <c r="N8" s="12" t="n">
        <v>23967</v>
      </c>
      <c r="O8" s="12" t="n">
        <v>0</v>
      </c>
      <c r="P8" s="12" t="n">
        <f aca="false">M8+N8+O8</f>
        <v>315724</v>
      </c>
      <c r="Q8" s="13" t="n">
        <f aca="false">IF(I8=0,0,P8/I8)</f>
        <v>0.0687289292838084</v>
      </c>
      <c r="R8" s="13" t="n">
        <v>0.0477</v>
      </c>
      <c r="S8" s="14" t="n">
        <v>1894518</v>
      </c>
      <c r="T8" s="14" t="n">
        <v>181342</v>
      </c>
      <c r="U8" s="14" t="n">
        <v>57810</v>
      </c>
      <c r="V8" s="14" t="n">
        <v>153201</v>
      </c>
      <c r="W8" s="14" t="n">
        <f aca="false">S8+T8+U8+V8</f>
        <v>2286871</v>
      </c>
      <c r="X8" s="15" t="n">
        <f aca="false">IF(P8=0,0,S8/P8)</f>
        <v>6.00055111426436</v>
      </c>
      <c r="Y8" s="15" t="n">
        <f aca="false">IF(J8=0,0,W8/J8)</f>
        <v>1.74468687321812</v>
      </c>
      <c r="Z8" s="14" t="n">
        <v>385572</v>
      </c>
      <c r="AA8" s="15" t="n">
        <f aca="false">IF(L8=0,0,Z8/L8)</f>
        <v>0.484450838364357</v>
      </c>
      <c r="AB8" s="12" t="n">
        <v>93713913</v>
      </c>
      <c r="AC8" s="16" t="n">
        <v>11.6</v>
      </c>
      <c r="AD8" s="16" t="n">
        <v>16.8</v>
      </c>
      <c r="AE8" s="13" t="n">
        <v>0.352</v>
      </c>
      <c r="AF8" s="13" t="n">
        <v>0.559</v>
      </c>
      <c r="AG8" s="13" t="n">
        <v>0.339</v>
      </c>
      <c r="AH8" s="13" t="n">
        <v>0.184</v>
      </c>
      <c r="AI8" s="17" t="n">
        <v>4.63</v>
      </c>
    </row>
    <row r="9" customFormat="false" ht="15" hidden="false" customHeight="false" outlineLevel="0" collapsed="false">
      <c r="A9" s="10" t="n">
        <v>44927</v>
      </c>
      <c r="B9" s="11" t="n">
        <f aca="false">YEAR(A9)</f>
        <v>2023</v>
      </c>
      <c r="C9" s="11" t="str">
        <f aca="false">"Q"&amp;ROUNDUP(MONTH(A9)/3,0)</f>
        <v>Q1</v>
      </c>
      <c r="D9" s="11" t="str">
        <f aca="false">B9&amp;"-"&amp;C9</f>
        <v>2023-Q1</v>
      </c>
      <c r="E9" s="11" t="n">
        <f aca="false">MONTH(A9)</f>
        <v>1</v>
      </c>
      <c r="F9" s="11" t="str">
        <f aca="false">TEXT(A9,"mmm")</f>
        <v>Jan</v>
      </c>
      <c r="G9" s="11" t="s">
        <v>207</v>
      </c>
      <c r="H9" s="11" t="s">
        <v>204</v>
      </c>
      <c r="I9" s="12" t="n">
        <v>5867156</v>
      </c>
      <c r="J9" s="12" t="n">
        <v>1502855</v>
      </c>
      <c r="K9" s="13" t="n">
        <f aca="false">IF(I9=0,0,J9/I9)</f>
        <v>0.256147100912265</v>
      </c>
      <c r="L9" s="12" t="n">
        <v>926437</v>
      </c>
      <c r="M9" s="12" t="n">
        <v>144307</v>
      </c>
      <c r="N9" s="12" t="n">
        <v>12978</v>
      </c>
      <c r="O9" s="12" t="n">
        <v>0</v>
      </c>
      <c r="P9" s="12" t="n">
        <f aca="false">M9+N9+O9</f>
        <v>157285</v>
      </c>
      <c r="Q9" s="13" t="n">
        <f aca="false">IF(I9=0,0,P9/I9)</f>
        <v>0.0268077071753333</v>
      </c>
      <c r="R9" s="13" t="n">
        <v>0.0506</v>
      </c>
      <c r="S9" s="14" t="n">
        <v>1174494</v>
      </c>
      <c r="T9" s="14" t="n">
        <v>119201</v>
      </c>
      <c r="U9" s="14" t="n">
        <v>36342</v>
      </c>
      <c r="V9" s="14" t="n">
        <v>99715</v>
      </c>
      <c r="W9" s="14" t="n">
        <f aca="false">S9+T9+U9+V9</f>
        <v>1429752</v>
      </c>
      <c r="X9" s="15" t="n">
        <f aca="false">IF(P9=0,0,S9/P9)</f>
        <v>7.46729821661315</v>
      </c>
      <c r="Y9" s="15" t="n">
        <f aca="false">IF(J9=0,0,W9/J9)</f>
        <v>0.951357250034102</v>
      </c>
      <c r="Z9" s="14" t="n">
        <v>272213</v>
      </c>
      <c r="AA9" s="15" t="n">
        <f aca="false">IF(L9=0,0,Z9/L9)</f>
        <v>0.293827858775071</v>
      </c>
      <c r="AB9" s="12" t="n">
        <v>110064852</v>
      </c>
      <c r="AC9" s="16" t="n">
        <v>11.4</v>
      </c>
      <c r="AD9" s="16" t="n">
        <v>16.2</v>
      </c>
      <c r="AE9" s="13" t="n">
        <v>0.353</v>
      </c>
      <c r="AF9" s="13" t="n">
        <v>0.563</v>
      </c>
      <c r="AG9" s="13" t="n">
        <v>0.351</v>
      </c>
      <c r="AH9" s="13" t="n">
        <v>0.194</v>
      </c>
      <c r="AI9" s="17" t="n">
        <v>4.57</v>
      </c>
    </row>
    <row r="10" customFormat="false" ht="15" hidden="false" customHeight="false" outlineLevel="0" collapsed="false">
      <c r="A10" s="10" t="n">
        <v>44927</v>
      </c>
      <c r="B10" s="11" t="n">
        <f aca="false">YEAR(A10)</f>
        <v>2023</v>
      </c>
      <c r="C10" s="11" t="str">
        <f aca="false">"Q"&amp;ROUNDUP(MONTH(A10)/3,0)</f>
        <v>Q1</v>
      </c>
      <c r="D10" s="11" t="str">
        <f aca="false">B10&amp;"-"&amp;C10</f>
        <v>2023-Q1</v>
      </c>
      <c r="E10" s="11" t="n">
        <f aca="false">MONTH(A10)</f>
        <v>1</v>
      </c>
      <c r="F10" s="11" t="str">
        <f aca="false">TEXT(A10,"mmm")</f>
        <v>Jan</v>
      </c>
      <c r="G10" s="11" t="s">
        <v>207</v>
      </c>
      <c r="H10" s="11" t="s">
        <v>205</v>
      </c>
      <c r="I10" s="12" t="n">
        <v>1861870</v>
      </c>
      <c r="J10" s="12" t="n">
        <v>433880</v>
      </c>
      <c r="K10" s="13" t="n">
        <f aca="false">IF(I10=0,0,J10/I10)</f>
        <v>0.233034529800684</v>
      </c>
      <c r="L10" s="12" t="n">
        <v>241166</v>
      </c>
      <c r="M10" s="12" t="n">
        <v>41088</v>
      </c>
      <c r="N10" s="12" t="n">
        <v>3949</v>
      </c>
      <c r="O10" s="12" t="n">
        <v>0</v>
      </c>
      <c r="P10" s="12" t="n">
        <f aca="false">M10+N10+O10</f>
        <v>45037</v>
      </c>
      <c r="Q10" s="13" t="n">
        <f aca="false">IF(I10=0,0,P10/I10)</f>
        <v>0.0241891216894842</v>
      </c>
      <c r="R10" s="13" t="n">
        <v>0.049</v>
      </c>
      <c r="S10" s="14" t="n">
        <v>287296</v>
      </c>
      <c r="T10" s="14" t="n">
        <v>32637</v>
      </c>
      <c r="U10" s="14" t="n">
        <v>8883</v>
      </c>
      <c r="V10" s="14" t="n">
        <v>25077</v>
      </c>
      <c r="W10" s="14" t="n">
        <f aca="false">S10+T10+U10+V10</f>
        <v>353893</v>
      </c>
      <c r="X10" s="15" t="n">
        <f aca="false">IF(P10=0,0,S10/P10)</f>
        <v>6.37911050913693</v>
      </c>
      <c r="Y10" s="15" t="n">
        <f aca="false">IF(J10=0,0,W10/J10)</f>
        <v>0.815647183553056</v>
      </c>
      <c r="Z10" s="14" t="n">
        <v>68888</v>
      </c>
      <c r="AA10" s="15" t="n">
        <f aca="false">IF(L10=0,0,Z10/L10)</f>
        <v>0.285645571929708</v>
      </c>
      <c r="AB10" s="12" t="n">
        <v>32233734</v>
      </c>
      <c r="AC10" s="16" t="n">
        <v>10.2</v>
      </c>
      <c r="AD10" s="16" t="n">
        <v>17.2</v>
      </c>
      <c r="AE10" s="13" t="n">
        <v>0.368</v>
      </c>
      <c r="AF10" s="13" t="n">
        <v>0.586</v>
      </c>
      <c r="AG10" s="13" t="n">
        <v>0.323</v>
      </c>
      <c r="AH10" s="13" t="n">
        <v>0.187</v>
      </c>
      <c r="AI10" s="17"/>
    </row>
    <row r="11" customFormat="false" ht="15" hidden="false" customHeight="false" outlineLevel="0" collapsed="false">
      <c r="A11" s="10" t="n">
        <v>44927</v>
      </c>
      <c r="B11" s="11" t="n">
        <f aca="false">YEAR(A11)</f>
        <v>2023</v>
      </c>
      <c r="C11" s="11" t="str">
        <f aca="false">"Q"&amp;ROUNDUP(MONTH(A11)/3,0)</f>
        <v>Q1</v>
      </c>
      <c r="D11" s="11" t="str">
        <f aca="false">B11&amp;"-"&amp;C11</f>
        <v>2023-Q1</v>
      </c>
      <c r="E11" s="11" t="n">
        <f aca="false">MONTH(A11)</f>
        <v>1</v>
      </c>
      <c r="F11" s="11" t="str">
        <f aca="false">TEXT(A11,"mmm")</f>
        <v>Jan</v>
      </c>
      <c r="G11" s="11" t="s">
        <v>208</v>
      </c>
      <c r="H11" s="11" t="s">
        <v>203</v>
      </c>
      <c r="I11" s="12" t="n">
        <v>4188579</v>
      </c>
      <c r="J11" s="12" t="n">
        <v>1242919</v>
      </c>
      <c r="K11" s="13" t="n">
        <f aca="false">IF(I11=0,0,J11/I11)</f>
        <v>0.2967400161248</v>
      </c>
      <c r="L11" s="12" t="n">
        <v>699147</v>
      </c>
      <c r="M11" s="12" t="n">
        <v>142493</v>
      </c>
      <c r="N11" s="12" t="n">
        <v>12078</v>
      </c>
      <c r="O11" s="12" t="n">
        <v>0</v>
      </c>
      <c r="P11" s="12" t="n">
        <f aca="false">M11+N11+O11</f>
        <v>154571</v>
      </c>
      <c r="Q11" s="13" t="n">
        <f aca="false">IF(I11=0,0,P11/I11)</f>
        <v>0.0369029687633921</v>
      </c>
      <c r="R11" s="13" t="n">
        <v>0.05</v>
      </c>
      <c r="S11" s="14" t="n">
        <v>1103756</v>
      </c>
      <c r="T11" s="14" t="n">
        <v>101080</v>
      </c>
      <c r="U11" s="14" t="n">
        <v>34105</v>
      </c>
      <c r="V11" s="14" t="n">
        <v>90114</v>
      </c>
      <c r="W11" s="14" t="n">
        <f aca="false">S11+T11+U11+V11</f>
        <v>1329055</v>
      </c>
      <c r="X11" s="15" t="n">
        <f aca="false">IF(P11=0,0,S11/P11)</f>
        <v>7.1407702609157</v>
      </c>
      <c r="Y11" s="15" t="n">
        <f aca="false">IF(J11=0,0,W11/J11)</f>
        <v>1.06930137844864</v>
      </c>
      <c r="Z11" s="14" t="n">
        <v>218901</v>
      </c>
      <c r="AA11" s="15" t="n">
        <f aca="false">IF(L11=0,0,Z11/L11)</f>
        <v>0.31309724564362</v>
      </c>
      <c r="AB11" s="12" t="n">
        <v>86123012</v>
      </c>
      <c r="AC11" s="16" t="n">
        <v>11.4</v>
      </c>
      <c r="AD11" s="16" t="n">
        <v>16.2</v>
      </c>
      <c r="AE11" s="13" t="n">
        <v>0.356</v>
      </c>
      <c r="AF11" s="13" t="n">
        <v>0.569</v>
      </c>
      <c r="AG11" s="13" t="n">
        <v>0.333</v>
      </c>
      <c r="AH11" s="13" t="n">
        <v>0.188</v>
      </c>
      <c r="AI11" s="17" t="n">
        <v>4.64</v>
      </c>
    </row>
    <row r="12" customFormat="false" ht="15" hidden="false" customHeight="false" outlineLevel="0" collapsed="false">
      <c r="A12" s="10" t="n">
        <v>44927</v>
      </c>
      <c r="B12" s="11" t="n">
        <f aca="false">YEAR(A12)</f>
        <v>2023</v>
      </c>
      <c r="C12" s="11" t="str">
        <f aca="false">"Q"&amp;ROUNDUP(MONTH(A12)/3,0)</f>
        <v>Q1</v>
      </c>
      <c r="D12" s="11" t="str">
        <f aca="false">B12&amp;"-"&amp;C12</f>
        <v>2023-Q1</v>
      </c>
      <c r="E12" s="11" t="n">
        <f aca="false">MONTH(A12)</f>
        <v>1</v>
      </c>
      <c r="F12" s="11" t="str">
        <f aca="false">TEXT(A12,"mmm")</f>
        <v>Jan</v>
      </c>
      <c r="G12" s="11" t="s">
        <v>208</v>
      </c>
      <c r="H12" s="11" t="s">
        <v>204</v>
      </c>
      <c r="I12" s="12" t="n">
        <v>5450075</v>
      </c>
      <c r="J12" s="12" t="n">
        <v>1466214</v>
      </c>
      <c r="K12" s="13" t="n">
        <f aca="false">IF(I12=0,0,J12/I12)</f>
        <v>0.269026389545098</v>
      </c>
      <c r="L12" s="12" t="n">
        <v>838396</v>
      </c>
      <c r="M12" s="12" t="n">
        <v>74682</v>
      </c>
      <c r="N12" s="12" t="n">
        <v>6203</v>
      </c>
      <c r="O12" s="12" t="n">
        <v>0</v>
      </c>
      <c r="P12" s="12" t="n">
        <f aca="false">M12+N12+O12</f>
        <v>80885</v>
      </c>
      <c r="Q12" s="13" t="n">
        <f aca="false">IF(I12=0,0,P12/I12)</f>
        <v>0.0148410801686215</v>
      </c>
      <c r="R12" s="13" t="n">
        <v>0.0474</v>
      </c>
      <c r="S12" s="14" t="n">
        <v>571410</v>
      </c>
      <c r="T12" s="14" t="n">
        <v>58187</v>
      </c>
      <c r="U12" s="14" t="n">
        <v>17803</v>
      </c>
      <c r="V12" s="14" t="n">
        <v>44890</v>
      </c>
      <c r="W12" s="14" t="n">
        <f aca="false">S12+T12+U12+V12</f>
        <v>692290</v>
      </c>
      <c r="X12" s="15" t="n">
        <f aca="false">IF(P12=0,0,S12/P12)</f>
        <v>7.06447425356988</v>
      </c>
      <c r="Y12" s="15" t="n">
        <f aca="false">IF(J12=0,0,W12/J12)</f>
        <v>0.472161635341089</v>
      </c>
      <c r="Z12" s="14" t="n">
        <v>123847</v>
      </c>
      <c r="AA12" s="15" t="n">
        <f aca="false">IF(L12=0,0,Z12/L12)</f>
        <v>0.147718977666878</v>
      </c>
      <c r="AB12" s="12" t="n">
        <v>112751883</v>
      </c>
      <c r="AC12" s="16" t="n">
        <v>11</v>
      </c>
      <c r="AD12" s="16" t="n">
        <v>17.2</v>
      </c>
      <c r="AE12" s="13" t="n">
        <v>0.359</v>
      </c>
      <c r="AF12" s="13" t="n">
        <v>0.56</v>
      </c>
      <c r="AG12" s="13" t="n">
        <v>0.328</v>
      </c>
      <c r="AH12" s="13" t="n">
        <v>0.186</v>
      </c>
      <c r="AI12" s="17" t="n">
        <v>4.6</v>
      </c>
    </row>
    <row r="13" customFormat="false" ht="15" hidden="false" customHeight="false" outlineLevel="0" collapsed="false">
      <c r="A13" s="10" t="n">
        <v>44927</v>
      </c>
      <c r="B13" s="11" t="n">
        <f aca="false">YEAR(A13)</f>
        <v>2023</v>
      </c>
      <c r="C13" s="11" t="str">
        <f aca="false">"Q"&amp;ROUNDUP(MONTH(A13)/3,0)</f>
        <v>Q1</v>
      </c>
      <c r="D13" s="11" t="str">
        <f aca="false">B13&amp;"-"&amp;C13</f>
        <v>2023-Q1</v>
      </c>
      <c r="E13" s="11" t="n">
        <f aca="false">MONTH(A13)</f>
        <v>1</v>
      </c>
      <c r="F13" s="11" t="str">
        <f aca="false">TEXT(A13,"mmm")</f>
        <v>Jan</v>
      </c>
      <c r="G13" s="11" t="s">
        <v>208</v>
      </c>
      <c r="H13" s="11" t="s">
        <v>205</v>
      </c>
      <c r="I13" s="12" t="n">
        <v>1443854</v>
      </c>
      <c r="J13" s="12" t="n">
        <v>362386</v>
      </c>
      <c r="K13" s="13" t="n">
        <f aca="false">IF(I13=0,0,J13/I13)</f>
        <v>0.250985210416012</v>
      </c>
      <c r="L13" s="12" t="n">
        <v>233058</v>
      </c>
      <c r="M13" s="12" t="n">
        <v>21828</v>
      </c>
      <c r="N13" s="12" t="n">
        <v>2168</v>
      </c>
      <c r="O13" s="12" t="n">
        <v>0</v>
      </c>
      <c r="P13" s="12" t="n">
        <f aca="false">M13+N13+O13</f>
        <v>23996</v>
      </c>
      <c r="Q13" s="13" t="n">
        <f aca="false">IF(I13=0,0,P13/I13)</f>
        <v>0.0166194088876022</v>
      </c>
      <c r="R13" s="13" t="n">
        <v>0.046</v>
      </c>
      <c r="S13" s="14" t="n">
        <v>173347</v>
      </c>
      <c r="T13" s="14" t="n">
        <v>17836</v>
      </c>
      <c r="U13" s="14" t="n">
        <v>5773</v>
      </c>
      <c r="V13" s="14" t="n">
        <v>16207</v>
      </c>
      <c r="W13" s="14" t="n">
        <f aca="false">S13+T13+U13+V13</f>
        <v>213163</v>
      </c>
      <c r="X13" s="15" t="n">
        <f aca="false">IF(P13=0,0,S13/P13)</f>
        <v>7.22399566594432</v>
      </c>
      <c r="Y13" s="15" t="n">
        <f aca="false">IF(J13=0,0,W13/J13)</f>
        <v>0.588220847383729</v>
      </c>
      <c r="Z13" s="14" t="n">
        <v>41309</v>
      </c>
      <c r="AA13" s="15" t="n">
        <f aca="false">IF(L13=0,0,Z13/L13)</f>
        <v>0.177247723742588</v>
      </c>
      <c r="AB13" s="12" t="n">
        <v>25213966</v>
      </c>
      <c r="AC13" s="16" t="n">
        <v>10.1</v>
      </c>
      <c r="AD13" s="16" t="n">
        <v>16.1</v>
      </c>
      <c r="AE13" s="13" t="n">
        <v>0.359</v>
      </c>
      <c r="AF13" s="13" t="n">
        <v>0.553</v>
      </c>
      <c r="AG13" s="13" t="n">
        <v>0.335</v>
      </c>
      <c r="AH13" s="13" t="n">
        <v>0.191</v>
      </c>
      <c r="AI13" s="17"/>
    </row>
    <row r="14" customFormat="false" ht="15" hidden="false" customHeight="false" outlineLevel="0" collapsed="false">
      <c r="A14" s="10" t="n">
        <v>44927</v>
      </c>
      <c r="B14" s="11" t="n">
        <f aca="false">YEAR(A14)</f>
        <v>2023</v>
      </c>
      <c r="C14" s="11" t="str">
        <f aca="false">"Q"&amp;ROUNDUP(MONTH(A14)/3,0)</f>
        <v>Q1</v>
      </c>
      <c r="D14" s="11" t="str">
        <f aca="false">B14&amp;"-"&amp;C14</f>
        <v>2023-Q1</v>
      </c>
      <c r="E14" s="11" t="n">
        <f aca="false">MONTH(A14)</f>
        <v>1</v>
      </c>
      <c r="F14" s="11" t="str">
        <f aca="false">TEXT(A14,"mmm")</f>
        <v>Jan</v>
      </c>
      <c r="G14" s="11" t="s">
        <v>209</v>
      </c>
      <c r="H14" s="11" t="s">
        <v>203</v>
      </c>
      <c r="I14" s="12" t="n">
        <v>2503691</v>
      </c>
      <c r="J14" s="12" t="n">
        <v>712495</v>
      </c>
      <c r="K14" s="13" t="n">
        <f aca="false">IF(I14=0,0,J14/I14)</f>
        <v>0.284577849263348</v>
      </c>
      <c r="L14" s="12" t="n">
        <v>428742</v>
      </c>
      <c r="M14" s="12" t="n">
        <v>44545</v>
      </c>
      <c r="N14" s="12" t="n">
        <v>4073</v>
      </c>
      <c r="O14" s="12" t="n">
        <v>0</v>
      </c>
      <c r="P14" s="12" t="n">
        <f aca="false">M14+N14+O14</f>
        <v>48618</v>
      </c>
      <c r="Q14" s="13" t="n">
        <f aca="false">IF(I14=0,0,P14/I14)</f>
        <v>0.019418530481597</v>
      </c>
      <c r="R14" s="13" t="n">
        <v>0.0448</v>
      </c>
      <c r="S14" s="14" t="n">
        <v>353298</v>
      </c>
      <c r="T14" s="14" t="n">
        <v>32441</v>
      </c>
      <c r="U14" s="14" t="n">
        <v>11035</v>
      </c>
      <c r="V14" s="14" t="n">
        <v>26529</v>
      </c>
      <c r="W14" s="14" t="n">
        <f aca="false">S14+T14+U14+V14</f>
        <v>423303</v>
      </c>
      <c r="X14" s="15" t="n">
        <f aca="false">IF(P14=0,0,S14/P14)</f>
        <v>7.26681475996544</v>
      </c>
      <c r="Y14" s="15" t="n">
        <f aca="false">IF(J14=0,0,W14/J14)</f>
        <v>0.594113642902757</v>
      </c>
      <c r="Z14" s="14" t="n">
        <v>76411</v>
      </c>
      <c r="AA14" s="15" t="n">
        <f aca="false">IF(L14=0,0,Z14/L14)</f>
        <v>0.17822140121565</v>
      </c>
      <c r="AB14" s="12" t="n">
        <v>51163533</v>
      </c>
      <c r="AC14" s="16" t="n">
        <v>11.6</v>
      </c>
      <c r="AD14" s="16" t="n">
        <v>16.9</v>
      </c>
      <c r="AE14" s="13" t="n">
        <v>0.37</v>
      </c>
      <c r="AF14" s="13" t="n">
        <v>0.567</v>
      </c>
      <c r="AG14" s="13" t="n">
        <v>0.331</v>
      </c>
      <c r="AH14" s="13" t="n">
        <v>0.193</v>
      </c>
      <c r="AI14" s="17" t="n">
        <v>4.65</v>
      </c>
    </row>
    <row r="15" customFormat="false" ht="15" hidden="false" customHeight="false" outlineLevel="0" collapsed="false">
      <c r="A15" s="10" t="n">
        <v>44927</v>
      </c>
      <c r="B15" s="11" t="n">
        <f aca="false">YEAR(A15)</f>
        <v>2023</v>
      </c>
      <c r="C15" s="11" t="str">
        <f aca="false">"Q"&amp;ROUNDUP(MONTH(A15)/3,0)</f>
        <v>Q1</v>
      </c>
      <c r="D15" s="11" t="str">
        <f aca="false">B15&amp;"-"&amp;C15</f>
        <v>2023-Q1</v>
      </c>
      <c r="E15" s="11" t="n">
        <f aca="false">MONTH(A15)</f>
        <v>1</v>
      </c>
      <c r="F15" s="11" t="str">
        <f aca="false">TEXT(A15,"mmm")</f>
        <v>Jan</v>
      </c>
      <c r="G15" s="11" t="s">
        <v>209</v>
      </c>
      <c r="H15" s="11" t="s">
        <v>204</v>
      </c>
      <c r="I15" s="12" t="n">
        <v>3220442</v>
      </c>
      <c r="J15" s="12" t="n">
        <v>825341</v>
      </c>
      <c r="K15" s="13" t="n">
        <f aca="false">IF(I15=0,0,J15/I15)</f>
        <v>0.256281901676851</v>
      </c>
      <c r="L15" s="12" t="n">
        <v>526205</v>
      </c>
      <c r="M15" s="12" t="n">
        <v>25125</v>
      </c>
      <c r="N15" s="12" t="n">
        <v>2360</v>
      </c>
      <c r="O15" s="12" t="n">
        <v>0</v>
      </c>
      <c r="P15" s="12" t="n">
        <f aca="false">M15+N15+O15</f>
        <v>27485</v>
      </c>
      <c r="Q15" s="13" t="n">
        <f aca="false">IF(I15=0,0,P15/I15)</f>
        <v>0.00853454277394221</v>
      </c>
      <c r="R15" s="13" t="n">
        <v>0.0485</v>
      </c>
      <c r="S15" s="14" t="n">
        <v>202936</v>
      </c>
      <c r="T15" s="14" t="n">
        <v>20749</v>
      </c>
      <c r="U15" s="14" t="n">
        <v>6392</v>
      </c>
      <c r="V15" s="14" t="n">
        <v>16945</v>
      </c>
      <c r="W15" s="14" t="n">
        <f aca="false">S15+T15+U15+V15</f>
        <v>247022</v>
      </c>
      <c r="X15" s="15" t="n">
        <f aca="false">IF(P15=0,0,S15/P15)</f>
        <v>7.38351828269965</v>
      </c>
      <c r="Y15" s="15" t="n">
        <f aca="false">IF(J15=0,0,W15/J15)</f>
        <v>0.299296896676646</v>
      </c>
      <c r="Z15" s="14" t="n">
        <v>42139</v>
      </c>
      <c r="AA15" s="15" t="n">
        <f aca="false">IF(L15=0,0,Z15/L15)</f>
        <v>0.0800809570414572</v>
      </c>
      <c r="AB15" s="12" t="n">
        <v>60345645</v>
      </c>
      <c r="AC15" s="16" t="n">
        <v>11.3</v>
      </c>
      <c r="AD15" s="16" t="n">
        <v>16.8</v>
      </c>
      <c r="AE15" s="13" t="n">
        <v>0.34</v>
      </c>
      <c r="AF15" s="13" t="n">
        <v>0.552</v>
      </c>
      <c r="AG15" s="13" t="n">
        <v>0.339</v>
      </c>
      <c r="AH15" s="13" t="n">
        <v>0.195</v>
      </c>
      <c r="AI15" s="17" t="n">
        <v>4.61</v>
      </c>
    </row>
    <row r="16" customFormat="false" ht="15" hidden="false" customHeight="false" outlineLevel="0" collapsed="false">
      <c r="A16" s="10" t="n">
        <v>44927</v>
      </c>
      <c r="B16" s="11" t="n">
        <f aca="false">YEAR(A16)</f>
        <v>2023</v>
      </c>
      <c r="C16" s="11" t="str">
        <f aca="false">"Q"&amp;ROUNDUP(MONTH(A16)/3,0)</f>
        <v>Q1</v>
      </c>
      <c r="D16" s="11" t="str">
        <f aca="false">B16&amp;"-"&amp;C16</f>
        <v>2023-Q1</v>
      </c>
      <c r="E16" s="11" t="n">
        <f aca="false">MONTH(A16)</f>
        <v>1</v>
      </c>
      <c r="F16" s="11" t="str">
        <f aca="false">TEXT(A16,"mmm")</f>
        <v>Jan</v>
      </c>
      <c r="G16" s="11" t="s">
        <v>209</v>
      </c>
      <c r="H16" s="11" t="s">
        <v>205</v>
      </c>
      <c r="I16" s="12" t="n">
        <v>1166086</v>
      </c>
      <c r="J16" s="12" t="n">
        <v>273490</v>
      </c>
      <c r="K16" s="13" t="n">
        <f aca="false">IF(I16=0,0,J16/I16)</f>
        <v>0.234536732282182</v>
      </c>
      <c r="L16" s="12" t="n">
        <v>136608</v>
      </c>
      <c r="M16" s="12" t="n">
        <v>6999</v>
      </c>
      <c r="N16" s="12" t="n">
        <v>615</v>
      </c>
      <c r="O16" s="12" t="n">
        <v>0</v>
      </c>
      <c r="P16" s="12" t="n">
        <f aca="false">M16+N16+O16</f>
        <v>7614</v>
      </c>
      <c r="Q16" s="13" t="n">
        <f aca="false">IF(I16=0,0,P16/I16)</f>
        <v>0.00652953555741172</v>
      </c>
      <c r="R16" s="13" t="n">
        <v>0.0492</v>
      </c>
      <c r="S16" s="14" t="n">
        <v>54039</v>
      </c>
      <c r="T16" s="14" t="n">
        <v>6042</v>
      </c>
      <c r="U16" s="14" t="n">
        <v>1588</v>
      </c>
      <c r="V16" s="14" t="n">
        <v>4977</v>
      </c>
      <c r="W16" s="14" t="n">
        <f aca="false">S16+T16+U16+V16</f>
        <v>66646</v>
      </c>
      <c r="X16" s="15" t="n">
        <f aca="false">IF(P16=0,0,S16/P16)</f>
        <v>7.0973207249803</v>
      </c>
      <c r="Y16" s="15" t="n">
        <f aca="false">IF(J16=0,0,W16/J16)</f>
        <v>0.243687154923398</v>
      </c>
      <c r="Z16" s="14" t="n">
        <v>13237</v>
      </c>
      <c r="AA16" s="15" t="n">
        <f aca="false">IF(L16=0,0,Z16/L16)</f>
        <v>0.0968976926680722</v>
      </c>
      <c r="AB16" s="12" t="n">
        <v>19063796</v>
      </c>
      <c r="AC16" s="16" t="n">
        <v>10.1</v>
      </c>
      <c r="AD16" s="16" t="n">
        <v>17.3</v>
      </c>
      <c r="AE16" s="13" t="n">
        <v>0.359</v>
      </c>
      <c r="AF16" s="13" t="n">
        <v>0.555</v>
      </c>
      <c r="AG16" s="13" t="n">
        <v>0.321</v>
      </c>
      <c r="AH16" s="13" t="n">
        <v>0.184</v>
      </c>
      <c r="AI16" s="17"/>
    </row>
    <row r="17" customFormat="false" ht="15" hidden="false" customHeight="false" outlineLevel="0" collapsed="false">
      <c r="A17" s="10" t="n">
        <v>44927</v>
      </c>
      <c r="B17" s="11" t="n">
        <f aca="false">YEAR(A17)</f>
        <v>2023</v>
      </c>
      <c r="C17" s="11" t="str">
        <f aca="false">"Q"&amp;ROUNDUP(MONTH(A17)/3,0)</f>
        <v>Q1</v>
      </c>
      <c r="D17" s="11" t="str">
        <f aca="false">B17&amp;"-"&amp;C17</f>
        <v>2023-Q1</v>
      </c>
      <c r="E17" s="11" t="n">
        <f aca="false">MONTH(A17)</f>
        <v>1</v>
      </c>
      <c r="F17" s="11" t="str">
        <f aca="false">TEXT(A17,"mmm")</f>
        <v>Jan</v>
      </c>
      <c r="G17" s="11" t="s">
        <v>210</v>
      </c>
      <c r="H17" s="11" t="s">
        <v>203</v>
      </c>
      <c r="I17" s="12" t="n">
        <v>3744028</v>
      </c>
      <c r="J17" s="12" t="n">
        <v>1015248</v>
      </c>
      <c r="K17" s="13" t="n">
        <f aca="false">IF(I17=0,0,J17/I17)</f>
        <v>0.271164638725992</v>
      </c>
      <c r="L17" s="12" t="n">
        <v>636438</v>
      </c>
      <c r="M17" s="12" t="n">
        <v>91176</v>
      </c>
      <c r="N17" s="12" t="n">
        <v>8413</v>
      </c>
      <c r="O17" s="12" t="n">
        <v>0</v>
      </c>
      <c r="P17" s="12" t="n">
        <f aca="false">M17+N17+O17</f>
        <v>99589</v>
      </c>
      <c r="Q17" s="13" t="n">
        <f aca="false">IF(I17=0,0,P17/I17)</f>
        <v>0.0265994271410363</v>
      </c>
      <c r="R17" s="13" t="n">
        <v>0.048</v>
      </c>
      <c r="S17" s="14" t="n">
        <v>739202</v>
      </c>
      <c r="T17" s="14" t="n">
        <v>77366</v>
      </c>
      <c r="U17" s="14" t="n">
        <v>20772</v>
      </c>
      <c r="V17" s="14" t="n">
        <v>64765</v>
      </c>
      <c r="W17" s="14" t="n">
        <f aca="false">S17+T17+U17+V17</f>
        <v>902105</v>
      </c>
      <c r="X17" s="15" t="n">
        <f aca="false">IF(P17=0,0,S17/P17)</f>
        <v>7.42252658426131</v>
      </c>
      <c r="Y17" s="15" t="n">
        <f aca="false">IF(J17=0,0,W17/J17)</f>
        <v>0.888556293634659</v>
      </c>
      <c r="Z17" s="14" t="n">
        <v>176240</v>
      </c>
      <c r="AA17" s="15" t="n">
        <f aca="false">IF(L17=0,0,Z17/L17)</f>
        <v>0.276916211791251</v>
      </c>
      <c r="AB17" s="12" t="n">
        <v>73388090</v>
      </c>
      <c r="AC17" s="16" t="n">
        <v>11.6</v>
      </c>
      <c r="AD17" s="16" t="n">
        <v>17.5</v>
      </c>
      <c r="AE17" s="13" t="n">
        <v>0.366</v>
      </c>
      <c r="AF17" s="13" t="n">
        <v>0.568</v>
      </c>
      <c r="AG17" s="13" t="n">
        <v>0.336</v>
      </c>
      <c r="AH17" s="13" t="n">
        <v>0.194</v>
      </c>
      <c r="AI17" s="17" t="n">
        <v>4.64</v>
      </c>
    </row>
    <row r="18" customFormat="false" ht="15" hidden="false" customHeight="false" outlineLevel="0" collapsed="false">
      <c r="A18" s="10" t="n">
        <v>44927</v>
      </c>
      <c r="B18" s="11" t="n">
        <f aca="false">YEAR(A18)</f>
        <v>2023</v>
      </c>
      <c r="C18" s="11" t="str">
        <f aca="false">"Q"&amp;ROUNDUP(MONTH(A18)/3,0)</f>
        <v>Q1</v>
      </c>
      <c r="D18" s="11" t="str">
        <f aca="false">B18&amp;"-"&amp;C18</f>
        <v>2023-Q1</v>
      </c>
      <c r="E18" s="11" t="n">
        <f aca="false">MONTH(A18)</f>
        <v>1</v>
      </c>
      <c r="F18" s="11" t="str">
        <f aca="false">TEXT(A18,"mmm")</f>
        <v>Jan</v>
      </c>
      <c r="G18" s="11" t="s">
        <v>210</v>
      </c>
      <c r="H18" s="11" t="s">
        <v>204</v>
      </c>
      <c r="I18" s="12" t="n">
        <v>5162153</v>
      </c>
      <c r="J18" s="12" t="n">
        <v>1313250</v>
      </c>
      <c r="K18" s="13" t="n">
        <f aca="false">IF(I18=0,0,J18/I18)</f>
        <v>0.254399666185795</v>
      </c>
      <c r="L18" s="12" t="n">
        <v>735236</v>
      </c>
      <c r="M18" s="12" t="n">
        <v>50996</v>
      </c>
      <c r="N18" s="12" t="n">
        <v>4513</v>
      </c>
      <c r="O18" s="12" t="n">
        <v>0</v>
      </c>
      <c r="P18" s="12" t="n">
        <f aca="false">M18+N18+O18</f>
        <v>55509</v>
      </c>
      <c r="Q18" s="13" t="n">
        <f aca="false">IF(I18=0,0,P18/I18)</f>
        <v>0.0107530714413153</v>
      </c>
      <c r="R18" s="13" t="n">
        <v>0.0466</v>
      </c>
      <c r="S18" s="14" t="n">
        <v>397120</v>
      </c>
      <c r="T18" s="14" t="n">
        <v>37616</v>
      </c>
      <c r="U18" s="14" t="n">
        <v>11341</v>
      </c>
      <c r="V18" s="14" t="n">
        <v>31013</v>
      </c>
      <c r="W18" s="14" t="n">
        <f aca="false">S18+T18+U18+V18</f>
        <v>477090</v>
      </c>
      <c r="X18" s="15" t="n">
        <f aca="false">IF(P18=0,0,S18/P18)</f>
        <v>7.15415518204255</v>
      </c>
      <c r="Y18" s="15" t="n">
        <f aca="false">IF(J18=0,0,W18/J18)</f>
        <v>0.36328954882924</v>
      </c>
      <c r="Z18" s="14" t="n">
        <v>85323</v>
      </c>
      <c r="AA18" s="15" t="n">
        <f aca="false">IF(L18=0,0,Z18/L18)</f>
        <v>0.116048452469683</v>
      </c>
      <c r="AB18" s="12" t="n">
        <v>96746940</v>
      </c>
      <c r="AC18" s="16" t="n">
        <v>11.2</v>
      </c>
      <c r="AD18" s="16" t="n">
        <v>16.5</v>
      </c>
      <c r="AE18" s="13" t="n">
        <v>0.36</v>
      </c>
      <c r="AF18" s="13" t="n">
        <v>0.56</v>
      </c>
      <c r="AG18" s="13" t="n">
        <v>0.327</v>
      </c>
      <c r="AH18" s="13" t="n">
        <v>0.185</v>
      </c>
      <c r="AI18" s="17" t="n">
        <v>4.61</v>
      </c>
    </row>
    <row r="19" customFormat="false" ht="15" hidden="false" customHeight="false" outlineLevel="0" collapsed="false">
      <c r="A19" s="10" t="n">
        <v>44927</v>
      </c>
      <c r="B19" s="11" t="n">
        <f aca="false">YEAR(A19)</f>
        <v>2023</v>
      </c>
      <c r="C19" s="11" t="str">
        <f aca="false">"Q"&amp;ROUNDUP(MONTH(A19)/3,0)</f>
        <v>Q1</v>
      </c>
      <c r="D19" s="11" t="str">
        <f aca="false">B19&amp;"-"&amp;C19</f>
        <v>2023-Q1</v>
      </c>
      <c r="E19" s="11" t="n">
        <f aca="false">MONTH(A19)</f>
        <v>1</v>
      </c>
      <c r="F19" s="11" t="str">
        <f aca="false">TEXT(A19,"mmm")</f>
        <v>Jan</v>
      </c>
      <c r="G19" s="11" t="s">
        <v>210</v>
      </c>
      <c r="H19" s="11" t="s">
        <v>205</v>
      </c>
      <c r="I19" s="12" t="n">
        <v>1367456</v>
      </c>
      <c r="J19" s="12" t="n">
        <v>313605</v>
      </c>
      <c r="K19" s="13" t="n">
        <f aca="false">IF(I19=0,0,J19/I19)</f>
        <v>0.229334618444762</v>
      </c>
      <c r="L19" s="12" t="n">
        <v>184042</v>
      </c>
      <c r="M19" s="12" t="n">
        <v>14966</v>
      </c>
      <c r="N19" s="12" t="n">
        <v>1343</v>
      </c>
      <c r="O19" s="12" t="n">
        <v>0</v>
      </c>
      <c r="P19" s="12" t="n">
        <f aca="false">M19+N19+O19</f>
        <v>16309</v>
      </c>
      <c r="Q19" s="13" t="n">
        <f aca="false">IF(I19=0,0,P19/I19)</f>
        <v>0.011926526337959</v>
      </c>
      <c r="R19" s="13" t="n">
        <v>0.0492</v>
      </c>
      <c r="S19" s="14" t="n">
        <v>100596</v>
      </c>
      <c r="T19" s="14" t="n">
        <v>11466</v>
      </c>
      <c r="U19" s="14" t="n">
        <v>3247</v>
      </c>
      <c r="V19" s="14" t="n">
        <v>9145</v>
      </c>
      <c r="W19" s="14" t="n">
        <f aca="false">S19+T19+U19+V19</f>
        <v>124454</v>
      </c>
      <c r="X19" s="15" t="n">
        <f aca="false">IF(P19=0,0,S19/P19)</f>
        <v>6.1681280274695</v>
      </c>
      <c r="Y19" s="15" t="n">
        <f aca="false">IF(J19=0,0,W19/J19)</f>
        <v>0.396849540026466</v>
      </c>
      <c r="Z19" s="14" t="n">
        <v>22468</v>
      </c>
      <c r="AA19" s="15" t="n">
        <f aca="false">IF(L19=0,0,Z19/L19)</f>
        <v>0.122080829375903</v>
      </c>
      <c r="AB19" s="12" t="n">
        <v>23718812</v>
      </c>
      <c r="AC19" s="16" t="n">
        <v>10.1</v>
      </c>
      <c r="AD19" s="16" t="n">
        <v>17.2</v>
      </c>
      <c r="AE19" s="13" t="n">
        <v>0.341</v>
      </c>
      <c r="AF19" s="13" t="n">
        <v>0.555</v>
      </c>
      <c r="AG19" s="13" t="n">
        <v>0.331</v>
      </c>
      <c r="AH19" s="13" t="n">
        <v>0.185</v>
      </c>
      <c r="AI19" s="17"/>
    </row>
    <row r="20" customFormat="false" ht="15" hidden="false" customHeight="false" outlineLevel="0" collapsed="false">
      <c r="A20" s="10" t="n">
        <v>44958</v>
      </c>
      <c r="B20" s="11" t="n">
        <f aca="false">YEAR(A20)</f>
        <v>2023</v>
      </c>
      <c r="C20" s="11" t="str">
        <f aca="false">"Q"&amp;ROUNDUP(MONTH(A20)/3,0)</f>
        <v>Q1</v>
      </c>
      <c r="D20" s="11" t="str">
        <f aca="false">B20&amp;"-"&amp;C20</f>
        <v>2023-Q1</v>
      </c>
      <c r="E20" s="11" t="n">
        <f aca="false">MONTH(A20)</f>
        <v>2</v>
      </c>
      <c r="F20" s="11" t="str">
        <f aca="false">TEXT(A20,"mmm")</f>
        <v>Feb</v>
      </c>
      <c r="G20" s="11" t="s">
        <v>202</v>
      </c>
      <c r="H20" s="11" t="s">
        <v>203</v>
      </c>
      <c r="I20" s="12" t="n">
        <v>5643187</v>
      </c>
      <c r="J20" s="12" t="n">
        <v>1687961</v>
      </c>
      <c r="K20" s="13" t="n">
        <f aca="false">IF(I20=0,0,J20/I20)</f>
        <v>0.299114844147465</v>
      </c>
      <c r="L20" s="12" t="n">
        <v>987334</v>
      </c>
      <c r="M20" s="12" t="n">
        <v>1120316</v>
      </c>
      <c r="N20" s="12" t="n">
        <v>102335</v>
      </c>
      <c r="O20" s="12" t="n">
        <v>0</v>
      </c>
      <c r="P20" s="12" t="n">
        <f aca="false">M20+N20+O20</f>
        <v>1222651</v>
      </c>
      <c r="Q20" s="13" t="n">
        <f aca="false">IF(I20=0,0,P20/I20)</f>
        <v>0.216659664122419</v>
      </c>
      <c r="R20" s="13" t="n">
        <v>0.0464</v>
      </c>
      <c r="S20" s="14" t="n">
        <v>8198883</v>
      </c>
      <c r="T20" s="14" t="n">
        <v>853347</v>
      </c>
      <c r="U20" s="14" t="n">
        <v>285489</v>
      </c>
      <c r="V20" s="14" t="n">
        <v>678466</v>
      </c>
      <c r="W20" s="14" t="n">
        <f aca="false">S20+T20+U20+V20</f>
        <v>10016185</v>
      </c>
      <c r="X20" s="15" t="n">
        <f aca="false">IF(P20=0,0,S20/P20)</f>
        <v>6.70582447485014</v>
      </c>
      <c r="Y20" s="15" t="n">
        <f aca="false">IF(J20=0,0,W20/J20)</f>
        <v>5.93389598456362</v>
      </c>
      <c r="Z20" s="14" t="n">
        <v>1882198</v>
      </c>
      <c r="AA20" s="15" t="n">
        <f aca="false">IF(L20=0,0,Z20/L20)</f>
        <v>1.9063437499367</v>
      </c>
      <c r="AB20" s="12" t="n">
        <v>124647205</v>
      </c>
      <c r="AC20" s="16" t="n">
        <v>11.7</v>
      </c>
      <c r="AD20" s="16" t="n">
        <v>16.7</v>
      </c>
      <c r="AE20" s="13" t="n">
        <v>0.351</v>
      </c>
      <c r="AF20" s="13" t="n">
        <v>0.571</v>
      </c>
      <c r="AG20" s="13" t="n">
        <v>0.328</v>
      </c>
      <c r="AH20" s="13" t="n">
        <v>0.187</v>
      </c>
      <c r="AI20" s="17" t="n">
        <v>4.64</v>
      </c>
    </row>
    <row r="21" customFormat="false" ht="15" hidden="false" customHeight="false" outlineLevel="0" collapsed="false">
      <c r="A21" s="10" t="n">
        <v>44958</v>
      </c>
      <c r="B21" s="11" t="n">
        <f aca="false">YEAR(A21)</f>
        <v>2023</v>
      </c>
      <c r="C21" s="11" t="str">
        <f aca="false">"Q"&amp;ROUNDUP(MONTH(A21)/3,0)</f>
        <v>Q1</v>
      </c>
      <c r="D21" s="11" t="str">
        <f aca="false">B21&amp;"-"&amp;C21</f>
        <v>2023-Q1</v>
      </c>
      <c r="E21" s="11" t="n">
        <f aca="false">MONTH(A21)</f>
        <v>2</v>
      </c>
      <c r="F21" s="11" t="str">
        <f aca="false">TEXT(A21,"mmm")</f>
        <v>Feb</v>
      </c>
      <c r="G21" s="11" t="s">
        <v>202</v>
      </c>
      <c r="H21" s="11" t="s">
        <v>204</v>
      </c>
      <c r="I21" s="12" t="n">
        <v>7900264</v>
      </c>
      <c r="J21" s="12" t="n">
        <v>2122583</v>
      </c>
      <c r="K21" s="13" t="n">
        <f aca="false">IF(I21=0,0,J21/I21)</f>
        <v>0.268672413985153</v>
      </c>
      <c r="L21" s="12" t="n">
        <v>1069500</v>
      </c>
      <c r="M21" s="12" t="n">
        <v>597051</v>
      </c>
      <c r="N21" s="12" t="n">
        <v>54574</v>
      </c>
      <c r="O21" s="12" t="n">
        <v>0</v>
      </c>
      <c r="P21" s="12" t="n">
        <f aca="false">M21+N21+O21</f>
        <v>651625</v>
      </c>
      <c r="Q21" s="13" t="n">
        <f aca="false">IF(I21=0,0,P21/I21)</f>
        <v>0.0824814208740366</v>
      </c>
      <c r="R21" s="13" t="n">
        <v>0.0488</v>
      </c>
      <c r="S21" s="14" t="n">
        <v>4987758</v>
      </c>
      <c r="T21" s="14" t="n">
        <v>493582</v>
      </c>
      <c r="U21" s="14" t="n">
        <v>155271</v>
      </c>
      <c r="V21" s="14" t="n">
        <v>389604</v>
      </c>
      <c r="W21" s="14" t="n">
        <f aca="false">S21+T21+U21+V21</f>
        <v>6026215</v>
      </c>
      <c r="X21" s="15" t="n">
        <f aca="false">IF(P21=0,0,S21/P21)</f>
        <v>7.65433800115097</v>
      </c>
      <c r="Y21" s="15" t="n">
        <f aca="false">IF(J21=0,0,W21/J21)</f>
        <v>2.83909510252367</v>
      </c>
      <c r="Z21" s="14" t="n">
        <v>1100984</v>
      </c>
      <c r="AA21" s="15" t="n">
        <f aca="false">IF(L21=0,0,Z21/L21)</f>
        <v>1.02943805516597</v>
      </c>
      <c r="AB21" s="12" t="n">
        <v>155866606</v>
      </c>
      <c r="AC21" s="16" t="n">
        <v>11.1</v>
      </c>
      <c r="AD21" s="16" t="n">
        <v>17.1</v>
      </c>
      <c r="AE21" s="13" t="n">
        <v>0.361</v>
      </c>
      <c r="AF21" s="13" t="n">
        <v>0.566</v>
      </c>
      <c r="AG21" s="13" t="n">
        <v>0.332</v>
      </c>
      <c r="AH21" s="13" t="n">
        <v>0.187</v>
      </c>
      <c r="AI21" s="17" t="n">
        <v>4.59</v>
      </c>
    </row>
    <row r="22" customFormat="false" ht="15" hidden="false" customHeight="false" outlineLevel="0" collapsed="false">
      <c r="A22" s="10" t="n">
        <v>44958</v>
      </c>
      <c r="B22" s="11" t="n">
        <f aca="false">YEAR(A22)</f>
        <v>2023</v>
      </c>
      <c r="C22" s="11" t="str">
        <f aca="false">"Q"&amp;ROUNDUP(MONTH(A22)/3,0)</f>
        <v>Q1</v>
      </c>
      <c r="D22" s="11" t="str">
        <f aca="false">B22&amp;"-"&amp;C22</f>
        <v>2023-Q1</v>
      </c>
      <c r="E22" s="11" t="n">
        <f aca="false">MONTH(A22)</f>
        <v>2</v>
      </c>
      <c r="F22" s="11" t="str">
        <f aca="false">TEXT(A22,"mmm")</f>
        <v>Feb</v>
      </c>
      <c r="G22" s="11" t="s">
        <v>202</v>
      </c>
      <c r="H22" s="11" t="s">
        <v>205</v>
      </c>
      <c r="I22" s="12" t="n">
        <v>2288214</v>
      </c>
      <c r="J22" s="12" t="n">
        <v>550824</v>
      </c>
      <c r="K22" s="13" t="n">
        <f aca="false">IF(I22=0,0,J22/I22)</f>
        <v>0.240722240140127</v>
      </c>
      <c r="L22" s="12" t="n">
        <v>283389</v>
      </c>
      <c r="M22" s="12" t="n">
        <v>185671</v>
      </c>
      <c r="N22" s="12" t="n">
        <v>16338</v>
      </c>
      <c r="O22" s="12" t="n">
        <v>0</v>
      </c>
      <c r="P22" s="12" t="n">
        <f aca="false">M22+N22+O22</f>
        <v>202009</v>
      </c>
      <c r="Q22" s="13" t="n">
        <f aca="false">IF(I22=0,0,P22/I22)</f>
        <v>0.0882823896715954</v>
      </c>
      <c r="R22" s="13" t="n">
        <v>0.049</v>
      </c>
      <c r="S22" s="14" t="n">
        <v>1411769</v>
      </c>
      <c r="T22" s="14" t="n">
        <v>141854</v>
      </c>
      <c r="U22" s="14" t="n">
        <v>45146</v>
      </c>
      <c r="V22" s="14" t="n">
        <v>117524</v>
      </c>
      <c r="W22" s="14" t="n">
        <f aca="false">S22+T22+U22+V22</f>
        <v>1716293</v>
      </c>
      <c r="X22" s="15" t="n">
        <f aca="false">IF(P22=0,0,S22/P22)</f>
        <v>6.9886440703137</v>
      </c>
      <c r="Y22" s="15" t="n">
        <f aca="false">IF(J22=0,0,W22/J22)</f>
        <v>3.1158645955877</v>
      </c>
      <c r="Z22" s="14" t="n">
        <v>333963</v>
      </c>
      <c r="AA22" s="15" t="n">
        <f aca="false">IF(L22=0,0,Z22/L22)</f>
        <v>1.17846140817039</v>
      </c>
      <c r="AB22" s="12" t="n">
        <v>38080915</v>
      </c>
      <c r="AC22" s="16" t="n">
        <v>10.1</v>
      </c>
      <c r="AD22" s="16" t="n">
        <v>17.5</v>
      </c>
      <c r="AE22" s="13" t="n">
        <v>0.357</v>
      </c>
      <c r="AF22" s="13" t="n">
        <v>0.569</v>
      </c>
      <c r="AG22" s="13" t="n">
        <v>0.321</v>
      </c>
      <c r="AH22" s="13" t="n">
        <v>0.193</v>
      </c>
      <c r="AI22" s="17"/>
    </row>
    <row r="23" customFormat="false" ht="15" hidden="false" customHeight="false" outlineLevel="0" collapsed="false">
      <c r="A23" s="10" t="n">
        <v>44958</v>
      </c>
      <c r="B23" s="11" t="n">
        <f aca="false">YEAR(A23)</f>
        <v>2023</v>
      </c>
      <c r="C23" s="11" t="str">
        <f aca="false">"Q"&amp;ROUNDUP(MONTH(A23)/3,0)</f>
        <v>Q1</v>
      </c>
      <c r="D23" s="11" t="str">
        <f aca="false">B23&amp;"-"&amp;C23</f>
        <v>2023-Q1</v>
      </c>
      <c r="E23" s="11" t="n">
        <f aca="false">MONTH(A23)</f>
        <v>2</v>
      </c>
      <c r="F23" s="11" t="str">
        <f aca="false">TEXT(A23,"mmm")</f>
        <v>Feb</v>
      </c>
      <c r="G23" s="11" t="s">
        <v>206</v>
      </c>
      <c r="H23" s="11" t="s">
        <v>203</v>
      </c>
      <c r="I23" s="12" t="n">
        <v>7031091</v>
      </c>
      <c r="J23" s="12" t="n">
        <v>2125033</v>
      </c>
      <c r="K23" s="13" t="n">
        <f aca="false">IF(I23=0,0,J23/I23)</f>
        <v>0.30223375006809</v>
      </c>
      <c r="L23" s="12" t="n">
        <v>1097592</v>
      </c>
      <c r="M23" s="12" t="n">
        <v>668241</v>
      </c>
      <c r="N23" s="12" t="n">
        <v>59879</v>
      </c>
      <c r="O23" s="12" t="n">
        <v>0</v>
      </c>
      <c r="P23" s="12" t="n">
        <f aca="false">M23+N23+O23</f>
        <v>728120</v>
      </c>
      <c r="Q23" s="13" t="n">
        <f aca="false">IF(I23=0,0,P23/I23)</f>
        <v>0.103557186217615</v>
      </c>
      <c r="R23" s="13" t="n">
        <v>0.045</v>
      </c>
      <c r="S23" s="14" t="n">
        <v>6001377</v>
      </c>
      <c r="T23" s="14" t="n">
        <v>609355</v>
      </c>
      <c r="U23" s="14" t="n">
        <v>185825</v>
      </c>
      <c r="V23" s="14" t="n">
        <v>541976</v>
      </c>
      <c r="W23" s="14" t="n">
        <f aca="false">S23+T23+U23+V23</f>
        <v>7338533</v>
      </c>
      <c r="X23" s="15" t="n">
        <f aca="false">IF(P23=0,0,S23/P23)</f>
        <v>8.24229110586167</v>
      </c>
      <c r="Y23" s="15" t="n">
        <f aca="false">IF(J23=0,0,W23/J23)</f>
        <v>3.45337366525602</v>
      </c>
      <c r="Z23" s="14" t="n">
        <v>1566720</v>
      </c>
      <c r="AA23" s="15" t="n">
        <f aca="false">IF(L23=0,0,Z23/L23)</f>
        <v>1.42741565171758</v>
      </c>
      <c r="AB23" s="12" t="n">
        <v>150021214</v>
      </c>
      <c r="AC23" s="16" t="n">
        <v>11.6</v>
      </c>
      <c r="AD23" s="16" t="n">
        <v>16.7</v>
      </c>
      <c r="AE23" s="13" t="n">
        <v>0.354</v>
      </c>
      <c r="AF23" s="13" t="n">
        <v>0.566</v>
      </c>
      <c r="AG23" s="13" t="n">
        <v>0.331</v>
      </c>
      <c r="AH23" s="13" t="n">
        <v>0.195</v>
      </c>
      <c r="AI23" s="17" t="n">
        <v>4.67</v>
      </c>
    </row>
    <row r="24" customFormat="false" ht="15" hidden="false" customHeight="false" outlineLevel="0" collapsed="false">
      <c r="A24" s="10" t="n">
        <v>44958</v>
      </c>
      <c r="B24" s="11" t="n">
        <f aca="false">YEAR(A24)</f>
        <v>2023</v>
      </c>
      <c r="C24" s="11" t="str">
        <f aca="false">"Q"&amp;ROUNDUP(MONTH(A24)/3,0)</f>
        <v>Q1</v>
      </c>
      <c r="D24" s="11" t="str">
        <f aca="false">B24&amp;"-"&amp;C24</f>
        <v>2023-Q1</v>
      </c>
      <c r="E24" s="11" t="n">
        <f aca="false">MONTH(A24)</f>
        <v>2</v>
      </c>
      <c r="F24" s="11" t="str">
        <f aca="false">TEXT(A24,"mmm")</f>
        <v>Feb</v>
      </c>
      <c r="G24" s="11" t="s">
        <v>206</v>
      </c>
      <c r="H24" s="11" t="s">
        <v>204</v>
      </c>
      <c r="I24" s="12" t="n">
        <v>8041939</v>
      </c>
      <c r="J24" s="12" t="n">
        <v>2250204</v>
      </c>
      <c r="K24" s="13" t="n">
        <f aca="false">IF(I24=0,0,J24/I24)</f>
        <v>0.279808638190367</v>
      </c>
      <c r="L24" s="12" t="n">
        <v>1052825</v>
      </c>
      <c r="M24" s="12" t="n">
        <v>383485</v>
      </c>
      <c r="N24" s="12" t="n">
        <v>31946</v>
      </c>
      <c r="O24" s="12" t="n">
        <v>0</v>
      </c>
      <c r="P24" s="12" t="n">
        <f aca="false">M24+N24+O24</f>
        <v>415431</v>
      </c>
      <c r="Q24" s="13" t="n">
        <f aca="false">IF(I24=0,0,P24/I24)</f>
        <v>0.0516580640564421</v>
      </c>
      <c r="R24" s="13" t="n">
        <v>0.0477</v>
      </c>
      <c r="S24" s="14" t="n">
        <v>2872883</v>
      </c>
      <c r="T24" s="14" t="n">
        <v>286445</v>
      </c>
      <c r="U24" s="14" t="n">
        <v>98706</v>
      </c>
      <c r="V24" s="14" t="n">
        <v>247708</v>
      </c>
      <c r="W24" s="14" t="n">
        <f aca="false">S24+T24+U24+V24</f>
        <v>3505742</v>
      </c>
      <c r="X24" s="15" t="n">
        <f aca="false">IF(P24=0,0,S24/P24)</f>
        <v>6.91542759206703</v>
      </c>
      <c r="Y24" s="15" t="n">
        <f aca="false">IF(J24=0,0,W24/J24)</f>
        <v>1.55796629994436</v>
      </c>
      <c r="Z24" s="14" t="n">
        <v>719492</v>
      </c>
      <c r="AA24" s="15" t="n">
        <f aca="false">IF(L24=0,0,Z24/L24)</f>
        <v>0.683391826751834</v>
      </c>
      <c r="AB24" s="12" t="n">
        <v>162581945</v>
      </c>
      <c r="AC24" s="16" t="n">
        <v>11.1</v>
      </c>
      <c r="AD24" s="16" t="n">
        <v>18</v>
      </c>
      <c r="AE24" s="13" t="n">
        <v>0.367</v>
      </c>
      <c r="AF24" s="13" t="n">
        <v>0.566</v>
      </c>
      <c r="AG24" s="13" t="n">
        <v>0.333</v>
      </c>
      <c r="AH24" s="13" t="n">
        <v>0.193</v>
      </c>
      <c r="AI24" s="17" t="n">
        <v>4.57</v>
      </c>
    </row>
    <row r="25" customFormat="false" ht="15" hidden="false" customHeight="false" outlineLevel="0" collapsed="false">
      <c r="A25" s="10" t="n">
        <v>44958</v>
      </c>
      <c r="B25" s="11" t="n">
        <f aca="false">YEAR(A25)</f>
        <v>2023</v>
      </c>
      <c r="C25" s="11" t="str">
        <f aca="false">"Q"&amp;ROUNDUP(MONTH(A25)/3,0)</f>
        <v>Q1</v>
      </c>
      <c r="D25" s="11" t="str">
        <f aca="false">B25&amp;"-"&amp;C25</f>
        <v>2023-Q1</v>
      </c>
      <c r="E25" s="11" t="n">
        <f aca="false">MONTH(A25)</f>
        <v>2</v>
      </c>
      <c r="F25" s="11" t="str">
        <f aca="false">TEXT(A25,"mmm")</f>
        <v>Feb</v>
      </c>
      <c r="G25" s="11" t="s">
        <v>206</v>
      </c>
      <c r="H25" s="11" t="s">
        <v>205</v>
      </c>
      <c r="I25" s="12" t="n">
        <v>2525191</v>
      </c>
      <c r="J25" s="12" t="n">
        <v>662827</v>
      </c>
      <c r="K25" s="13" t="n">
        <f aca="false">IF(I25=0,0,J25/I25)</f>
        <v>0.262485887206156</v>
      </c>
      <c r="L25" s="12" t="n">
        <v>313890</v>
      </c>
      <c r="M25" s="12" t="n">
        <v>104880</v>
      </c>
      <c r="N25" s="12" t="n">
        <v>9711</v>
      </c>
      <c r="O25" s="12" t="n">
        <v>0</v>
      </c>
      <c r="P25" s="12" t="n">
        <f aca="false">M25+N25+O25</f>
        <v>114591</v>
      </c>
      <c r="Q25" s="13" t="n">
        <f aca="false">IF(I25=0,0,P25/I25)</f>
        <v>0.0453791416174064</v>
      </c>
      <c r="R25" s="13" t="n">
        <v>0.0509</v>
      </c>
      <c r="S25" s="14" t="n">
        <v>911375</v>
      </c>
      <c r="T25" s="14" t="n">
        <v>89389</v>
      </c>
      <c r="U25" s="14" t="n">
        <v>28375</v>
      </c>
      <c r="V25" s="14" t="n">
        <v>70327</v>
      </c>
      <c r="W25" s="14" t="n">
        <f aca="false">S25+T25+U25+V25</f>
        <v>1099466</v>
      </c>
      <c r="X25" s="15" t="n">
        <f aca="false">IF(P25=0,0,S25/P25)</f>
        <v>7.95328603467986</v>
      </c>
      <c r="Y25" s="15" t="n">
        <f aca="false">IF(J25=0,0,W25/J25)</f>
        <v>1.65875258551628</v>
      </c>
      <c r="Z25" s="14" t="n">
        <v>208261</v>
      </c>
      <c r="AA25" s="15" t="n">
        <f aca="false">IF(L25=0,0,Z25/L25)</f>
        <v>0.663484023065405</v>
      </c>
      <c r="AB25" s="12" t="n">
        <v>48581956</v>
      </c>
      <c r="AC25" s="16" t="n">
        <v>10.3</v>
      </c>
      <c r="AD25" s="16" t="n">
        <v>17.3</v>
      </c>
      <c r="AE25" s="13" t="n">
        <v>0.361</v>
      </c>
      <c r="AF25" s="13" t="n">
        <v>0.559</v>
      </c>
      <c r="AG25" s="13" t="n">
        <v>0.332</v>
      </c>
      <c r="AH25" s="13" t="n">
        <v>0.189</v>
      </c>
      <c r="AI25" s="17"/>
    </row>
    <row r="26" customFormat="false" ht="15" hidden="false" customHeight="false" outlineLevel="0" collapsed="false">
      <c r="A26" s="10" t="n">
        <v>44958</v>
      </c>
      <c r="B26" s="11" t="n">
        <f aca="false">YEAR(A26)</f>
        <v>2023</v>
      </c>
      <c r="C26" s="11" t="str">
        <f aca="false">"Q"&amp;ROUNDUP(MONTH(A26)/3,0)</f>
        <v>Q1</v>
      </c>
      <c r="D26" s="11" t="str">
        <f aca="false">B26&amp;"-"&amp;C26</f>
        <v>2023-Q1</v>
      </c>
      <c r="E26" s="11" t="n">
        <f aca="false">MONTH(A26)</f>
        <v>2</v>
      </c>
      <c r="F26" s="11" t="str">
        <f aca="false">TEXT(A26,"mmm")</f>
        <v>Feb</v>
      </c>
      <c r="G26" s="11" t="s">
        <v>207</v>
      </c>
      <c r="H26" s="11" t="s">
        <v>203</v>
      </c>
      <c r="I26" s="12" t="n">
        <v>4372466</v>
      </c>
      <c r="J26" s="12" t="n">
        <v>1252377</v>
      </c>
      <c r="K26" s="13" t="n">
        <f aca="false">IF(I26=0,0,J26/I26)</f>
        <v>0.286423496489167</v>
      </c>
      <c r="L26" s="12" t="n">
        <v>653280</v>
      </c>
      <c r="M26" s="12" t="n">
        <v>282799</v>
      </c>
      <c r="N26" s="12" t="n">
        <v>25195</v>
      </c>
      <c r="O26" s="12" t="n">
        <v>0</v>
      </c>
      <c r="P26" s="12" t="n">
        <f aca="false">M26+N26+O26</f>
        <v>307994</v>
      </c>
      <c r="Q26" s="13" t="n">
        <f aca="false">IF(I26=0,0,P26/I26)</f>
        <v>0.0704394270875977</v>
      </c>
      <c r="R26" s="13" t="n">
        <v>0.0501</v>
      </c>
      <c r="S26" s="14" t="n">
        <v>2351562</v>
      </c>
      <c r="T26" s="14" t="n">
        <v>242304</v>
      </c>
      <c r="U26" s="14" t="n">
        <v>80994</v>
      </c>
      <c r="V26" s="14" t="n">
        <v>187556</v>
      </c>
      <c r="W26" s="14" t="n">
        <f aca="false">S26+T26+U26+V26</f>
        <v>2862416</v>
      </c>
      <c r="X26" s="15" t="n">
        <f aca="false">IF(P26=0,0,S26/P26)</f>
        <v>7.63509029396677</v>
      </c>
      <c r="Y26" s="15" t="n">
        <f aca="false">IF(J26=0,0,W26/J26)</f>
        <v>2.28558652865711</v>
      </c>
      <c r="Z26" s="14" t="n">
        <v>586012</v>
      </c>
      <c r="AA26" s="15" t="n">
        <f aca="false">IF(L26=0,0,Z26/L26)</f>
        <v>0.897030369826108</v>
      </c>
      <c r="AB26" s="12" t="n">
        <v>87311390</v>
      </c>
      <c r="AC26" s="16" t="n">
        <v>12.1</v>
      </c>
      <c r="AD26" s="16" t="n">
        <v>17.1</v>
      </c>
      <c r="AE26" s="13" t="n">
        <v>0.363</v>
      </c>
      <c r="AF26" s="13" t="n">
        <v>0.564</v>
      </c>
      <c r="AG26" s="13" t="n">
        <v>0.335</v>
      </c>
      <c r="AH26" s="13" t="n">
        <v>0.185</v>
      </c>
      <c r="AI26" s="17" t="n">
        <v>4.65</v>
      </c>
    </row>
    <row r="27" customFormat="false" ht="15" hidden="false" customHeight="false" outlineLevel="0" collapsed="false">
      <c r="A27" s="10" t="n">
        <v>44958</v>
      </c>
      <c r="B27" s="11" t="n">
        <f aca="false">YEAR(A27)</f>
        <v>2023</v>
      </c>
      <c r="C27" s="11" t="str">
        <f aca="false">"Q"&amp;ROUNDUP(MONTH(A27)/3,0)</f>
        <v>Q1</v>
      </c>
      <c r="D27" s="11" t="str">
        <f aca="false">B27&amp;"-"&amp;C27</f>
        <v>2023-Q1</v>
      </c>
      <c r="E27" s="11" t="n">
        <f aca="false">MONTH(A27)</f>
        <v>2</v>
      </c>
      <c r="F27" s="11" t="str">
        <f aca="false">TEXT(A27,"mmm")</f>
        <v>Feb</v>
      </c>
      <c r="G27" s="11" t="s">
        <v>207</v>
      </c>
      <c r="H27" s="11" t="s">
        <v>204</v>
      </c>
      <c r="I27" s="12" t="n">
        <v>5873191</v>
      </c>
      <c r="J27" s="12" t="n">
        <v>1544722</v>
      </c>
      <c r="K27" s="13" t="n">
        <f aca="false">IF(I27=0,0,J27/I27)</f>
        <v>0.26301238968731</v>
      </c>
      <c r="L27" s="12" t="n">
        <v>670668</v>
      </c>
      <c r="M27" s="12" t="n">
        <v>155618</v>
      </c>
      <c r="N27" s="12" t="n">
        <v>15227</v>
      </c>
      <c r="O27" s="12" t="n">
        <v>0</v>
      </c>
      <c r="P27" s="12" t="n">
        <f aca="false">M27+N27+O27</f>
        <v>170845</v>
      </c>
      <c r="Q27" s="13" t="n">
        <f aca="false">IF(I27=0,0,P27/I27)</f>
        <v>0.0290889569230764</v>
      </c>
      <c r="R27" s="13" t="n">
        <v>0.0456</v>
      </c>
      <c r="S27" s="14" t="n">
        <v>1376967</v>
      </c>
      <c r="T27" s="14" t="n">
        <v>136511</v>
      </c>
      <c r="U27" s="14" t="n">
        <v>46358</v>
      </c>
      <c r="V27" s="14" t="n">
        <v>127491</v>
      </c>
      <c r="W27" s="14" t="n">
        <f aca="false">S27+T27+U27+V27</f>
        <v>1687327</v>
      </c>
      <c r="X27" s="15" t="n">
        <f aca="false">IF(P27=0,0,S27/P27)</f>
        <v>8.05974421259036</v>
      </c>
      <c r="Y27" s="15" t="n">
        <f aca="false">IF(J27=0,0,W27/J27)</f>
        <v>1.09231758206331</v>
      </c>
      <c r="Z27" s="14" t="n">
        <v>335060</v>
      </c>
      <c r="AA27" s="15" t="n">
        <f aca="false">IF(L27=0,0,Z27/L27)</f>
        <v>0.499591452104469</v>
      </c>
      <c r="AB27" s="12" t="n">
        <v>110422232</v>
      </c>
      <c r="AC27" s="16" t="n">
        <v>11.6</v>
      </c>
      <c r="AD27" s="16" t="n">
        <v>18.1</v>
      </c>
      <c r="AE27" s="13" t="n">
        <v>0.36</v>
      </c>
      <c r="AF27" s="13" t="n">
        <v>0.562</v>
      </c>
      <c r="AG27" s="13" t="n">
        <v>0.338</v>
      </c>
      <c r="AH27" s="13" t="n">
        <v>0.195</v>
      </c>
      <c r="AI27" s="17" t="n">
        <v>4.6</v>
      </c>
    </row>
    <row r="28" customFormat="false" ht="15" hidden="false" customHeight="false" outlineLevel="0" collapsed="false">
      <c r="A28" s="10" t="n">
        <v>44958</v>
      </c>
      <c r="B28" s="11" t="n">
        <f aca="false">YEAR(A28)</f>
        <v>2023</v>
      </c>
      <c r="C28" s="11" t="str">
        <f aca="false">"Q"&amp;ROUNDUP(MONTH(A28)/3,0)</f>
        <v>Q1</v>
      </c>
      <c r="D28" s="11" t="str">
        <f aca="false">B28&amp;"-"&amp;C28</f>
        <v>2023-Q1</v>
      </c>
      <c r="E28" s="11" t="n">
        <f aca="false">MONTH(A28)</f>
        <v>2</v>
      </c>
      <c r="F28" s="11" t="str">
        <f aca="false">TEXT(A28,"mmm")</f>
        <v>Feb</v>
      </c>
      <c r="G28" s="11" t="s">
        <v>207</v>
      </c>
      <c r="H28" s="11" t="s">
        <v>205</v>
      </c>
      <c r="I28" s="12" t="n">
        <v>1828051</v>
      </c>
      <c r="J28" s="12" t="n">
        <v>443311</v>
      </c>
      <c r="K28" s="13" t="n">
        <f aca="false">IF(I28=0,0,J28/I28)</f>
        <v>0.242504722242432</v>
      </c>
      <c r="L28" s="12" t="n">
        <v>224056</v>
      </c>
      <c r="M28" s="12" t="n">
        <v>44279</v>
      </c>
      <c r="N28" s="12" t="n">
        <v>4059</v>
      </c>
      <c r="O28" s="12" t="n">
        <v>0</v>
      </c>
      <c r="P28" s="12" t="n">
        <f aca="false">M28+N28+O28</f>
        <v>48338</v>
      </c>
      <c r="Q28" s="13" t="n">
        <f aca="false">IF(I28=0,0,P28/I28)</f>
        <v>0.0264423694962559</v>
      </c>
      <c r="R28" s="13" t="n">
        <v>0.0504</v>
      </c>
      <c r="S28" s="14" t="n">
        <v>352082</v>
      </c>
      <c r="T28" s="14" t="n">
        <v>32224</v>
      </c>
      <c r="U28" s="14" t="n">
        <v>12543</v>
      </c>
      <c r="V28" s="14" t="n">
        <v>30111</v>
      </c>
      <c r="W28" s="14" t="n">
        <f aca="false">S28+T28+U28+V28</f>
        <v>426960</v>
      </c>
      <c r="X28" s="15" t="n">
        <f aca="false">IF(P28=0,0,S28/P28)</f>
        <v>7.28375191360834</v>
      </c>
      <c r="Y28" s="15" t="n">
        <f aca="false">IF(J28=0,0,W28/J28)</f>
        <v>0.96311618705604</v>
      </c>
      <c r="Z28" s="14" t="n">
        <v>79348</v>
      </c>
      <c r="AA28" s="15" t="n">
        <f aca="false">IF(L28=0,0,Z28/L28)</f>
        <v>0.354143606955404</v>
      </c>
      <c r="AB28" s="12" t="n">
        <v>32088506</v>
      </c>
      <c r="AC28" s="16" t="n">
        <v>10.3</v>
      </c>
      <c r="AD28" s="16" t="n">
        <v>16.9</v>
      </c>
      <c r="AE28" s="13" t="n">
        <v>0.363</v>
      </c>
      <c r="AF28" s="13" t="n">
        <v>0.569</v>
      </c>
      <c r="AG28" s="13" t="n">
        <v>0.338</v>
      </c>
      <c r="AH28" s="13" t="n">
        <v>0.188</v>
      </c>
      <c r="AI28" s="17"/>
    </row>
    <row r="29" customFormat="false" ht="15" hidden="false" customHeight="false" outlineLevel="0" collapsed="false">
      <c r="A29" s="10" t="n">
        <v>44958</v>
      </c>
      <c r="B29" s="11" t="n">
        <f aca="false">YEAR(A29)</f>
        <v>2023</v>
      </c>
      <c r="C29" s="11" t="str">
        <f aca="false">"Q"&amp;ROUNDUP(MONTH(A29)/3,0)</f>
        <v>Q1</v>
      </c>
      <c r="D29" s="11" t="str">
        <f aca="false">B29&amp;"-"&amp;C29</f>
        <v>2023-Q1</v>
      </c>
      <c r="E29" s="11" t="n">
        <f aca="false">MONTH(A29)</f>
        <v>2</v>
      </c>
      <c r="F29" s="11" t="str">
        <f aca="false">TEXT(A29,"mmm")</f>
        <v>Feb</v>
      </c>
      <c r="G29" s="11" t="s">
        <v>208</v>
      </c>
      <c r="H29" s="11" t="s">
        <v>203</v>
      </c>
      <c r="I29" s="12" t="n">
        <v>3896435</v>
      </c>
      <c r="J29" s="12" t="n">
        <v>1188326</v>
      </c>
      <c r="K29" s="13" t="n">
        <f aca="false">IF(I29=0,0,J29/I29)</f>
        <v>0.304977755307095</v>
      </c>
      <c r="L29" s="12" t="n">
        <v>643399</v>
      </c>
      <c r="M29" s="12" t="n">
        <v>139742</v>
      </c>
      <c r="N29" s="12" t="n">
        <v>12243</v>
      </c>
      <c r="O29" s="12" t="n">
        <v>0</v>
      </c>
      <c r="P29" s="12" t="n">
        <f aca="false">M29+N29+O29</f>
        <v>151985</v>
      </c>
      <c r="Q29" s="13" t="n">
        <f aca="false">IF(I29=0,0,P29/I29)</f>
        <v>0.0390061684591171</v>
      </c>
      <c r="R29" s="13" t="n">
        <v>0.0511</v>
      </c>
      <c r="S29" s="14" t="n">
        <v>1161710</v>
      </c>
      <c r="T29" s="14" t="n">
        <v>133074</v>
      </c>
      <c r="U29" s="14" t="n">
        <v>39193</v>
      </c>
      <c r="V29" s="14" t="n">
        <v>95685</v>
      </c>
      <c r="W29" s="14" t="n">
        <f aca="false">S29+T29+U29+V29</f>
        <v>1429662</v>
      </c>
      <c r="X29" s="15" t="n">
        <f aca="false">IF(P29=0,0,S29/P29)</f>
        <v>7.64358324834688</v>
      </c>
      <c r="Y29" s="15" t="n">
        <f aca="false">IF(J29=0,0,W29/J29)</f>
        <v>1.20308905132093</v>
      </c>
      <c r="Z29" s="14" t="n">
        <v>265150</v>
      </c>
      <c r="AA29" s="15" t="n">
        <f aca="false">IF(L29=0,0,Z29/L29)</f>
        <v>0.412108194137697</v>
      </c>
      <c r="AB29" s="12" t="n">
        <v>84110372</v>
      </c>
      <c r="AC29" s="16" t="n">
        <v>11.7</v>
      </c>
      <c r="AD29" s="16" t="n">
        <v>17.5</v>
      </c>
      <c r="AE29" s="13" t="n">
        <v>0.364</v>
      </c>
      <c r="AF29" s="13" t="n">
        <v>0.563</v>
      </c>
      <c r="AG29" s="13" t="n">
        <v>0.334</v>
      </c>
      <c r="AH29" s="13" t="n">
        <v>0.185</v>
      </c>
      <c r="AI29" s="17" t="n">
        <v>4.64</v>
      </c>
    </row>
    <row r="30" customFormat="false" ht="15" hidden="false" customHeight="false" outlineLevel="0" collapsed="false">
      <c r="A30" s="10" t="n">
        <v>44958</v>
      </c>
      <c r="B30" s="11" t="n">
        <f aca="false">YEAR(A30)</f>
        <v>2023</v>
      </c>
      <c r="C30" s="11" t="str">
        <f aca="false">"Q"&amp;ROUNDUP(MONTH(A30)/3,0)</f>
        <v>Q1</v>
      </c>
      <c r="D30" s="11" t="str">
        <f aca="false">B30&amp;"-"&amp;C30</f>
        <v>2023-Q1</v>
      </c>
      <c r="E30" s="11" t="n">
        <f aca="false">MONTH(A30)</f>
        <v>2</v>
      </c>
      <c r="F30" s="11" t="str">
        <f aca="false">TEXT(A30,"mmm")</f>
        <v>Feb</v>
      </c>
      <c r="G30" s="11" t="s">
        <v>208</v>
      </c>
      <c r="H30" s="11" t="s">
        <v>204</v>
      </c>
      <c r="I30" s="12" t="n">
        <v>5563411</v>
      </c>
      <c r="J30" s="12" t="n">
        <v>1538388</v>
      </c>
      <c r="K30" s="13" t="n">
        <f aca="false">IF(I30=0,0,J30/I30)</f>
        <v>0.276518847879475</v>
      </c>
      <c r="L30" s="12" t="n">
        <v>706505</v>
      </c>
      <c r="M30" s="12" t="n">
        <v>83946</v>
      </c>
      <c r="N30" s="12" t="n">
        <v>6920</v>
      </c>
      <c r="O30" s="12" t="n">
        <v>0</v>
      </c>
      <c r="P30" s="12" t="n">
        <f aca="false">M30+N30+O30</f>
        <v>90866</v>
      </c>
      <c r="Q30" s="13" t="n">
        <f aca="false">IF(I30=0,0,P30/I30)</f>
        <v>0.0163327857675804</v>
      </c>
      <c r="R30" s="13" t="n">
        <v>0.0487</v>
      </c>
      <c r="S30" s="14" t="n">
        <v>654905</v>
      </c>
      <c r="T30" s="14" t="n">
        <v>70133</v>
      </c>
      <c r="U30" s="14" t="n">
        <v>20259</v>
      </c>
      <c r="V30" s="14" t="n">
        <v>55697</v>
      </c>
      <c r="W30" s="14" t="n">
        <f aca="false">S30+T30+U30+V30</f>
        <v>800994</v>
      </c>
      <c r="X30" s="15" t="n">
        <f aca="false">IF(P30=0,0,S30/P30)</f>
        <v>7.20737129399335</v>
      </c>
      <c r="Y30" s="15" t="n">
        <f aca="false">IF(J30=0,0,W30/J30)</f>
        <v>0.52067098807323</v>
      </c>
      <c r="Z30" s="14" t="n">
        <v>162113</v>
      </c>
      <c r="AA30" s="15" t="n">
        <f aca="false">IF(L30=0,0,Z30/L30)</f>
        <v>0.229457682535863</v>
      </c>
      <c r="AB30" s="12" t="n">
        <v>111158938</v>
      </c>
      <c r="AC30" s="16" t="n">
        <v>11.5</v>
      </c>
      <c r="AD30" s="16" t="n">
        <v>17.8</v>
      </c>
      <c r="AE30" s="13" t="n">
        <v>0.37</v>
      </c>
      <c r="AF30" s="13" t="n">
        <v>0.566</v>
      </c>
      <c r="AG30" s="13" t="n">
        <v>0.342</v>
      </c>
      <c r="AH30" s="13" t="n">
        <v>0.189</v>
      </c>
      <c r="AI30" s="17" t="n">
        <v>4.57</v>
      </c>
    </row>
    <row r="31" customFormat="false" ht="15" hidden="false" customHeight="false" outlineLevel="0" collapsed="false">
      <c r="A31" s="10" t="n">
        <v>44958</v>
      </c>
      <c r="B31" s="11" t="n">
        <f aca="false">YEAR(A31)</f>
        <v>2023</v>
      </c>
      <c r="C31" s="11" t="str">
        <f aca="false">"Q"&amp;ROUNDUP(MONTH(A31)/3,0)</f>
        <v>Q1</v>
      </c>
      <c r="D31" s="11" t="str">
        <f aca="false">B31&amp;"-"&amp;C31</f>
        <v>2023-Q1</v>
      </c>
      <c r="E31" s="11" t="n">
        <f aca="false">MONTH(A31)</f>
        <v>2</v>
      </c>
      <c r="F31" s="11" t="str">
        <f aca="false">TEXT(A31,"mmm")</f>
        <v>Feb</v>
      </c>
      <c r="G31" s="11" t="s">
        <v>208</v>
      </c>
      <c r="H31" s="11" t="s">
        <v>205</v>
      </c>
      <c r="I31" s="12" t="n">
        <v>1663339</v>
      </c>
      <c r="J31" s="12" t="n">
        <v>426456</v>
      </c>
      <c r="K31" s="13" t="n">
        <f aca="false">IF(I31=0,0,J31/I31)</f>
        <v>0.256385499287878</v>
      </c>
      <c r="L31" s="12" t="n">
        <v>196963</v>
      </c>
      <c r="M31" s="12" t="n">
        <v>21369</v>
      </c>
      <c r="N31" s="12" t="n">
        <v>1989</v>
      </c>
      <c r="O31" s="12" t="n">
        <v>0</v>
      </c>
      <c r="P31" s="12" t="n">
        <f aca="false">M31+N31+O31</f>
        <v>23358</v>
      </c>
      <c r="Q31" s="13" t="n">
        <f aca="false">IF(I31=0,0,P31/I31)</f>
        <v>0.0140428379302115</v>
      </c>
      <c r="R31" s="13" t="n">
        <v>0.0491</v>
      </c>
      <c r="S31" s="14" t="n">
        <v>174941</v>
      </c>
      <c r="T31" s="14" t="n">
        <v>17126</v>
      </c>
      <c r="U31" s="14" t="n">
        <v>5571</v>
      </c>
      <c r="V31" s="14" t="n">
        <v>15323</v>
      </c>
      <c r="W31" s="14" t="n">
        <f aca="false">S31+T31+U31+V31</f>
        <v>212961</v>
      </c>
      <c r="X31" s="15" t="n">
        <f aca="false">IF(P31=0,0,S31/P31)</f>
        <v>7.48955390016269</v>
      </c>
      <c r="Y31" s="15" t="n">
        <f aca="false">IF(J31=0,0,W31/J31)</f>
        <v>0.499373909617874</v>
      </c>
      <c r="Z31" s="14" t="n">
        <v>41899</v>
      </c>
      <c r="AA31" s="15" t="n">
        <f aca="false">IF(L31=0,0,Z31/L31)</f>
        <v>0.21272523265791</v>
      </c>
      <c r="AB31" s="12" t="n">
        <v>30641024</v>
      </c>
      <c r="AC31" s="16" t="n">
        <v>10.1</v>
      </c>
      <c r="AD31" s="16" t="n">
        <v>17.8</v>
      </c>
      <c r="AE31" s="13" t="n">
        <v>0.361</v>
      </c>
      <c r="AF31" s="13" t="n">
        <v>0.563</v>
      </c>
      <c r="AG31" s="13" t="n">
        <v>0.336</v>
      </c>
      <c r="AH31" s="13" t="n">
        <v>0.187</v>
      </c>
      <c r="AI31" s="17"/>
    </row>
    <row r="32" customFormat="false" ht="15" hidden="false" customHeight="false" outlineLevel="0" collapsed="false">
      <c r="A32" s="10" t="n">
        <v>44958</v>
      </c>
      <c r="B32" s="11" t="n">
        <f aca="false">YEAR(A32)</f>
        <v>2023</v>
      </c>
      <c r="C32" s="11" t="str">
        <f aca="false">"Q"&amp;ROUNDUP(MONTH(A32)/3,0)</f>
        <v>Q1</v>
      </c>
      <c r="D32" s="11" t="str">
        <f aca="false">B32&amp;"-"&amp;C32</f>
        <v>2023-Q1</v>
      </c>
      <c r="E32" s="11" t="n">
        <f aca="false">MONTH(A32)</f>
        <v>2</v>
      </c>
      <c r="F32" s="11" t="str">
        <f aca="false">TEXT(A32,"mmm")</f>
        <v>Feb</v>
      </c>
      <c r="G32" s="11" t="s">
        <v>209</v>
      </c>
      <c r="H32" s="11" t="s">
        <v>203</v>
      </c>
      <c r="I32" s="12" t="n">
        <v>2662259</v>
      </c>
      <c r="J32" s="12" t="n">
        <v>725513</v>
      </c>
      <c r="K32" s="13" t="n">
        <f aca="false">IF(I32=0,0,J32/I32)</f>
        <v>0.272517812879964</v>
      </c>
      <c r="L32" s="12" t="n">
        <v>347882</v>
      </c>
      <c r="M32" s="12" t="n">
        <v>50059</v>
      </c>
      <c r="N32" s="12" t="n">
        <v>4207</v>
      </c>
      <c r="O32" s="12" t="n">
        <v>0</v>
      </c>
      <c r="P32" s="12" t="n">
        <f aca="false">M32+N32+O32</f>
        <v>54266</v>
      </c>
      <c r="Q32" s="13" t="n">
        <f aca="false">IF(I32=0,0,P32/I32)</f>
        <v>0.0203834412805065</v>
      </c>
      <c r="R32" s="13" t="n">
        <v>0.0475</v>
      </c>
      <c r="S32" s="14" t="n">
        <v>382515</v>
      </c>
      <c r="T32" s="14" t="n">
        <v>35052</v>
      </c>
      <c r="U32" s="14" t="n">
        <v>12212</v>
      </c>
      <c r="V32" s="14" t="n">
        <v>34187</v>
      </c>
      <c r="W32" s="14" t="n">
        <f aca="false">S32+T32+U32+V32</f>
        <v>463966</v>
      </c>
      <c r="X32" s="15" t="n">
        <f aca="false">IF(P32=0,0,S32/P32)</f>
        <v>7.0488888069878</v>
      </c>
      <c r="Y32" s="15" t="n">
        <f aca="false">IF(J32=0,0,W32/J32)</f>
        <v>0.639500601643251</v>
      </c>
      <c r="Z32" s="14" t="n">
        <v>83170</v>
      </c>
      <c r="AA32" s="15" t="n">
        <f aca="false">IF(L32=0,0,Z32/L32)</f>
        <v>0.239075318642528</v>
      </c>
      <c r="AB32" s="12" t="n">
        <v>51780515</v>
      </c>
      <c r="AC32" s="16" t="n">
        <v>11.3</v>
      </c>
      <c r="AD32" s="16" t="n">
        <v>17.6</v>
      </c>
      <c r="AE32" s="13" t="n">
        <v>0.358</v>
      </c>
      <c r="AF32" s="13" t="n">
        <v>0.557</v>
      </c>
      <c r="AG32" s="13" t="n">
        <v>0.332</v>
      </c>
      <c r="AH32" s="13" t="n">
        <v>0.188</v>
      </c>
      <c r="AI32" s="17" t="n">
        <v>4.66</v>
      </c>
    </row>
    <row r="33" customFormat="false" ht="15" hidden="false" customHeight="false" outlineLevel="0" collapsed="false">
      <c r="A33" s="10" t="n">
        <v>44958</v>
      </c>
      <c r="B33" s="11" t="n">
        <f aca="false">YEAR(A33)</f>
        <v>2023</v>
      </c>
      <c r="C33" s="11" t="str">
        <f aca="false">"Q"&amp;ROUNDUP(MONTH(A33)/3,0)</f>
        <v>Q1</v>
      </c>
      <c r="D33" s="11" t="str">
        <f aca="false">B33&amp;"-"&amp;C33</f>
        <v>2023-Q1</v>
      </c>
      <c r="E33" s="11" t="n">
        <f aca="false">MONTH(A33)</f>
        <v>2</v>
      </c>
      <c r="F33" s="11" t="str">
        <f aca="false">TEXT(A33,"mmm")</f>
        <v>Feb</v>
      </c>
      <c r="G33" s="11" t="s">
        <v>209</v>
      </c>
      <c r="H33" s="11" t="s">
        <v>204</v>
      </c>
      <c r="I33" s="12" t="n">
        <v>3338192</v>
      </c>
      <c r="J33" s="12" t="n">
        <v>868500</v>
      </c>
      <c r="K33" s="13" t="n">
        <f aca="false">IF(I33=0,0,J33/I33)</f>
        <v>0.260170775078246</v>
      </c>
      <c r="L33" s="12" t="n">
        <v>430705</v>
      </c>
      <c r="M33" s="12" t="n">
        <v>25521</v>
      </c>
      <c r="N33" s="12" t="n">
        <v>2357</v>
      </c>
      <c r="O33" s="12" t="n">
        <v>0</v>
      </c>
      <c r="P33" s="12" t="n">
        <f aca="false">M33+N33+O33</f>
        <v>27878</v>
      </c>
      <c r="Q33" s="13" t="n">
        <f aca="false">IF(I33=0,0,P33/I33)</f>
        <v>0.00835122725115871</v>
      </c>
      <c r="R33" s="13" t="n">
        <v>0.0455</v>
      </c>
      <c r="S33" s="14" t="n">
        <v>219874</v>
      </c>
      <c r="T33" s="14" t="n">
        <v>22596</v>
      </c>
      <c r="U33" s="14" t="n">
        <v>6453</v>
      </c>
      <c r="V33" s="14" t="n">
        <v>19687</v>
      </c>
      <c r="W33" s="14" t="n">
        <f aca="false">S33+T33+U33+V33</f>
        <v>268610</v>
      </c>
      <c r="X33" s="15" t="n">
        <f aca="false">IF(P33=0,0,S33/P33)</f>
        <v>7.8870076763039</v>
      </c>
      <c r="Y33" s="15" t="n">
        <f aca="false">IF(J33=0,0,W33/J33)</f>
        <v>0.309280368451353</v>
      </c>
      <c r="Z33" s="14" t="n">
        <v>53678</v>
      </c>
      <c r="AA33" s="15" t="n">
        <f aca="false">IF(L33=0,0,Z33/L33)</f>
        <v>0.124628225815814</v>
      </c>
      <c r="AB33" s="12" t="n">
        <v>63509072</v>
      </c>
      <c r="AC33" s="16" t="n">
        <v>11.1</v>
      </c>
      <c r="AD33" s="16" t="n">
        <v>16.9</v>
      </c>
      <c r="AE33" s="13" t="n">
        <v>0.363</v>
      </c>
      <c r="AF33" s="13" t="n">
        <v>0.566</v>
      </c>
      <c r="AG33" s="13" t="n">
        <v>0.321</v>
      </c>
      <c r="AH33" s="13" t="n">
        <v>0.204</v>
      </c>
      <c r="AI33" s="17" t="n">
        <v>4.61</v>
      </c>
    </row>
    <row r="34" customFormat="false" ht="15" hidden="false" customHeight="false" outlineLevel="0" collapsed="false">
      <c r="A34" s="10" t="n">
        <v>44958</v>
      </c>
      <c r="B34" s="11" t="n">
        <f aca="false">YEAR(A34)</f>
        <v>2023</v>
      </c>
      <c r="C34" s="11" t="str">
        <f aca="false">"Q"&amp;ROUNDUP(MONTH(A34)/3,0)</f>
        <v>Q1</v>
      </c>
      <c r="D34" s="11" t="str">
        <f aca="false">B34&amp;"-"&amp;C34</f>
        <v>2023-Q1</v>
      </c>
      <c r="E34" s="11" t="n">
        <f aca="false">MONTH(A34)</f>
        <v>2</v>
      </c>
      <c r="F34" s="11" t="str">
        <f aca="false">TEXT(A34,"mmm")</f>
        <v>Feb</v>
      </c>
      <c r="G34" s="11" t="s">
        <v>209</v>
      </c>
      <c r="H34" s="11" t="s">
        <v>205</v>
      </c>
      <c r="I34" s="12" t="n">
        <v>959891</v>
      </c>
      <c r="J34" s="12" t="n">
        <v>227811</v>
      </c>
      <c r="K34" s="13" t="n">
        <f aca="false">IF(I34=0,0,J34/I34)</f>
        <v>0.237330071851908</v>
      </c>
      <c r="L34" s="12" t="n">
        <v>115145</v>
      </c>
      <c r="M34" s="12" t="n">
        <v>7541</v>
      </c>
      <c r="N34" s="12" t="n">
        <v>724</v>
      </c>
      <c r="O34" s="12" t="n">
        <v>0</v>
      </c>
      <c r="P34" s="12" t="n">
        <f aca="false">M34+N34+O34</f>
        <v>8265</v>
      </c>
      <c r="Q34" s="13" t="n">
        <f aca="false">IF(I34=0,0,P34/I34)</f>
        <v>0.00861035263378863</v>
      </c>
      <c r="R34" s="13" t="n">
        <v>0.0511</v>
      </c>
      <c r="S34" s="14" t="n">
        <v>61813</v>
      </c>
      <c r="T34" s="14" t="n">
        <v>6071</v>
      </c>
      <c r="U34" s="14" t="n">
        <v>1839</v>
      </c>
      <c r="V34" s="14" t="n">
        <v>5038</v>
      </c>
      <c r="W34" s="14" t="n">
        <f aca="false">S34+T34+U34+V34</f>
        <v>74761</v>
      </c>
      <c r="X34" s="15" t="n">
        <f aca="false">IF(P34=0,0,S34/P34)</f>
        <v>7.4788868723533</v>
      </c>
      <c r="Y34" s="15" t="n">
        <f aca="false">IF(J34=0,0,W34/J34)</f>
        <v>0.328171159426015</v>
      </c>
      <c r="Z34" s="14" t="n">
        <v>12555</v>
      </c>
      <c r="AA34" s="15" t="n">
        <f aca="false">IF(L34=0,0,Z34/L34)</f>
        <v>0.10903643232446</v>
      </c>
      <c r="AB34" s="12" t="n">
        <v>17276537</v>
      </c>
      <c r="AC34" s="16" t="n">
        <v>10.3</v>
      </c>
      <c r="AD34" s="16" t="n">
        <v>17.3</v>
      </c>
      <c r="AE34" s="13" t="n">
        <v>0.358</v>
      </c>
      <c r="AF34" s="13" t="n">
        <v>0.572</v>
      </c>
      <c r="AG34" s="13" t="n">
        <v>0.34</v>
      </c>
      <c r="AH34" s="13" t="n">
        <v>0.186</v>
      </c>
      <c r="AI34" s="17"/>
    </row>
    <row r="35" customFormat="false" ht="15" hidden="false" customHeight="false" outlineLevel="0" collapsed="false">
      <c r="A35" s="10" t="n">
        <v>44958</v>
      </c>
      <c r="B35" s="11" t="n">
        <f aca="false">YEAR(A35)</f>
        <v>2023</v>
      </c>
      <c r="C35" s="11" t="str">
        <f aca="false">"Q"&amp;ROUNDUP(MONTH(A35)/3,0)</f>
        <v>Q1</v>
      </c>
      <c r="D35" s="11" t="str">
        <f aca="false">B35&amp;"-"&amp;C35</f>
        <v>2023-Q1</v>
      </c>
      <c r="E35" s="11" t="n">
        <f aca="false">MONTH(A35)</f>
        <v>2</v>
      </c>
      <c r="F35" s="11" t="str">
        <f aca="false">TEXT(A35,"mmm")</f>
        <v>Feb</v>
      </c>
      <c r="G35" s="11" t="s">
        <v>210</v>
      </c>
      <c r="H35" s="11" t="s">
        <v>203</v>
      </c>
      <c r="I35" s="12" t="n">
        <v>4155485</v>
      </c>
      <c r="J35" s="12" t="n">
        <v>1161500</v>
      </c>
      <c r="K35" s="13" t="n">
        <f aca="false">IF(I35=0,0,J35/I35)</f>
        <v>0.279510093286343</v>
      </c>
      <c r="L35" s="12" t="n">
        <v>560556</v>
      </c>
      <c r="M35" s="12" t="n">
        <v>95949</v>
      </c>
      <c r="N35" s="12" t="n">
        <v>8031</v>
      </c>
      <c r="O35" s="12" t="n">
        <v>0</v>
      </c>
      <c r="P35" s="12" t="n">
        <f aca="false">M35+N35+O35</f>
        <v>103980</v>
      </c>
      <c r="Q35" s="13" t="n">
        <f aca="false">IF(I35=0,0,P35/I35)</f>
        <v>0.025022349978402</v>
      </c>
      <c r="R35" s="13" t="n">
        <v>0.0461</v>
      </c>
      <c r="S35" s="14" t="n">
        <v>785093</v>
      </c>
      <c r="T35" s="14" t="n">
        <v>80773</v>
      </c>
      <c r="U35" s="14" t="n">
        <v>24860</v>
      </c>
      <c r="V35" s="14" t="n">
        <v>69902</v>
      </c>
      <c r="W35" s="14" t="n">
        <f aca="false">S35+T35+U35+V35</f>
        <v>960628</v>
      </c>
      <c r="X35" s="15" t="n">
        <f aca="false">IF(P35=0,0,S35/P35)</f>
        <v>7.55042315829967</v>
      </c>
      <c r="Y35" s="15" t="n">
        <f aca="false">IF(J35=0,0,W35/J35)</f>
        <v>0.827058114507103</v>
      </c>
      <c r="Z35" s="14" t="n">
        <v>188668</v>
      </c>
      <c r="AA35" s="15" t="n">
        <f aca="false">IF(L35=0,0,Z35/L35)</f>
        <v>0.336572973975838</v>
      </c>
      <c r="AB35" s="12" t="n">
        <v>80636355</v>
      </c>
      <c r="AC35" s="16" t="n">
        <v>11.5</v>
      </c>
      <c r="AD35" s="16" t="n">
        <v>17.4</v>
      </c>
      <c r="AE35" s="13" t="n">
        <v>0.352</v>
      </c>
      <c r="AF35" s="13" t="n">
        <v>0.57</v>
      </c>
      <c r="AG35" s="13" t="n">
        <v>0.326</v>
      </c>
      <c r="AH35" s="13" t="n">
        <v>0.186</v>
      </c>
      <c r="AI35" s="17" t="n">
        <v>4.63</v>
      </c>
    </row>
    <row r="36" customFormat="false" ht="15" hidden="false" customHeight="false" outlineLevel="0" collapsed="false">
      <c r="A36" s="10" t="n">
        <v>44958</v>
      </c>
      <c r="B36" s="11" t="n">
        <f aca="false">YEAR(A36)</f>
        <v>2023</v>
      </c>
      <c r="C36" s="11" t="str">
        <f aca="false">"Q"&amp;ROUNDUP(MONTH(A36)/3,0)</f>
        <v>Q1</v>
      </c>
      <c r="D36" s="11" t="str">
        <f aca="false">B36&amp;"-"&amp;C36</f>
        <v>2023-Q1</v>
      </c>
      <c r="E36" s="11" t="n">
        <f aca="false">MONTH(A36)</f>
        <v>2</v>
      </c>
      <c r="F36" s="11" t="str">
        <f aca="false">TEXT(A36,"mmm")</f>
        <v>Feb</v>
      </c>
      <c r="G36" s="11" t="s">
        <v>210</v>
      </c>
      <c r="H36" s="11" t="s">
        <v>204</v>
      </c>
      <c r="I36" s="12" t="n">
        <v>5469816</v>
      </c>
      <c r="J36" s="12" t="n">
        <v>1369934</v>
      </c>
      <c r="K36" s="13" t="n">
        <f aca="false">IF(I36=0,0,J36/I36)</f>
        <v>0.250453397335486</v>
      </c>
      <c r="L36" s="12" t="n">
        <v>617106</v>
      </c>
      <c r="M36" s="12" t="n">
        <v>55646</v>
      </c>
      <c r="N36" s="12" t="n">
        <v>5435</v>
      </c>
      <c r="O36" s="12" t="n">
        <v>0</v>
      </c>
      <c r="P36" s="12" t="n">
        <f aca="false">M36+N36+O36</f>
        <v>61081</v>
      </c>
      <c r="Q36" s="13" t="n">
        <f aca="false">IF(I36=0,0,P36/I36)</f>
        <v>0.0111669204229173</v>
      </c>
      <c r="R36" s="13" t="n">
        <v>0.0454</v>
      </c>
      <c r="S36" s="14" t="n">
        <v>425109</v>
      </c>
      <c r="T36" s="14" t="n">
        <v>44430</v>
      </c>
      <c r="U36" s="14" t="n">
        <v>13818</v>
      </c>
      <c r="V36" s="14" t="n">
        <v>34706</v>
      </c>
      <c r="W36" s="14" t="n">
        <f aca="false">S36+T36+U36+V36</f>
        <v>518063</v>
      </c>
      <c r="X36" s="15" t="n">
        <f aca="false">IF(P36=0,0,S36/P36)</f>
        <v>6.95975835366153</v>
      </c>
      <c r="Y36" s="15" t="n">
        <f aca="false">IF(J36=0,0,W36/J36)</f>
        <v>0.378166393417493</v>
      </c>
      <c r="Z36" s="14" t="n">
        <v>92683</v>
      </c>
      <c r="AA36" s="15" t="n">
        <f aca="false">IF(L36=0,0,Z36/L36)</f>
        <v>0.150189756703062</v>
      </c>
      <c r="AB36" s="12" t="n">
        <v>95534293</v>
      </c>
      <c r="AC36" s="16" t="n">
        <v>11.2</v>
      </c>
      <c r="AD36" s="16" t="n">
        <v>17.8</v>
      </c>
      <c r="AE36" s="13" t="n">
        <v>0.374</v>
      </c>
      <c r="AF36" s="13" t="n">
        <v>0.549</v>
      </c>
      <c r="AG36" s="13" t="n">
        <v>0.316</v>
      </c>
      <c r="AH36" s="13" t="n">
        <v>0.196</v>
      </c>
      <c r="AI36" s="17" t="n">
        <v>4.61</v>
      </c>
    </row>
    <row r="37" customFormat="false" ht="15" hidden="false" customHeight="false" outlineLevel="0" collapsed="false">
      <c r="A37" s="10" t="n">
        <v>44958</v>
      </c>
      <c r="B37" s="11" t="n">
        <f aca="false">YEAR(A37)</f>
        <v>2023</v>
      </c>
      <c r="C37" s="11" t="str">
        <f aca="false">"Q"&amp;ROUNDUP(MONTH(A37)/3,0)</f>
        <v>Q1</v>
      </c>
      <c r="D37" s="11" t="str">
        <f aca="false">B37&amp;"-"&amp;C37</f>
        <v>2023-Q1</v>
      </c>
      <c r="E37" s="11" t="n">
        <f aca="false">MONTH(A37)</f>
        <v>2</v>
      </c>
      <c r="F37" s="11" t="str">
        <f aca="false">TEXT(A37,"mmm")</f>
        <v>Feb</v>
      </c>
      <c r="G37" s="11" t="s">
        <v>210</v>
      </c>
      <c r="H37" s="11" t="s">
        <v>205</v>
      </c>
      <c r="I37" s="12" t="n">
        <v>1521900</v>
      </c>
      <c r="J37" s="12" t="n">
        <v>356730</v>
      </c>
      <c r="K37" s="13" t="n">
        <f aca="false">IF(I37=0,0,J37/I37)</f>
        <v>0.234397792233392</v>
      </c>
      <c r="L37" s="12" t="n">
        <v>184206</v>
      </c>
      <c r="M37" s="12" t="n">
        <v>15283</v>
      </c>
      <c r="N37" s="12" t="n">
        <v>1432</v>
      </c>
      <c r="O37" s="12" t="n">
        <v>0</v>
      </c>
      <c r="P37" s="12" t="n">
        <f aca="false">M37+N37+O37</f>
        <v>16715</v>
      </c>
      <c r="Q37" s="13" t="n">
        <f aca="false">IF(I37=0,0,P37/I37)</f>
        <v>0.010982981799067</v>
      </c>
      <c r="R37" s="13" t="n">
        <v>0.0488</v>
      </c>
      <c r="S37" s="14" t="n">
        <v>122653</v>
      </c>
      <c r="T37" s="14" t="n">
        <v>12349</v>
      </c>
      <c r="U37" s="14" t="n">
        <v>3852</v>
      </c>
      <c r="V37" s="14" t="n">
        <v>9802</v>
      </c>
      <c r="W37" s="14" t="n">
        <f aca="false">S37+T37+U37+V37</f>
        <v>148656</v>
      </c>
      <c r="X37" s="15" t="n">
        <f aca="false">IF(P37=0,0,S37/P37)</f>
        <v>7.33790008973976</v>
      </c>
      <c r="Y37" s="15" t="n">
        <f aca="false">IF(J37=0,0,W37/J37)</f>
        <v>0.416718526616769</v>
      </c>
      <c r="Z37" s="14" t="n">
        <v>26126</v>
      </c>
      <c r="AA37" s="15" t="n">
        <f aca="false">IF(L37=0,0,Z37/L37)</f>
        <v>0.141830342116978</v>
      </c>
      <c r="AB37" s="12" t="n">
        <v>25646534</v>
      </c>
      <c r="AC37" s="16" t="n">
        <v>9.9</v>
      </c>
      <c r="AD37" s="16" t="n">
        <v>16.2</v>
      </c>
      <c r="AE37" s="13" t="n">
        <v>0.36</v>
      </c>
      <c r="AF37" s="13" t="n">
        <v>0.569</v>
      </c>
      <c r="AG37" s="13" t="n">
        <v>0.335</v>
      </c>
      <c r="AH37" s="13" t="n">
        <v>0.201</v>
      </c>
      <c r="AI37" s="17"/>
    </row>
    <row r="38" customFormat="false" ht="15" hidden="false" customHeight="false" outlineLevel="0" collapsed="false">
      <c r="A38" s="10" t="n">
        <v>44986</v>
      </c>
      <c r="B38" s="11" t="n">
        <f aca="false">YEAR(A38)</f>
        <v>2023</v>
      </c>
      <c r="C38" s="11" t="str">
        <f aca="false">"Q"&amp;ROUNDUP(MONTH(A38)/3,0)</f>
        <v>Q1</v>
      </c>
      <c r="D38" s="11" t="str">
        <f aca="false">B38&amp;"-"&amp;C38</f>
        <v>2023-Q1</v>
      </c>
      <c r="E38" s="11" t="n">
        <f aca="false">MONTH(A38)</f>
        <v>3</v>
      </c>
      <c r="F38" s="11" t="str">
        <f aca="false">TEXT(A38,"mmm")</f>
        <v>Mar</v>
      </c>
      <c r="G38" s="11" t="s">
        <v>202</v>
      </c>
      <c r="H38" s="11" t="s">
        <v>203</v>
      </c>
      <c r="I38" s="12" t="n">
        <v>6009649</v>
      </c>
      <c r="J38" s="12" t="n">
        <v>1774932</v>
      </c>
      <c r="K38" s="13" t="n">
        <f aca="false">IF(I38=0,0,J38/I38)</f>
        <v>0.295347032746838</v>
      </c>
      <c r="L38" s="12" t="n">
        <v>952365</v>
      </c>
      <c r="M38" s="12" t="n">
        <v>1136978</v>
      </c>
      <c r="N38" s="12" t="n">
        <v>104408</v>
      </c>
      <c r="O38" s="12" t="n">
        <v>9608</v>
      </c>
      <c r="P38" s="12" t="n">
        <f aca="false">M38+N38+O38</f>
        <v>1250994</v>
      </c>
      <c r="Q38" s="13" t="n">
        <f aca="false">IF(I38=0,0,P38/I38)</f>
        <v>0.208164237212523</v>
      </c>
      <c r="R38" s="13" t="n">
        <v>0.0436</v>
      </c>
      <c r="S38" s="14" t="n">
        <v>9904355</v>
      </c>
      <c r="T38" s="14" t="n">
        <v>1104501</v>
      </c>
      <c r="U38" s="14" t="n">
        <v>323231</v>
      </c>
      <c r="V38" s="14" t="n">
        <v>777297</v>
      </c>
      <c r="W38" s="14" t="n">
        <f aca="false">S38+T38+U38+V38</f>
        <v>12109384</v>
      </c>
      <c r="X38" s="15" t="n">
        <f aca="false">IF(P38=0,0,S38/P38)</f>
        <v>7.91718825190209</v>
      </c>
      <c r="Y38" s="15" t="n">
        <f aca="false">IF(J38=0,0,W38/J38)</f>
        <v>6.8224495360949</v>
      </c>
      <c r="Z38" s="14" t="n">
        <v>1984183</v>
      </c>
      <c r="AA38" s="15" t="n">
        <f aca="false">IF(L38=0,0,Z38/L38)</f>
        <v>2.08342704740304</v>
      </c>
      <c r="AB38" s="12" t="n">
        <v>125096392</v>
      </c>
      <c r="AC38" s="16" t="n">
        <v>11.7</v>
      </c>
      <c r="AD38" s="16" t="n">
        <v>17.2</v>
      </c>
      <c r="AE38" s="13" t="n">
        <v>0.361</v>
      </c>
      <c r="AF38" s="13" t="n">
        <v>0.556</v>
      </c>
      <c r="AG38" s="13" t="n">
        <v>0.328</v>
      </c>
      <c r="AH38" s="13" t="n">
        <v>0.195</v>
      </c>
      <c r="AI38" s="17" t="n">
        <v>4.63</v>
      </c>
    </row>
    <row r="39" customFormat="false" ht="15" hidden="false" customHeight="false" outlineLevel="0" collapsed="false">
      <c r="A39" s="10" t="n">
        <v>44986</v>
      </c>
      <c r="B39" s="11" t="n">
        <f aca="false">YEAR(A39)</f>
        <v>2023</v>
      </c>
      <c r="C39" s="11" t="str">
        <f aca="false">"Q"&amp;ROUNDUP(MONTH(A39)/3,0)</f>
        <v>Q1</v>
      </c>
      <c r="D39" s="11" t="str">
        <f aca="false">B39&amp;"-"&amp;C39</f>
        <v>2023-Q1</v>
      </c>
      <c r="E39" s="11" t="n">
        <f aca="false">MONTH(A39)</f>
        <v>3</v>
      </c>
      <c r="F39" s="11" t="str">
        <f aca="false">TEXT(A39,"mmm")</f>
        <v>Mar</v>
      </c>
      <c r="G39" s="11" t="s">
        <v>202</v>
      </c>
      <c r="H39" s="11" t="s">
        <v>204</v>
      </c>
      <c r="I39" s="12" t="n">
        <v>7944145</v>
      </c>
      <c r="J39" s="12" t="n">
        <v>2171905</v>
      </c>
      <c r="K39" s="13" t="n">
        <f aca="false">IF(I39=0,0,J39/I39)</f>
        <v>0.273396948318542</v>
      </c>
      <c r="L39" s="12" t="n">
        <v>1127036</v>
      </c>
      <c r="M39" s="12" t="n">
        <v>678808</v>
      </c>
      <c r="N39" s="12" t="n">
        <v>61146</v>
      </c>
      <c r="O39" s="12" t="n">
        <v>4287</v>
      </c>
      <c r="P39" s="12" t="n">
        <f aca="false">M39+N39+O39</f>
        <v>744241</v>
      </c>
      <c r="Q39" s="13" t="n">
        <f aca="false">IF(I39=0,0,P39/I39)</f>
        <v>0.0936842164889991</v>
      </c>
      <c r="R39" s="13" t="n">
        <v>0.0469</v>
      </c>
      <c r="S39" s="14" t="n">
        <v>5284267</v>
      </c>
      <c r="T39" s="14" t="n">
        <v>551525</v>
      </c>
      <c r="U39" s="14" t="n">
        <v>162726</v>
      </c>
      <c r="V39" s="14" t="n">
        <v>417087</v>
      </c>
      <c r="W39" s="14" t="n">
        <f aca="false">S39+T39+U39+V39</f>
        <v>6415605</v>
      </c>
      <c r="X39" s="15" t="n">
        <f aca="false">IF(P39=0,0,S39/P39)</f>
        <v>7.10020947515657</v>
      </c>
      <c r="Y39" s="15" t="n">
        <f aca="false">IF(J39=0,0,W39/J39)</f>
        <v>2.95390682373308</v>
      </c>
      <c r="Z39" s="14" t="n">
        <v>1218502</v>
      </c>
      <c r="AA39" s="15" t="n">
        <f aca="false">IF(L39=0,0,Z39/L39)</f>
        <v>1.08115623635802</v>
      </c>
      <c r="AB39" s="12" t="n">
        <v>158937609</v>
      </c>
      <c r="AC39" s="16" t="n">
        <v>11.3</v>
      </c>
      <c r="AD39" s="16" t="n">
        <v>17.8</v>
      </c>
      <c r="AE39" s="13" t="n">
        <v>0.371</v>
      </c>
      <c r="AF39" s="13" t="n">
        <v>0.562</v>
      </c>
      <c r="AG39" s="13" t="n">
        <v>0.329</v>
      </c>
      <c r="AH39" s="13" t="n">
        <v>0.188</v>
      </c>
      <c r="AI39" s="17" t="n">
        <v>4.6</v>
      </c>
    </row>
    <row r="40" customFormat="false" ht="15" hidden="false" customHeight="false" outlineLevel="0" collapsed="false">
      <c r="A40" s="10" t="n">
        <v>44986</v>
      </c>
      <c r="B40" s="11" t="n">
        <f aca="false">YEAR(A40)</f>
        <v>2023</v>
      </c>
      <c r="C40" s="11" t="str">
        <f aca="false">"Q"&amp;ROUNDUP(MONTH(A40)/3,0)</f>
        <v>Q1</v>
      </c>
      <c r="D40" s="11" t="str">
        <f aca="false">B40&amp;"-"&amp;C40</f>
        <v>2023-Q1</v>
      </c>
      <c r="E40" s="11" t="n">
        <f aca="false">MONTH(A40)</f>
        <v>3</v>
      </c>
      <c r="F40" s="11" t="str">
        <f aca="false">TEXT(A40,"mmm")</f>
        <v>Mar</v>
      </c>
      <c r="G40" s="11" t="s">
        <v>202</v>
      </c>
      <c r="H40" s="11" t="s">
        <v>205</v>
      </c>
      <c r="I40" s="12" t="n">
        <v>2360266</v>
      </c>
      <c r="J40" s="12" t="n">
        <v>601711</v>
      </c>
      <c r="K40" s="13" t="n">
        <f aca="false">IF(I40=0,0,J40/I40)</f>
        <v>0.254933554099411</v>
      </c>
      <c r="L40" s="12" t="n">
        <v>293526</v>
      </c>
      <c r="M40" s="12" t="n">
        <v>187472</v>
      </c>
      <c r="N40" s="12" t="n">
        <v>16660</v>
      </c>
      <c r="O40" s="12" t="n">
        <v>787</v>
      </c>
      <c r="P40" s="12" t="n">
        <f aca="false">M40+N40+O40</f>
        <v>204919</v>
      </c>
      <c r="Q40" s="13" t="n">
        <f aca="false">IF(I40=0,0,P40/I40)</f>
        <v>0.0868202990679864</v>
      </c>
      <c r="R40" s="13" t="n">
        <v>0.052</v>
      </c>
      <c r="S40" s="14" t="n">
        <v>1519083</v>
      </c>
      <c r="T40" s="14" t="n">
        <v>148681</v>
      </c>
      <c r="U40" s="14" t="n">
        <v>45824</v>
      </c>
      <c r="V40" s="14" t="n">
        <v>118449</v>
      </c>
      <c r="W40" s="14" t="n">
        <f aca="false">S40+T40+U40+V40</f>
        <v>1832037</v>
      </c>
      <c r="X40" s="15" t="n">
        <f aca="false">IF(P40=0,0,S40/P40)</f>
        <v>7.41309005021496</v>
      </c>
      <c r="Y40" s="15" t="n">
        <f aca="false">IF(J40=0,0,W40/J40)</f>
        <v>3.0447124948688</v>
      </c>
      <c r="Z40" s="14" t="n">
        <v>340709</v>
      </c>
      <c r="AA40" s="15" t="n">
        <f aca="false">IF(L40=0,0,Z40/L40)</f>
        <v>1.16074555575997</v>
      </c>
      <c r="AB40" s="12" t="n">
        <v>43809332</v>
      </c>
      <c r="AC40" s="16" t="n">
        <v>10.3</v>
      </c>
      <c r="AD40" s="16" t="n">
        <v>17.5</v>
      </c>
      <c r="AE40" s="13" t="n">
        <v>0.371</v>
      </c>
      <c r="AF40" s="13" t="n">
        <v>0.552</v>
      </c>
      <c r="AG40" s="13" t="n">
        <v>0.333</v>
      </c>
      <c r="AH40" s="13" t="n">
        <v>0.201</v>
      </c>
      <c r="AI40" s="17"/>
    </row>
    <row r="41" customFormat="false" ht="15" hidden="false" customHeight="false" outlineLevel="0" collapsed="false">
      <c r="A41" s="10" t="n">
        <v>44986</v>
      </c>
      <c r="B41" s="11" t="n">
        <f aca="false">YEAR(A41)</f>
        <v>2023</v>
      </c>
      <c r="C41" s="11" t="str">
        <f aca="false">"Q"&amp;ROUNDUP(MONTH(A41)/3,0)</f>
        <v>Q1</v>
      </c>
      <c r="D41" s="11" t="str">
        <f aca="false">B41&amp;"-"&amp;C41</f>
        <v>2023-Q1</v>
      </c>
      <c r="E41" s="11" t="n">
        <f aca="false">MONTH(A41)</f>
        <v>3</v>
      </c>
      <c r="F41" s="11" t="str">
        <f aca="false">TEXT(A41,"mmm")</f>
        <v>Mar</v>
      </c>
      <c r="G41" s="11" t="s">
        <v>206</v>
      </c>
      <c r="H41" s="11" t="s">
        <v>203</v>
      </c>
      <c r="I41" s="12" t="n">
        <v>6330074</v>
      </c>
      <c r="J41" s="12" t="n">
        <v>2025281</v>
      </c>
      <c r="K41" s="13" t="n">
        <f aca="false">IF(I41=0,0,J41/I41)</f>
        <v>0.319945864771881</v>
      </c>
      <c r="L41" s="12" t="n">
        <v>1130924</v>
      </c>
      <c r="M41" s="12" t="n">
        <v>670044</v>
      </c>
      <c r="N41" s="12" t="n">
        <v>65233</v>
      </c>
      <c r="O41" s="12" t="n">
        <v>3546</v>
      </c>
      <c r="P41" s="12" t="n">
        <f aca="false">M41+N41+O41</f>
        <v>738823</v>
      </c>
      <c r="Q41" s="13" t="n">
        <f aca="false">IF(I41=0,0,P41/I41)</f>
        <v>0.116716329066611</v>
      </c>
      <c r="R41" s="13" t="n">
        <v>0.048</v>
      </c>
      <c r="S41" s="14" t="n">
        <v>5499881</v>
      </c>
      <c r="T41" s="14" t="n">
        <v>584243</v>
      </c>
      <c r="U41" s="14" t="n">
        <v>177290</v>
      </c>
      <c r="V41" s="14" t="n">
        <v>469853</v>
      </c>
      <c r="W41" s="14" t="n">
        <f aca="false">S41+T41+U41+V41</f>
        <v>6731267</v>
      </c>
      <c r="X41" s="15" t="n">
        <f aca="false">IF(P41=0,0,S41/P41)</f>
        <v>7.44411178320112</v>
      </c>
      <c r="Y41" s="15" t="n">
        <f aca="false">IF(J41=0,0,W41/J41)</f>
        <v>3.32362126539478</v>
      </c>
      <c r="Z41" s="14" t="n">
        <v>1244215</v>
      </c>
      <c r="AA41" s="15" t="n">
        <f aca="false">IF(L41=0,0,Z41/L41)</f>
        <v>1.10017560861738</v>
      </c>
      <c r="AB41" s="12" t="n">
        <v>153218870</v>
      </c>
      <c r="AC41" s="16" t="n">
        <v>11.7</v>
      </c>
      <c r="AD41" s="16" t="n">
        <v>16.9</v>
      </c>
      <c r="AE41" s="13" t="n">
        <v>0.371</v>
      </c>
      <c r="AF41" s="13" t="n">
        <v>0.568</v>
      </c>
      <c r="AG41" s="13" t="n">
        <v>0.331</v>
      </c>
      <c r="AH41" s="13" t="n">
        <v>0.189</v>
      </c>
      <c r="AI41" s="17" t="n">
        <v>4.7</v>
      </c>
    </row>
    <row r="42" customFormat="false" ht="15" hidden="false" customHeight="false" outlineLevel="0" collapsed="false">
      <c r="A42" s="10" t="n">
        <v>44986</v>
      </c>
      <c r="B42" s="11" t="n">
        <f aca="false">YEAR(A42)</f>
        <v>2023</v>
      </c>
      <c r="C42" s="11" t="str">
        <f aca="false">"Q"&amp;ROUNDUP(MONTH(A42)/3,0)</f>
        <v>Q1</v>
      </c>
      <c r="D42" s="11" t="str">
        <f aca="false">B42&amp;"-"&amp;C42</f>
        <v>2023-Q1</v>
      </c>
      <c r="E42" s="11" t="n">
        <f aca="false">MONTH(A42)</f>
        <v>3</v>
      </c>
      <c r="F42" s="11" t="str">
        <f aca="false">TEXT(A42,"mmm")</f>
        <v>Mar</v>
      </c>
      <c r="G42" s="11" t="s">
        <v>206</v>
      </c>
      <c r="H42" s="11" t="s">
        <v>204</v>
      </c>
      <c r="I42" s="12" t="n">
        <v>9058246</v>
      </c>
      <c r="J42" s="12" t="n">
        <v>2439548</v>
      </c>
      <c r="K42" s="13" t="n">
        <f aca="false">IF(I42=0,0,J42/I42)</f>
        <v>0.269317923138762</v>
      </c>
      <c r="L42" s="12" t="n">
        <v>1133409</v>
      </c>
      <c r="M42" s="12" t="n">
        <v>380503</v>
      </c>
      <c r="N42" s="12" t="n">
        <v>35479</v>
      </c>
      <c r="O42" s="12" t="n">
        <v>1503</v>
      </c>
      <c r="P42" s="12" t="n">
        <f aca="false">M42+N42+O42</f>
        <v>417485</v>
      </c>
      <c r="Q42" s="13" t="n">
        <f aca="false">IF(I42=0,0,P42/I42)</f>
        <v>0.0460889448133778</v>
      </c>
      <c r="R42" s="13" t="n">
        <v>0.0435</v>
      </c>
      <c r="S42" s="14" t="n">
        <v>3234992</v>
      </c>
      <c r="T42" s="14" t="n">
        <v>328329</v>
      </c>
      <c r="U42" s="14" t="n">
        <v>104776</v>
      </c>
      <c r="V42" s="14" t="n">
        <v>265386</v>
      </c>
      <c r="W42" s="14" t="n">
        <f aca="false">S42+T42+U42+V42</f>
        <v>3933483</v>
      </c>
      <c r="X42" s="15" t="n">
        <f aca="false">IF(P42=0,0,S42/P42)</f>
        <v>7.74876223097836</v>
      </c>
      <c r="Y42" s="15" t="n">
        <f aca="false">IF(J42=0,0,W42/J42)</f>
        <v>1.61238188385717</v>
      </c>
      <c r="Z42" s="14" t="n">
        <v>711954</v>
      </c>
      <c r="AA42" s="15" t="n">
        <f aca="false">IF(L42=0,0,Z42/L42)</f>
        <v>0.628152767447585</v>
      </c>
      <c r="AB42" s="12" t="n">
        <v>183994647</v>
      </c>
      <c r="AC42" s="16" t="n">
        <v>11.4</v>
      </c>
      <c r="AD42" s="16" t="n">
        <v>18.1</v>
      </c>
      <c r="AE42" s="13" t="n">
        <v>0.365</v>
      </c>
      <c r="AF42" s="13" t="n">
        <v>0.572</v>
      </c>
      <c r="AG42" s="13" t="n">
        <v>0.322</v>
      </c>
      <c r="AH42" s="13" t="n">
        <v>0.199</v>
      </c>
      <c r="AI42" s="17" t="n">
        <v>4.62</v>
      </c>
    </row>
    <row r="43" customFormat="false" ht="15" hidden="false" customHeight="false" outlineLevel="0" collapsed="false">
      <c r="A43" s="10" t="n">
        <v>44986</v>
      </c>
      <c r="B43" s="11" t="n">
        <f aca="false">YEAR(A43)</f>
        <v>2023</v>
      </c>
      <c r="C43" s="11" t="str">
        <f aca="false">"Q"&amp;ROUNDUP(MONTH(A43)/3,0)</f>
        <v>Q1</v>
      </c>
      <c r="D43" s="11" t="str">
        <f aca="false">B43&amp;"-"&amp;C43</f>
        <v>2023-Q1</v>
      </c>
      <c r="E43" s="11" t="n">
        <f aca="false">MONTH(A43)</f>
        <v>3</v>
      </c>
      <c r="F43" s="11" t="str">
        <f aca="false">TEXT(A43,"mmm")</f>
        <v>Mar</v>
      </c>
      <c r="G43" s="11" t="s">
        <v>206</v>
      </c>
      <c r="H43" s="11" t="s">
        <v>205</v>
      </c>
      <c r="I43" s="12" t="n">
        <v>2599323</v>
      </c>
      <c r="J43" s="12" t="n">
        <v>663869</v>
      </c>
      <c r="K43" s="13" t="n">
        <f aca="false">IF(I43=0,0,J43/I43)</f>
        <v>0.255400733190912</v>
      </c>
      <c r="L43" s="12" t="n">
        <v>302674</v>
      </c>
      <c r="M43" s="12" t="n">
        <v>109328</v>
      </c>
      <c r="N43" s="12" t="n">
        <v>10032</v>
      </c>
      <c r="O43" s="12" t="n">
        <v>287</v>
      </c>
      <c r="P43" s="12" t="n">
        <f aca="false">M43+N43+O43</f>
        <v>119647</v>
      </c>
      <c r="Q43" s="13" t="n">
        <f aca="false">IF(I43=0,0,P43/I43)</f>
        <v>0.0460300624431823</v>
      </c>
      <c r="R43" s="13" t="n">
        <v>0.0514</v>
      </c>
      <c r="S43" s="14" t="n">
        <v>855320</v>
      </c>
      <c r="T43" s="14" t="n">
        <v>91785</v>
      </c>
      <c r="U43" s="14" t="n">
        <v>26976</v>
      </c>
      <c r="V43" s="14" t="n">
        <v>67166</v>
      </c>
      <c r="W43" s="14" t="n">
        <f aca="false">S43+T43+U43+V43</f>
        <v>1041247</v>
      </c>
      <c r="X43" s="15" t="n">
        <f aca="false">IF(P43=0,0,S43/P43)</f>
        <v>7.14869574665474</v>
      </c>
      <c r="Y43" s="15" t="n">
        <f aca="false">IF(J43=0,0,W43/J43)</f>
        <v>1.56845251096225</v>
      </c>
      <c r="Z43" s="14" t="n">
        <v>187232</v>
      </c>
      <c r="AA43" s="15" t="n">
        <f aca="false">IF(L43=0,0,Z43/L43)</f>
        <v>0.618592941580711</v>
      </c>
      <c r="AB43" s="12" t="n">
        <v>48060683</v>
      </c>
      <c r="AC43" s="16" t="n">
        <v>10.1</v>
      </c>
      <c r="AD43" s="16" t="n">
        <v>17</v>
      </c>
      <c r="AE43" s="13" t="n">
        <v>0.366</v>
      </c>
      <c r="AF43" s="13" t="n">
        <v>0.564</v>
      </c>
      <c r="AG43" s="13" t="n">
        <v>0.327</v>
      </c>
      <c r="AH43" s="13" t="n">
        <v>0.198</v>
      </c>
      <c r="AI43" s="17"/>
    </row>
    <row r="44" customFormat="false" ht="15" hidden="false" customHeight="false" outlineLevel="0" collapsed="false">
      <c r="A44" s="10" t="n">
        <v>44986</v>
      </c>
      <c r="B44" s="11" t="n">
        <f aca="false">YEAR(A44)</f>
        <v>2023</v>
      </c>
      <c r="C44" s="11" t="str">
        <f aca="false">"Q"&amp;ROUNDUP(MONTH(A44)/3,0)</f>
        <v>Q1</v>
      </c>
      <c r="D44" s="11" t="str">
        <f aca="false">B44&amp;"-"&amp;C44</f>
        <v>2023-Q1</v>
      </c>
      <c r="E44" s="11" t="n">
        <f aca="false">MONTH(A44)</f>
        <v>3</v>
      </c>
      <c r="F44" s="11" t="str">
        <f aca="false">TEXT(A44,"mmm")</f>
        <v>Mar</v>
      </c>
      <c r="G44" s="11" t="s">
        <v>207</v>
      </c>
      <c r="H44" s="11" t="s">
        <v>203</v>
      </c>
      <c r="I44" s="12" t="n">
        <v>4569088</v>
      </c>
      <c r="J44" s="12" t="n">
        <v>1313470</v>
      </c>
      <c r="K44" s="13" t="n">
        <f aca="false">IF(I44=0,0,J44/I44)</f>
        <v>0.287468746498207</v>
      </c>
      <c r="L44" s="12" t="n">
        <v>692494</v>
      </c>
      <c r="M44" s="12" t="n">
        <v>293516</v>
      </c>
      <c r="N44" s="12" t="n">
        <v>25498</v>
      </c>
      <c r="O44" s="12" t="n">
        <v>1076</v>
      </c>
      <c r="P44" s="12" t="n">
        <f aca="false">M44+N44+O44</f>
        <v>320090</v>
      </c>
      <c r="Q44" s="13" t="n">
        <f aca="false">IF(I44=0,0,P44/I44)</f>
        <v>0.0700555559446437</v>
      </c>
      <c r="R44" s="13" t="n">
        <v>0.0484</v>
      </c>
      <c r="S44" s="14" t="n">
        <v>2311374</v>
      </c>
      <c r="T44" s="14" t="n">
        <v>238659</v>
      </c>
      <c r="U44" s="14" t="n">
        <v>75335</v>
      </c>
      <c r="V44" s="14" t="n">
        <v>182759</v>
      </c>
      <c r="W44" s="14" t="n">
        <f aca="false">S44+T44+U44+V44</f>
        <v>2808127</v>
      </c>
      <c r="X44" s="15" t="n">
        <f aca="false">IF(P44=0,0,S44/P44)</f>
        <v>7.22101284013871</v>
      </c>
      <c r="Y44" s="15" t="n">
        <f aca="false">IF(J44=0,0,W44/J44)</f>
        <v>2.13794528995714</v>
      </c>
      <c r="Z44" s="14" t="n">
        <v>488429</v>
      </c>
      <c r="AA44" s="15" t="n">
        <f aca="false">IF(L44=0,0,Z44/L44)</f>
        <v>0.705318746444013</v>
      </c>
      <c r="AB44" s="12" t="n">
        <v>94492691</v>
      </c>
      <c r="AC44" s="16" t="n">
        <v>11.7</v>
      </c>
      <c r="AD44" s="16" t="n">
        <v>17.1</v>
      </c>
      <c r="AE44" s="13" t="n">
        <v>0.37</v>
      </c>
      <c r="AF44" s="13" t="n">
        <v>0.569</v>
      </c>
      <c r="AG44" s="13" t="n">
        <v>0.333</v>
      </c>
      <c r="AH44" s="13" t="n">
        <v>0.191</v>
      </c>
      <c r="AI44" s="17" t="n">
        <v>4.67</v>
      </c>
    </row>
    <row r="45" customFormat="false" ht="15" hidden="false" customHeight="false" outlineLevel="0" collapsed="false">
      <c r="A45" s="10" t="n">
        <v>44986</v>
      </c>
      <c r="B45" s="11" t="n">
        <f aca="false">YEAR(A45)</f>
        <v>2023</v>
      </c>
      <c r="C45" s="11" t="str">
        <f aca="false">"Q"&amp;ROUNDUP(MONTH(A45)/3,0)</f>
        <v>Q1</v>
      </c>
      <c r="D45" s="11" t="str">
        <f aca="false">B45&amp;"-"&amp;C45</f>
        <v>2023-Q1</v>
      </c>
      <c r="E45" s="11" t="n">
        <f aca="false">MONTH(A45)</f>
        <v>3</v>
      </c>
      <c r="F45" s="11" t="str">
        <f aca="false">TEXT(A45,"mmm")</f>
        <v>Mar</v>
      </c>
      <c r="G45" s="11" t="s">
        <v>207</v>
      </c>
      <c r="H45" s="11" t="s">
        <v>204</v>
      </c>
      <c r="I45" s="12" t="n">
        <v>6313331</v>
      </c>
      <c r="J45" s="12" t="n">
        <v>1620381</v>
      </c>
      <c r="K45" s="13" t="n">
        <f aca="false">IF(I45=0,0,J45/I45)</f>
        <v>0.256660232134194</v>
      </c>
      <c r="L45" s="12" t="n">
        <v>782241</v>
      </c>
      <c r="M45" s="12" t="n">
        <v>164028</v>
      </c>
      <c r="N45" s="12" t="n">
        <v>14702</v>
      </c>
      <c r="O45" s="12" t="n">
        <v>452</v>
      </c>
      <c r="P45" s="12" t="n">
        <f aca="false">M45+N45+O45</f>
        <v>179182</v>
      </c>
      <c r="Q45" s="13" t="n">
        <f aca="false">IF(I45=0,0,P45/I45)</f>
        <v>0.0283815310808193</v>
      </c>
      <c r="R45" s="13" t="n">
        <v>0.0451</v>
      </c>
      <c r="S45" s="14" t="n">
        <v>1334334</v>
      </c>
      <c r="T45" s="14" t="n">
        <v>133938</v>
      </c>
      <c r="U45" s="14" t="n">
        <v>44311</v>
      </c>
      <c r="V45" s="14" t="n">
        <v>115756</v>
      </c>
      <c r="W45" s="14" t="n">
        <f aca="false">S45+T45+U45+V45</f>
        <v>1628339</v>
      </c>
      <c r="X45" s="15" t="n">
        <f aca="false">IF(P45=0,0,S45/P45)</f>
        <v>7.44680827315244</v>
      </c>
      <c r="Y45" s="15" t="n">
        <f aca="false">IF(J45=0,0,W45/J45)</f>
        <v>1.00491119063973</v>
      </c>
      <c r="Z45" s="14" t="n">
        <v>269173</v>
      </c>
      <c r="AA45" s="15" t="n">
        <f aca="false">IF(L45=0,0,Z45/L45)</f>
        <v>0.344104949753337</v>
      </c>
      <c r="AB45" s="12" t="n">
        <v>125577340</v>
      </c>
      <c r="AC45" s="16" t="n">
        <v>11</v>
      </c>
      <c r="AD45" s="16" t="n">
        <v>17.2</v>
      </c>
      <c r="AE45" s="13" t="n">
        <v>0.384</v>
      </c>
      <c r="AF45" s="13" t="n">
        <v>0.566</v>
      </c>
      <c r="AG45" s="13" t="n">
        <v>0.343</v>
      </c>
      <c r="AH45" s="13" t="n">
        <v>0.189</v>
      </c>
      <c r="AI45" s="17" t="n">
        <v>4.61</v>
      </c>
    </row>
    <row r="46" customFormat="false" ht="15" hidden="false" customHeight="false" outlineLevel="0" collapsed="false">
      <c r="A46" s="10" t="n">
        <v>44986</v>
      </c>
      <c r="B46" s="11" t="n">
        <f aca="false">YEAR(A46)</f>
        <v>2023</v>
      </c>
      <c r="C46" s="11" t="str">
        <f aca="false">"Q"&amp;ROUNDUP(MONTH(A46)/3,0)</f>
        <v>Q1</v>
      </c>
      <c r="D46" s="11" t="str">
        <f aca="false">B46&amp;"-"&amp;C46</f>
        <v>2023-Q1</v>
      </c>
      <c r="E46" s="11" t="n">
        <f aca="false">MONTH(A46)</f>
        <v>3</v>
      </c>
      <c r="F46" s="11" t="str">
        <f aca="false">TEXT(A46,"mmm")</f>
        <v>Mar</v>
      </c>
      <c r="G46" s="11" t="s">
        <v>207</v>
      </c>
      <c r="H46" s="11" t="s">
        <v>205</v>
      </c>
      <c r="I46" s="12" t="n">
        <v>1895118</v>
      </c>
      <c r="J46" s="12" t="n">
        <v>438149</v>
      </c>
      <c r="K46" s="13" t="n">
        <f aca="false">IF(I46=0,0,J46/I46)</f>
        <v>0.231198796064414</v>
      </c>
      <c r="L46" s="12" t="n">
        <v>210079</v>
      </c>
      <c r="M46" s="12" t="n">
        <v>45519</v>
      </c>
      <c r="N46" s="12" t="n">
        <v>3926</v>
      </c>
      <c r="O46" s="12" t="n">
        <v>83</v>
      </c>
      <c r="P46" s="12" t="n">
        <f aca="false">M46+N46+O46</f>
        <v>49528</v>
      </c>
      <c r="Q46" s="13" t="n">
        <f aca="false">IF(I46=0,0,P46/I46)</f>
        <v>0.0261345203834273</v>
      </c>
      <c r="R46" s="13" t="n">
        <v>0.0508</v>
      </c>
      <c r="S46" s="14" t="n">
        <v>389994</v>
      </c>
      <c r="T46" s="14" t="n">
        <v>40437</v>
      </c>
      <c r="U46" s="14" t="n">
        <v>12222</v>
      </c>
      <c r="V46" s="14" t="n">
        <v>33557</v>
      </c>
      <c r="W46" s="14" t="n">
        <f aca="false">S46+T46+U46+V46</f>
        <v>476210</v>
      </c>
      <c r="X46" s="15" t="n">
        <f aca="false">IF(P46=0,0,S46/P46)</f>
        <v>7.87421256662898</v>
      </c>
      <c r="Y46" s="15" t="n">
        <f aca="false">IF(J46=0,0,W46/J46)</f>
        <v>1.08686770938653</v>
      </c>
      <c r="Z46" s="14" t="n">
        <v>84179</v>
      </c>
      <c r="AA46" s="15" t="n">
        <f aca="false">IF(L46=0,0,Z46/L46)</f>
        <v>0.400701640811314</v>
      </c>
      <c r="AB46" s="12" t="n">
        <v>32581022</v>
      </c>
      <c r="AC46" s="16" t="n">
        <v>10.4</v>
      </c>
      <c r="AD46" s="16" t="n">
        <v>16.8</v>
      </c>
      <c r="AE46" s="13" t="n">
        <v>0.364</v>
      </c>
      <c r="AF46" s="13" t="n">
        <v>0.556</v>
      </c>
      <c r="AG46" s="13" t="n">
        <v>0.333</v>
      </c>
      <c r="AH46" s="13" t="n">
        <v>0.184</v>
      </c>
      <c r="AI46" s="17"/>
    </row>
    <row r="47" customFormat="false" ht="15" hidden="false" customHeight="false" outlineLevel="0" collapsed="false">
      <c r="A47" s="10" t="n">
        <v>44986</v>
      </c>
      <c r="B47" s="11" t="n">
        <f aca="false">YEAR(A47)</f>
        <v>2023</v>
      </c>
      <c r="C47" s="11" t="str">
        <f aca="false">"Q"&amp;ROUNDUP(MONTH(A47)/3,0)</f>
        <v>Q1</v>
      </c>
      <c r="D47" s="11" t="str">
        <f aca="false">B47&amp;"-"&amp;C47</f>
        <v>2023-Q1</v>
      </c>
      <c r="E47" s="11" t="n">
        <f aca="false">MONTH(A47)</f>
        <v>3</v>
      </c>
      <c r="F47" s="11" t="str">
        <f aca="false">TEXT(A47,"mmm")</f>
        <v>Mar</v>
      </c>
      <c r="G47" s="11" t="s">
        <v>208</v>
      </c>
      <c r="H47" s="11" t="s">
        <v>203</v>
      </c>
      <c r="I47" s="12" t="n">
        <v>4401666</v>
      </c>
      <c r="J47" s="12" t="n">
        <v>1329693</v>
      </c>
      <c r="K47" s="13" t="n">
        <f aca="false">IF(I47=0,0,J47/I47)</f>
        <v>0.302088572826743</v>
      </c>
      <c r="L47" s="12" t="n">
        <v>544417</v>
      </c>
      <c r="M47" s="12" t="n">
        <v>148407</v>
      </c>
      <c r="N47" s="12" t="n">
        <v>12864</v>
      </c>
      <c r="O47" s="12" t="n">
        <v>388</v>
      </c>
      <c r="P47" s="12" t="n">
        <f aca="false">M47+N47+O47</f>
        <v>161659</v>
      </c>
      <c r="Q47" s="13" t="n">
        <f aca="false">IF(I47=0,0,P47/I47)</f>
        <v>0.0367267757253731</v>
      </c>
      <c r="R47" s="13" t="n">
        <v>0.0453</v>
      </c>
      <c r="S47" s="14" t="n">
        <v>1163964</v>
      </c>
      <c r="T47" s="14" t="n">
        <v>114845</v>
      </c>
      <c r="U47" s="14" t="n">
        <v>37332</v>
      </c>
      <c r="V47" s="14" t="n">
        <v>84899</v>
      </c>
      <c r="W47" s="14" t="n">
        <f aca="false">S47+T47+U47+V47</f>
        <v>1401040</v>
      </c>
      <c r="X47" s="15" t="n">
        <f aca="false">IF(P47=0,0,S47/P47)</f>
        <v>7.20011876851892</v>
      </c>
      <c r="Y47" s="15" t="n">
        <f aca="false">IF(J47=0,0,W47/J47)</f>
        <v>1.05365674633167</v>
      </c>
      <c r="Z47" s="14" t="n">
        <v>246986</v>
      </c>
      <c r="AA47" s="15" t="n">
        <f aca="false">IF(L47=0,0,Z47/L47)</f>
        <v>0.453670623804914</v>
      </c>
      <c r="AB47" s="12" t="n">
        <v>92701476</v>
      </c>
      <c r="AC47" s="16" t="n">
        <v>11.6</v>
      </c>
      <c r="AD47" s="16" t="n">
        <v>17.7</v>
      </c>
      <c r="AE47" s="13" t="n">
        <v>0.378</v>
      </c>
      <c r="AF47" s="13" t="n">
        <v>0.561</v>
      </c>
      <c r="AG47" s="13" t="n">
        <v>0.322</v>
      </c>
      <c r="AH47" s="13" t="n">
        <v>0.198</v>
      </c>
      <c r="AI47" s="17" t="n">
        <v>4.66</v>
      </c>
    </row>
    <row r="48" customFormat="false" ht="15" hidden="false" customHeight="false" outlineLevel="0" collapsed="false">
      <c r="A48" s="10" t="n">
        <v>44986</v>
      </c>
      <c r="B48" s="11" t="n">
        <f aca="false">YEAR(A48)</f>
        <v>2023</v>
      </c>
      <c r="C48" s="11" t="str">
        <f aca="false">"Q"&amp;ROUNDUP(MONTH(A48)/3,0)</f>
        <v>Q1</v>
      </c>
      <c r="D48" s="11" t="str">
        <f aca="false">B48&amp;"-"&amp;C48</f>
        <v>2023-Q1</v>
      </c>
      <c r="E48" s="11" t="n">
        <f aca="false">MONTH(A48)</f>
        <v>3</v>
      </c>
      <c r="F48" s="11" t="str">
        <f aca="false">TEXT(A48,"mmm")</f>
        <v>Mar</v>
      </c>
      <c r="G48" s="11" t="s">
        <v>208</v>
      </c>
      <c r="H48" s="11" t="s">
        <v>204</v>
      </c>
      <c r="I48" s="12" t="n">
        <v>5369784</v>
      </c>
      <c r="J48" s="12" t="n">
        <v>1526053</v>
      </c>
      <c r="K48" s="13" t="n">
        <f aca="false">IF(I48=0,0,J48/I48)</f>
        <v>0.284192623017984</v>
      </c>
      <c r="L48" s="12" t="n">
        <v>727363</v>
      </c>
      <c r="M48" s="12" t="n">
        <v>87350</v>
      </c>
      <c r="N48" s="12" t="n">
        <v>7385</v>
      </c>
      <c r="O48" s="12" t="n">
        <v>171</v>
      </c>
      <c r="P48" s="12" t="n">
        <f aca="false">M48+N48+O48</f>
        <v>94906</v>
      </c>
      <c r="Q48" s="13" t="n">
        <f aca="false">IF(I48=0,0,P48/I48)</f>
        <v>0.0176740814900562</v>
      </c>
      <c r="R48" s="13" t="n">
        <v>0.0441</v>
      </c>
      <c r="S48" s="14" t="n">
        <v>646948</v>
      </c>
      <c r="T48" s="14" t="n">
        <v>61086</v>
      </c>
      <c r="U48" s="14" t="n">
        <v>20969</v>
      </c>
      <c r="V48" s="14" t="n">
        <v>54562</v>
      </c>
      <c r="W48" s="14" t="n">
        <f aca="false">S48+T48+U48+V48</f>
        <v>783565</v>
      </c>
      <c r="X48" s="15" t="n">
        <f aca="false">IF(P48=0,0,S48/P48)</f>
        <v>6.81672391629613</v>
      </c>
      <c r="Y48" s="15" t="n">
        <f aca="false">IF(J48=0,0,W48/J48)</f>
        <v>0.513458575816174</v>
      </c>
      <c r="Z48" s="14" t="n">
        <v>138921</v>
      </c>
      <c r="AA48" s="15" t="n">
        <f aca="false">IF(L48=0,0,Z48/L48)</f>
        <v>0.19099266803508</v>
      </c>
      <c r="AB48" s="12" t="n">
        <v>105713703</v>
      </c>
      <c r="AC48" s="16" t="n">
        <v>11.2</v>
      </c>
      <c r="AD48" s="16" t="n">
        <v>18.5</v>
      </c>
      <c r="AE48" s="13" t="n">
        <v>0.36</v>
      </c>
      <c r="AF48" s="13" t="n">
        <v>0.559</v>
      </c>
      <c r="AG48" s="13" t="n">
        <v>0.325</v>
      </c>
      <c r="AH48" s="13" t="n">
        <v>0.197</v>
      </c>
      <c r="AI48" s="17" t="n">
        <v>4.59</v>
      </c>
    </row>
    <row r="49" customFormat="false" ht="15" hidden="false" customHeight="false" outlineLevel="0" collapsed="false">
      <c r="A49" s="10" t="n">
        <v>44986</v>
      </c>
      <c r="B49" s="11" t="n">
        <f aca="false">YEAR(A49)</f>
        <v>2023</v>
      </c>
      <c r="C49" s="11" t="str">
        <f aca="false">"Q"&amp;ROUNDUP(MONTH(A49)/3,0)</f>
        <v>Q1</v>
      </c>
      <c r="D49" s="11" t="str">
        <f aca="false">B49&amp;"-"&amp;C49</f>
        <v>2023-Q1</v>
      </c>
      <c r="E49" s="11" t="n">
        <f aca="false">MONTH(A49)</f>
        <v>3</v>
      </c>
      <c r="F49" s="11" t="str">
        <f aca="false">TEXT(A49,"mmm")</f>
        <v>Mar</v>
      </c>
      <c r="G49" s="11" t="s">
        <v>208</v>
      </c>
      <c r="H49" s="11" t="s">
        <v>205</v>
      </c>
      <c r="I49" s="12" t="n">
        <v>1639627</v>
      </c>
      <c r="J49" s="12" t="n">
        <v>419759</v>
      </c>
      <c r="K49" s="13" t="n">
        <f aca="false">IF(I49=0,0,J49/I49)</f>
        <v>0.256008836156028</v>
      </c>
      <c r="L49" s="12" t="n">
        <v>208778</v>
      </c>
      <c r="M49" s="12" t="n">
        <v>23594</v>
      </c>
      <c r="N49" s="12" t="n">
        <v>1904</v>
      </c>
      <c r="O49" s="12" t="n">
        <v>31</v>
      </c>
      <c r="P49" s="12" t="n">
        <f aca="false">M49+N49+O49</f>
        <v>25529</v>
      </c>
      <c r="Q49" s="13" t="n">
        <f aca="false">IF(I49=0,0,P49/I49)</f>
        <v>0.0155700046412995</v>
      </c>
      <c r="R49" s="13" t="n">
        <v>0.0461</v>
      </c>
      <c r="S49" s="14" t="n">
        <v>181224</v>
      </c>
      <c r="T49" s="14" t="n">
        <v>18529</v>
      </c>
      <c r="U49" s="14" t="n">
        <v>5979</v>
      </c>
      <c r="V49" s="14" t="n">
        <v>16172</v>
      </c>
      <c r="W49" s="14" t="n">
        <f aca="false">S49+T49+U49+V49</f>
        <v>221904</v>
      </c>
      <c r="X49" s="15" t="n">
        <f aca="false">IF(P49=0,0,S49/P49)</f>
        <v>7.09875044067531</v>
      </c>
      <c r="Y49" s="15" t="n">
        <f aca="false">IF(J49=0,0,W49/J49)</f>
        <v>0.52864619936678</v>
      </c>
      <c r="Z49" s="14" t="n">
        <v>39359</v>
      </c>
      <c r="AA49" s="15" t="n">
        <f aca="false">IF(L49=0,0,Z49/L49)</f>
        <v>0.188520821159318</v>
      </c>
      <c r="AB49" s="12" t="n">
        <v>29804975</v>
      </c>
      <c r="AC49" s="16" t="n">
        <v>10.2</v>
      </c>
      <c r="AD49" s="16" t="n">
        <v>18.4</v>
      </c>
      <c r="AE49" s="13" t="n">
        <v>0.373</v>
      </c>
      <c r="AF49" s="13" t="n">
        <v>0.557</v>
      </c>
      <c r="AG49" s="13" t="n">
        <v>0.331</v>
      </c>
      <c r="AH49" s="13" t="n">
        <v>0.185</v>
      </c>
      <c r="AI49" s="17"/>
    </row>
    <row r="50" customFormat="false" ht="15" hidden="false" customHeight="false" outlineLevel="0" collapsed="false">
      <c r="A50" s="10" t="n">
        <v>44986</v>
      </c>
      <c r="B50" s="11" t="n">
        <f aca="false">YEAR(A50)</f>
        <v>2023</v>
      </c>
      <c r="C50" s="11" t="str">
        <f aca="false">"Q"&amp;ROUNDUP(MONTH(A50)/3,0)</f>
        <v>Q1</v>
      </c>
      <c r="D50" s="11" t="str">
        <f aca="false">B50&amp;"-"&amp;C50</f>
        <v>2023-Q1</v>
      </c>
      <c r="E50" s="11" t="n">
        <f aca="false">MONTH(A50)</f>
        <v>3</v>
      </c>
      <c r="F50" s="11" t="str">
        <f aca="false">TEXT(A50,"mmm")</f>
        <v>Mar</v>
      </c>
      <c r="G50" s="11" t="s">
        <v>209</v>
      </c>
      <c r="H50" s="11" t="s">
        <v>203</v>
      </c>
      <c r="I50" s="12" t="n">
        <v>2571577</v>
      </c>
      <c r="J50" s="12" t="n">
        <v>770374</v>
      </c>
      <c r="K50" s="13" t="n">
        <f aca="false">IF(I50=0,0,J50/I50)</f>
        <v>0.299572596892879</v>
      </c>
      <c r="L50" s="12" t="n">
        <v>317678</v>
      </c>
      <c r="M50" s="12" t="n">
        <v>51897</v>
      </c>
      <c r="N50" s="12" t="n">
        <v>4448</v>
      </c>
      <c r="O50" s="12" t="n">
        <v>108</v>
      </c>
      <c r="P50" s="12" t="n">
        <f aca="false">M50+N50+O50</f>
        <v>56453</v>
      </c>
      <c r="Q50" s="13" t="n">
        <f aca="false">IF(I50=0,0,P50/I50)</f>
        <v>0.0219526772871277</v>
      </c>
      <c r="R50" s="13" t="n">
        <v>0.0426</v>
      </c>
      <c r="S50" s="14" t="n">
        <v>403707</v>
      </c>
      <c r="T50" s="14" t="n">
        <v>41696</v>
      </c>
      <c r="U50" s="14" t="n">
        <v>13200</v>
      </c>
      <c r="V50" s="14" t="n">
        <v>35750</v>
      </c>
      <c r="W50" s="14" t="n">
        <f aca="false">S50+T50+U50+V50</f>
        <v>494353</v>
      </c>
      <c r="X50" s="15" t="n">
        <f aca="false">IF(P50=0,0,S50/P50)</f>
        <v>7.15120542752378</v>
      </c>
      <c r="Y50" s="15" t="n">
        <f aca="false">IF(J50=0,0,W50/J50)</f>
        <v>0.641705197735126</v>
      </c>
      <c r="Z50" s="14" t="n">
        <v>97170</v>
      </c>
      <c r="AA50" s="15" t="n">
        <f aca="false">IF(L50=0,0,Z50/L50)</f>
        <v>0.305875760990689</v>
      </c>
      <c r="AB50" s="12" t="n">
        <v>59072320</v>
      </c>
      <c r="AC50" s="16" t="n">
        <v>11.5</v>
      </c>
      <c r="AD50" s="16" t="n">
        <v>17</v>
      </c>
      <c r="AE50" s="13" t="n">
        <v>0.353</v>
      </c>
      <c r="AF50" s="13" t="n">
        <v>0.554</v>
      </c>
      <c r="AG50" s="13" t="n">
        <v>0.327</v>
      </c>
      <c r="AH50" s="13" t="n">
        <v>0.179</v>
      </c>
      <c r="AI50" s="17" t="n">
        <v>4.66</v>
      </c>
    </row>
    <row r="51" customFormat="false" ht="15" hidden="false" customHeight="false" outlineLevel="0" collapsed="false">
      <c r="A51" s="10" t="n">
        <v>44986</v>
      </c>
      <c r="B51" s="11" t="n">
        <f aca="false">YEAR(A51)</f>
        <v>2023</v>
      </c>
      <c r="C51" s="11" t="str">
        <f aca="false">"Q"&amp;ROUNDUP(MONTH(A51)/3,0)</f>
        <v>Q1</v>
      </c>
      <c r="D51" s="11" t="str">
        <f aca="false">B51&amp;"-"&amp;C51</f>
        <v>2023-Q1</v>
      </c>
      <c r="E51" s="11" t="n">
        <f aca="false">MONTH(A51)</f>
        <v>3</v>
      </c>
      <c r="F51" s="11" t="str">
        <f aca="false">TEXT(A51,"mmm")</f>
        <v>Mar</v>
      </c>
      <c r="G51" s="11" t="s">
        <v>209</v>
      </c>
      <c r="H51" s="11" t="s">
        <v>204</v>
      </c>
      <c r="I51" s="12" t="n">
        <v>3320189</v>
      </c>
      <c r="J51" s="12" t="n">
        <v>865146</v>
      </c>
      <c r="K51" s="13" t="n">
        <f aca="false">IF(I51=0,0,J51/I51)</f>
        <v>0.260571310850075</v>
      </c>
      <c r="L51" s="12" t="n">
        <v>439703</v>
      </c>
      <c r="M51" s="12" t="n">
        <v>31419</v>
      </c>
      <c r="N51" s="12" t="n">
        <v>2928</v>
      </c>
      <c r="O51" s="12" t="n">
        <v>50</v>
      </c>
      <c r="P51" s="12" t="n">
        <f aca="false">M51+N51+O51</f>
        <v>34397</v>
      </c>
      <c r="Q51" s="13" t="n">
        <f aca="false">IF(I51=0,0,P51/I51)</f>
        <v>0.0103599524003001</v>
      </c>
      <c r="R51" s="13" t="n">
        <v>0.0471</v>
      </c>
      <c r="S51" s="14" t="n">
        <v>256849</v>
      </c>
      <c r="T51" s="14" t="n">
        <v>23365</v>
      </c>
      <c r="U51" s="14" t="n">
        <v>8129</v>
      </c>
      <c r="V51" s="14" t="n">
        <v>19769</v>
      </c>
      <c r="W51" s="14" t="n">
        <f aca="false">S51+T51+U51+V51</f>
        <v>308112</v>
      </c>
      <c r="X51" s="15" t="n">
        <f aca="false">IF(P51=0,0,S51/P51)</f>
        <v>7.4671919062709</v>
      </c>
      <c r="Y51" s="15" t="n">
        <f aca="false">IF(J51=0,0,W51/J51)</f>
        <v>0.356138732653217</v>
      </c>
      <c r="Z51" s="14" t="n">
        <v>58696</v>
      </c>
      <c r="AA51" s="15" t="n">
        <f aca="false">IF(L51=0,0,Z51/L51)</f>
        <v>0.133490105821429</v>
      </c>
      <c r="AB51" s="12" t="n">
        <v>58661609</v>
      </c>
      <c r="AC51" s="16" t="n">
        <v>11.6</v>
      </c>
      <c r="AD51" s="16" t="n">
        <v>17.4</v>
      </c>
      <c r="AE51" s="13" t="n">
        <v>0.381</v>
      </c>
      <c r="AF51" s="13" t="n">
        <v>0.567</v>
      </c>
      <c r="AG51" s="13" t="n">
        <v>0.34</v>
      </c>
      <c r="AH51" s="13" t="n">
        <v>0.198</v>
      </c>
      <c r="AI51" s="17" t="n">
        <v>4.61</v>
      </c>
    </row>
    <row r="52" customFormat="false" ht="15" hidden="false" customHeight="false" outlineLevel="0" collapsed="false">
      <c r="A52" s="10" t="n">
        <v>44986</v>
      </c>
      <c r="B52" s="11" t="n">
        <f aca="false">YEAR(A52)</f>
        <v>2023</v>
      </c>
      <c r="C52" s="11" t="str">
        <f aca="false">"Q"&amp;ROUNDUP(MONTH(A52)/3,0)</f>
        <v>Q1</v>
      </c>
      <c r="D52" s="11" t="str">
        <f aca="false">B52&amp;"-"&amp;C52</f>
        <v>2023-Q1</v>
      </c>
      <c r="E52" s="11" t="n">
        <f aca="false">MONTH(A52)</f>
        <v>3</v>
      </c>
      <c r="F52" s="11" t="str">
        <f aca="false">TEXT(A52,"mmm")</f>
        <v>Mar</v>
      </c>
      <c r="G52" s="11" t="s">
        <v>209</v>
      </c>
      <c r="H52" s="11" t="s">
        <v>205</v>
      </c>
      <c r="I52" s="12" t="n">
        <v>1081420</v>
      </c>
      <c r="J52" s="12" t="n">
        <v>254347</v>
      </c>
      <c r="K52" s="13" t="n">
        <f aca="false">IF(I52=0,0,J52/I52)</f>
        <v>0.235197240665052</v>
      </c>
      <c r="L52" s="12" t="n">
        <v>114605</v>
      </c>
      <c r="M52" s="12" t="n">
        <v>8507</v>
      </c>
      <c r="N52" s="12" t="n">
        <v>789</v>
      </c>
      <c r="O52" s="12" t="n">
        <v>9</v>
      </c>
      <c r="P52" s="12" t="n">
        <f aca="false">M52+N52+O52</f>
        <v>9305</v>
      </c>
      <c r="Q52" s="13" t="n">
        <f aca="false">IF(I52=0,0,P52/I52)</f>
        <v>0.008604427511975</v>
      </c>
      <c r="R52" s="13" t="n">
        <v>0.0514</v>
      </c>
      <c r="S52" s="14" t="n">
        <v>60903</v>
      </c>
      <c r="T52" s="14" t="n">
        <v>5678</v>
      </c>
      <c r="U52" s="14" t="n">
        <v>1829</v>
      </c>
      <c r="V52" s="14" t="n">
        <v>5057</v>
      </c>
      <c r="W52" s="14" t="n">
        <f aca="false">S52+T52+U52+V52</f>
        <v>73467</v>
      </c>
      <c r="X52" s="15" t="n">
        <f aca="false">IF(P52=0,0,S52/P52)</f>
        <v>6.54519075765717</v>
      </c>
      <c r="Y52" s="15" t="n">
        <f aca="false">IF(J52=0,0,W52/J52)</f>
        <v>0.288845553515473</v>
      </c>
      <c r="Z52" s="14" t="n">
        <v>13344</v>
      </c>
      <c r="AA52" s="15" t="n">
        <f aca="false">IF(L52=0,0,Z52/L52)</f>
        <v>0.116434710527464</v>
      </c>
      <c r="AB52" s="12" t="n">
        <v>18184745</v>
      </c>
      <c r="AC52" s="16" t="n">
        <v>10.1</v>
      </c>
      <c r="AD52" s="16" t="n">
        <v>17.9</v>
      </c>
      <c r="AE52" s="13" t="n">
        <v>0.357</v>
      </c>
      <c r="AF52" s="13" t="n">
        <v>0.571</v>
      </c>
      <c r="AG52" s="13" t="n">
        <v>0.329</v>
      </c>
      <c r="AH52" s="13" t="n">
        <v>0.193</v>
      </c>
      <c r="AI52" s="17"/>
    </row>
    <row r="53" customFormat="false" ht="15" hidden="false" customHeight="false" outlineLevel="0" collapsed="false">
      <c r="A53" s="10" t="n">
        <v>44986</v>
      </c>
      <c r="B53" s="11" t="n">
        <f aca="false">YEAR(A53)</f>
        <v>2023</v>
      </c>
      <c r="C53" s="11" t="str">
        <f aca="false">"Q"&amp;ROUNDUP(MONTH(A53)/3,0)</f>
        <v>Q1</v>
      </c>
      <c r="D53" s="11" t="str">
        <f aca="false">B53&amp;"-"&amp;C53</f>
        <v>2023-Q1</v>
      </c>
      <c r="E53" s="11" t="n">
        <f aca="false">MONTH(A53)</f>
        <v>3</v>
      </c>
      <c r="F53" s="11" t="str">
        <f aca="false">TEXT(A53,"mmm")</f>
        <v>Mar</v>
      </c>
      <c r="G53" s="11" t="s">
        <v>210</v>
      </c>
      <c r="H53" s="11" t="s">
        <v>203</v>
      </c>
      <c r="I53" s="12" t="n">
        <v>4450662</v>
      </c>
      <c r="J53" s="12" t="n">
        <v>1239331</v>
      </c>
      <c r="K53" s="13" t="n">
        <f aca="false">IF(I53=0,0,J53/I53)</f>
        <v>0.278459923490034</v>
      </c>
      <c r="L53" s="12" t="n">
        <v>552777</v>
      </c>
      <c r="M53" s="12" t="n">
        <v>101396</v>
      </c>
      <c r="N53" s="12" t="n">
        <v>9419</v>
      </c>
      <c r="O53" s="12" t="n">
        <v>213</v>
      </c>
      <c r="P53" s="12" t="n">
        <f aca="false">M53+N53+O53</f>
        <v>111028</v>
      </c>
      <c r="Q53" s="13" t="n">
        <f aca="false">IF(I53=0,0,P53/I53)</f>
        <v>0.0249464012319965</v>
      </c>
      <c r="R53" s="13" t="n">
        <v>0.0438</v>
      </c>
      <c r="S53" s="14" t="n">
        <v>791341</v>
      </c>
      <c r="T53" s="14" t="n">
        <v>81033</v>
      </c>
      <c r="U53" s="14" t="n">
        <v>24625</v>
      </c>
      <c r="V53" s="14" t="n">
        <v>67467</v>
      </c>
      <c r="W53" s="14" t="n">
        <f aca="false">S53+T53+U53+V53</f>
        <v>964466</v>
      </c>
      <c r="X53" s="15" t="n">
        <f aca="false">IF(P53=0,0,S53/P53)</f>
        <v>7.12740029542097</v>
      </c>
      <c r="Y53" s="15" t="n">
        <f aca="false">IF(J53=0,0,W53/J53)</f>
        <v>0.778215020845924</v>
      </c>
      <c r="Z53" s="14" t="n">
        <v>191525</v>
      </c>
      <c r="AA53" s="15" t="n">
        <f aca="false">IF(L53=0,0,Z53/L53)</f>
        <v>0.34647787444123</v>
      </c>
      <c r="AB53" s="12" t="n">
        <v>91749092</v>
      </c>
      <c r="AC53" s="16" t="n">
        <v>12</v>
      </c>
      <c r="AD53" s="16" t="n">
        <v>18.5</v>
      </c>
      <c r="AE53" s="13" t="n">
        <v>0.368</v>
      </c>
      <c r="AF53" s="13" t="n">
        <v>0.556</v>
      </c>
      <c r="AG53" s="13" t="n">
        <v>0.326</v>
      </c>
      <c r="AH53" s="13" t="n">
        <v>0.19</v>
      </c>
      <c r="AI53" s="17" t="n">
        <v>4.64</v>
      </c>
    </row>
    <row r="54" customFormat="false" ht="15" hidden="false" customHeight="false" outlineLevel="0" collapsed="false">
      <c r="A54" s="10" t="n">
        <v>44986</v>
      </c>
      <c r="B54" s="11" t="n">
        <f aca="false">YEAR(A54)</f>
        <v>2023</v>
      </c>
      <c r="C54" s="11" t="str">
        <f aca="false">"Q"&amp;ROUNDUP(MONTH(A54)/3,0)</f>
        <v>Q1</v>
      </c>
      <c r="D54" s="11" t="str">
        <f aca="false">B54&amp;"-"&amp;C54</f>
        <v>2023-Q1</v>
      </c>
      <c r="E54" s="11" t="n">
        <f aca="false">MONTH(A54)</f>
        <v>3</v>
      </c>
      <c r="F54" s="11" t="str">
        <f aca="false">TEXT(A54,"mmm")</f>
        <v>Mar</v>
      </c>
      <c r="G54" s="11" t="s">
        <v>210</v>
      </c>
      <c r="H54" s="11" t="s">
        <v>204</v>
      </c>
      <c r="I54" s="12" t="n">
        <v>4907415</v>
      </c>
      <c r="J54" s="12" t="n">
        <v>1248389</v>
      </c>
      <c r="K54" s="13" t="n">
        <f aca="false">IF(I54=0,0,J54/I54)</f>
        <v>0.254388308304882</v>
      </c>
      <c r="L54" s="12" t="n">
        <v>646974</v>
      </c>
      <c r="M54" s="12" t="n">
        <v>58612</v>
      </c>
      <c r="N54" s="12" t="n">
        <v>5018</v>
      </c>
      <c r="O54" s="12" t="n">
        <v>92</v>
      </c>
      <c r="P54" s="12" t="n">
        <f aca="false">M54+N54+O54</f>
        <v>63722</v>
      </c>
      <c r="Q54" s="13" t="n">
        <f aca="false">IF(I54=0,0,P54/I54)</f>
        <v>0.0129848402876056</v>
      </c>
      <c r="R54" s="13" t="n">
        <v>0.0489</v>
      </c>
      <c r="S54" s="14" t="n">
        <v>476118</v>
      </c>
      <c r="T54" s="14" t="n">
        <v>48842</v>
      </c>
      <c r="U54" s="14" t="n">
        <v>15029</v>
      </c>
      <c r="V54" s="14" t="n">
        <v>38264</v>
      </c>
      <c r="W54" s="14" t="n">
        <f aca="false">S54+T54+U54+V54</f>
        <v>578253</v>
      </c>
      <c r="X54" s="15" t="n">
        <f aca="false">IF(P54=0,0,S54/P54)</f>
        <v>7.47179937855058</v>
      </c>
      <c r="Y54" s="15" t="n">
        <f aca="false">IF(J54=0,0,W54/J54)</f>
        <v>0.463199371349796</v>
      </c>
      <c r="Z54" s="14" t="n">
        <v>120068</v>
      </c>
      <c r="AA54" s="15" t="n">
        <f aca="false">IF(L54=0,0,Z54/L54)</f>
        <v>0.185583964734286</v>
      </c>
      <c r="AB54" s="12" t="n">
        <v>93984302</v>
      </c>
      <c r="AC54" s="16" t="n">
        <v>11.2</v>
      </c>
      <c r="AD54" s="16" t="n">
        <v>17.5</v>
      </c>
      <c r="AE54" s="13" t="n">
        <v>0.357</v>
      </c>
      <c r="AF54" s="13" t="n">
        <v>0.546</v>
      </c>
      <c r="AG54" s="13" t="n">
        <v>0.333</v>
      </c>
      <c r="AH54" s="13" t="n">
        <v>0.189</v>
      </c>
      <c r="AI54" s="17" t="n">
        <v>4.6</v>
      </c>
    </row>
    <row r="55" customFormat="false" ht="15" hidden="false" customHeight="false" outlineLevel="0" collapsed="false">
      <c r="A55" s="10" t="n">
        <v>44986</v>
      </c>
      <c r="B55" s="11" t="n">
        <f aca="false">YEAR(A55)</f>
        <v>2023</v>
      </c>
      <c r="C55" s="11" t="str">
        <f aca="false">"Q"&amp;ROUNDUP(MONTH(A55)/3,0)</f>
        <v>Q1</v>
      </c>
      <c r="D55" s="11" t="str">
        <f aca="false">B55&amp;"-"&amp;C55</f>
        <v>2023-Q1</v>
      </c>
      <c r="E55" s="11" t="n">
        <f aca="false">MONTH(A55)</f>
        <v>3</v>
      </c>
      <c r="F55" s="11" t="str">
        <f aca="false">TEXT(A55,"mmm")</f>
        <v>Mar</v>
      </c>
      <c r="G55" s="11" t="s">
        <v>210</v>
      </c>
      <c r="H55" s="11" t="s">
        <v>205</v>
      </c>
      <c r="I55" s="12" t="n">
        <v>1550665</v>
      </c>
      <c r="J55" s="12" t="n">
        <v>364327</v>
      </c>
      <c r="K55" s="13" t="n">
        <f aca="false">IF(I55=0,0,J55/I55)</f>
        <v>0.234948876772224</v>
      </c>
      <c r="L55" s="12" t="n">
        <v>157957</v>
      </c>
      <c r="M55" s="12" t="n">
        <v>16597</v>
      </c>
      <c r="N55" s="12" t="n">
        <v>1478</v>
      </c>
      <c r="O55" s="12" t="n">
        <v>17</v>
      </c>
      <c r="P55" s="12" t="n">
        <f aca="false">M55+N55+O55</f>
        <v>18092</v>
      </c>
      <c r="Q55" s="13" t="n">
        <f aca="false">IF(I55=0,0,P55/I55)</f>
        <v>0.0116672524368577</v>
      </c>
      <c r="R55" s="13" t="n">
        <v>0.0529</v>
      </c>
      <c r="S55" s="14" t="n">
        <v>131315</v>
      </c>
      <c r="T55" s="14" t="n">
        <v>12898</v>
      </c>
      <c r="U55" s="14" t="n">
        <v>4165</v>
      </c>
      <c r="V55" s="14" t="n">
        <v>10660</v>
      </c>
      <c r="W55" s="14" t="n">
        <f aca="false">S55+T55+U55+V55</f>
        <v>159038</v>
      </c>
      <c r="X55" s="15" t="n">
        <f aca="false">IF(P55=0,0,S55/P55)</f>
        <v>7.25818041123148</v>
      </c>
      <c r="Y55" s="15" t="n">
        <f aca="false">IF(J55=0,0,W55/J55)</f>
        <v>0.436525429078822</v>
      </c>
      <c r="Z55" s="14" t="n">
        <v>28856</v>
      </c>
      <c r="AA55" s="15" t="n">
        <f aca="false">IF(L55=0,0,Z55/L55)</f>
        <v>0.182682628816703</v>
      </c>
      <c r="AB55" s="12" t="n">
        <v>26567161</v>
      </c>
      <c r="AC55" s="16" t="n">
        <v>10.2</v>
      </c>
      <c r="AD55" s="16" t="n">
        <v>17.4</v>
      </c>
      <c r="AE55" s="13" t="n">
        <v>0.354</v>
      </c>
      <c r="AF55" s="13" t="n">
        <v>0.562</v>
      </c>
      <c r="AG55" s="13" t="n">
        <v>0.329</v>
      </c>
      <c r="AH55" s="13" t="n">
        <v>0.191</v>
      </c>
      <c r="AI55" s="17"/>
    </row>
    <row r="56" customFormat="false" ht="15" hidden="false" customHeight="false" outlineLevel="0" collapsed="false">
      <c r="A56" s="10" t="n">
        <v>45017</v>
      </c>
      <c r="B56" s="11" t="n">
        <f aca="false">YEAR(A56)</f>
        <v>2023</v>
      </c>
      <c r="C56" s="11" t="str">
        <f aca="false">"Q"&amp;ROUNDUP(MONTH(A56)/3,0)</f>
        <v>Q2</v>
      </c>
      <c r="D56" s="11" t="str">
        <f aca="false">B56&amp;"-"&amp;C56</f>
        <v>2023-Q2</v>
      </c>
      <c r="E56" s="11" t="n">
        <f aca="false">MONTH(A56)</f>
        <v>4</v>
      </c>
      <c r="F56" s="11" t="str">
        <f aca="false">TEXT(A56,"mmm")</f>
        <v>Apr</v>
      </c>
      <c r="G56" s="11" t="s">
        <v>202</v>
      </c>
      <c r="H56" s="11" t="s">
        <v>203</v>
      </c>
      <c r="I56" s="12" t="n">
        <v>6369092</v>
      </c>
      <c r="J56" s="12" t="n">
        <v>1978940</v>
      </c>
      <c r="K56" s="13" t="n">
        <f aca="false">IF(I56=0,0,J56/I56)</f>
        <v>0.310709909670013</v>
      </c>
      <c r="L56" s="12" t="n">
        <v>804329</v>
      </c>
      <c r="M56" s="12" t="n">
        <v>1204077</v>
      </c>
      <c r="N56" s="12" t="n">
        <v>110699</v>
      </c>
      <c r="O56" s="12" t="n">
        <v>15714</v>
      </c>
      <c r="P56" s="12" t="n">
        <f aca="false">M56+N56+O56</f>
        <v>1330490</v>
      </c>
      <c r="Q56" s="13" t="n">
        <f aca="false">IF(I56=0,0,P56/I56)</f>
        <v>0.208897908838497</v>
      </c>
      <c r="R56" s="13" t="n">
        <v>0.0449</v>
      </c>
      <c r="S56" s="14" t="n">
        <v>9349742</v>
      </c>
      <c r="T56" s="14" t="n">
        <v>966482</v>
      </c>
      <c r="U56" s="14" t="n">
        <v>326927</v>
      </c>
      <c r="V56" s="14" t="n">
        <v>732619</v>
      </c>
      <c r="W56" s="14" t="n">
        <f aca="false">S56+T56+U56+V56</f>
        <v>11375770</v>
      </c>
      <c r="X56" s="15" t="n">
        <f aca="false">IF(P56=0,0,S56/P56)</f>
        <v>7.02729220061782</v>
      </c>
      <c r="Y56" s="15" t="n">
        <f aca="false">IF(J56=0,0,W56/J56)</f>
        <v>5.74841581856954</v>
      </c>
      <c r="Z56" s="14" t="n">
        <v>2238736</v>
      </c>
      <c r="AA56" s="15" t="n">
        <f aca="false">IF(L56=0,0,Z56/L56)</f>
        <v>2.78335855104068</v>
      </c>
      <c r="AB56" s="12" t="n">
        <v>148685092</v>
      </c>
      <c r="AC56" s="16" t="n">
        <v>11.7</v>
      </c>
      <c r="AD56" s="16" t="n">
        <v>18.7</v>
      </c>
      <c r="AE56" s="13" t="n">
        <v>0.369</v>
      </c>
      <c r="AF56" s="13" t="n">
        <v>0.568</v>
      </c>
      <c r="AG56" s="13" t="n">
        <v>0.334</v>
      </c>
      <c r="AH56" s="13" t="n">
        <v>0.196</v>
      </c>
      <c r="AI56" s="17" t="n">
        <v>4.64</v>
      </c>
    </row>
    <row r="57" customFormat="false" ht="15" hidden="false" customHeight="false" outlineLevel="0" collapsed="false">
      <c r="A57" s="10" t="n">
        <v>45017</v>
      </c>
      <c r="B57" s="11" t="n">
        <f aca="false">YEAR(A57)</f>
        <v>2023</v>
      </c>
      <c r="C57" s="11" t="str">
        <f aca="false">"Q"&amp;ROUNDUP(MONTH(A57)/3,0)</f>
        <v>Q2</v>
      </c>
      <c r="D57" s="11" t="str">
        <f aca="false">B57&amp;"-"&amp;C57</f>
        <v>2023-Q2</v>
      </c>
      <c r="E57" s="11" t="n">
        <f aca="false">MONTH(A57)</f>
        <v>4</v>
      </c>
      <c r="F57" s="11" t="str">
        <f aca="false">TEXT(A57,"mmm")</f>
        <v>Apr</v>
      </c>
      <c r="G57" s="11" t="s">
        <v>202</v>
      </c>
      <c r="H57" s="11" t="s">
        <v>204</v>
      </c>
      <c r="I57" s="12" t="n">
        <v>8144223</v>
      </c>
      <c r="J57" s="12" t="n">
        <v>2263290</v>
      </c>
      <c r="K57" s="13" t="n">
        <f aca="false">IF(I57=0,0,J57/I57)</f>
        <v>0.277901280453642</v>
      </c>
      <c r="L57" s="12" t="n">
        <v>896915</v>
      </c>
      <c r="M57" s="12" t="n">
        <v>683415</v>
      </c>
      <c r="N57" s="12" t="n">
        <v>59788</v>
      </c>
      <c r="O57" s="12" t="n">
        <v>6642</v>
      </c>
      <c r="P57" s="12" t="n">
        <f aca="false">M57+N57+O57</f>
        <v>749845</v>
      </c>
      <c r="Q57" s="13" t="n">
        <f aca="false">IF(I57=0,0,P57/I57)</f>
        <v>0.0920707844075488</v>
      </c>
      <c r="R57" s="13" t="n">
        <v>0.0451</v>
      </c>
      <c r="S57" s="14" t="n">
        <v>4606460</v>
      </c>
      <c r="T57" s="14" t="n">
        <v>446069</v>
      </c>
      <c r="U57" s="14" t="n">
        <v>154241</v>
      </c>
      <c r="V57" s="14" t="n">
        <v>395222</v>
      </c>
      <c r="W57" s="14" t="n">
        <f aca="false">S57+T57+U57+V57</f>
        <v>5601992</v>
      </c>
      <c r="X57" s="15" t="n">
        <f aca="false">IF(P57=0,0,S57/P57)</f>
        <v>6.1432162646947</v>
      </c>
      <c r="Y57" s="15" t="n">
        <f aca="false">IF(J57=0,0,W57/J57)</f>
        <v>2.47515431076</v>
      </c>
      <c r="Z57" s="14" t="n">
        <v>1073893</v>
      </c>
      <c r="AA57" s="15" t="n">
        <f aca="false">IF(L57=0,0,Z57/L57)</f>
        <v>1.19731858648813</v>
      </c>
      <c r="AB57" s="12" t="n">
        <v>159726746</v>
      </c>
      <c r="AC57" s="16" t="n">
        <v>11.4</v>
      </c>
      <c r="AD57" s="16" t="n">
        <v>18.6</v>
      </c>
      <c r="AE57" s="13" t="n">
        <v>0.371</v>
      </c>
      <c r="AF57" s="13" t="n">
        <v>0.564</v>
      </c>
      <c r="AG57" s="13" t="n">
        <v>0.332</v>
      </c>
      <c r="AH57" s="13" t="n">
        <v>0.199</v>
      </c>
      <c r="AI57" s="17" t="n">
        <v>4.6</v>
      </c>
    </row>
    <row r="58" customFormat="false" ht="15" hidden="false" customHeight="false" outlineLevel="0" collapsed="false">
      <c r="A58" s="10" t="n">
        <v>45017</v>
      </c>
      <c r="B58" s="11" t="n">
        <f aca="false">YEAR(A58)</f>
        <v>2023</v>
      </c>
      <c r="C58" s="11" t="str">
        <f aca="false">"Q"&amp;ROUNDUP(MONTH(A58)/3,0)</f>
        <v>Q2</v>
      </c>
      <c r="D58" s="11" t="str">
        <f aca="false">B58&amp;"-"&amp;C58</f>
        <v>2023-Q2</v>
      </c>
      <c r="E58" s="11" t="n">
        <f aca="false">MONTH(A58)</f>
        <v>4</v>
      </c>
      <c r="F58" s="11" t="str">
        <f aca="false">TEXT(A58,"mmm")</f>
        <v>Apr</v>
      </c>
      <c r="G58" s="11" t="s">
        <v>202</v>
      </c>
      <c r="H58" s="11" t="s">
        <v>205</v>
      </c>
      <c r="I58" s="12" t="n">
        <v>2426692</v>
      </c>
      <c r="J58" s="12" t="n">
        <v>620557</v>
      </c>
      <c r="K58" s="13" t="n">
        <f aca="false">IF(I58=0,0,J58/I58)</f>
        <v>0.255721368842853</v>
      </c>
      <c r="L58" s="12" t="n">
        <v>269714</v>
      </c>
      <c r="M58" s="12" t="n">
        <v>181221</v>
      </c>
      <c r="N58" s="12" t="n">
        <v>17620</v>
      </c>
      <c r="O58" s="12" t="n">
        <v>1181</v>
      </c>
      <c r="P58" s="12" t="n">
        <f aca="false">M58+N58+O58</f>
        <v>200022</v>
      </c>
      <c r="Q58" s="13" t="n">
        <f aca="false">IF(I58=0,0,P58/I58)</f>
        <v>0.0824257878626542</v>
      </c>
      <c r="R58" s="13" t="n">
        <v>0.0493</v>
      </c>
      <c r="S58" s="14" t="n">
        <v>1413408</v>
      </c>
      <c r="T58" s="14" t="n">
        <v>131263</v>
      </c>
      <c r="U58" s="14" t="n">
        <v>47357</v>
      </c>
      <c r="V58" s="14" t="n">
        <v>122447</v>
      </c>
      <c r="W58" s="14" t="n">
        <f aca="false">S58+T58+U58+V58</f>
        <v>1714475</v>
      </c>
      <c r="X58" s="15" t="n">
        <f aca="false">IF(P58=0,0,S58/P58)</f>
        <v>7.06626271110178</v>
      </c>
      <c r="Y58" s="15" t="n">
        <f aca="false">IF(J58=0,0,W58/J58)</f>
        <v>2.76280019401924</v>
      </c>
      <c r="Z58" s="14" t="n">
        <v>296298</v>
      </c>
      <c r="AA58" s="15" t="n">
        <f aca="false">IF(L58=0,0,Z58/L58)</f>
        <v>1.09856366373269</v>
      </c>
      <c r="AB58" s="12" t="n">
        <v>44610251</v>
      </c>
      <c r="AC58" s="16" t="n">
        <v>10.3</v>
      </c>
      <c r="AD58" s="16" t="n">
        <v>17.7</v>
      </c>
      <c r="AE58" s="13" t="n">
        <v>0.358</v>
      </c>
      <c r="AF58" s="13" t="n">
        <v>0.553</v>
      </c>
      <c r="AG58" s="13" t="n">
        <v>0.33</v>
      </c>
      <c r="AH58" s="13" t="n">
        <v>0.192</v>
      </c>
      <c r="AI58" s="17"/>
    </row>
    <row r="59" customFormat="false" ht="15" hidden="false" customHeight="false" outlineLevel="0" collapsed="false">
      <c r="A59" s="10" t="n">
        <v>45017</v>
      </c>
      <c r="B59" s="11" t="n">
        <f aca="false">YEAR(A59)</f>
        <v>2023</v>
      </c>
      <c r="C59" s="11" t="str">
        <f aca="false">"Q"&amp;ROUNDUP(MONTH(A59)/3,0)</f>
        <v>Q2</v>
      </c>
      <c r="D59" s="11" t="str">
        <f aca="false">B59&amp;"-"&amp;C59</f>
        <v>2023-Q2</v>
      </c>
      <c r="E59" s="11" t="n">
        <f aca="false">MONTH(A59)</f>
        <v>4</v>
      </c>
      <c r="F59" s="11" t="str">
        <f aca="false">TEXT(A59,"mmm")</f>
        <v>Apr</v>
      </c>
      <c r="G59" s="11" t="s">
        <v>206</v>
      </c>
      <c r="H59" s="11" t="s">
        <v>203</v>
      </c>
      <c r="I59" s="12" t="n">
        <v>7398599</v>
      </c>
      <c r="J59" s="12" t="n">
        <v>2270873</v>
      </c>
      <c r="K59" s="13" t="n">
        <f aca="false">IF(I59=0,0,J59/I59)</f>
        <v>0.306932839582197</v>
      </c>
      <c r="L59" s="12" t="n">
        <v>935287</v>
      </c>
      <c r="M59" s="12" t="n">
        <v>731924</v>
      </c>
      <c r="N59" s="12" t="n">
        <v>61139</v>
      </c>
      <c r="O59" s="12" t="n">
        <v>5898</v>
      </c>
      <c r="P59" s="12" t="n">
        <f aca="false">M59+N59+O59</f>
        <v>798961</v>
      </c>
      <c r="Q59" s="13" t="n">
        <f aca="false">IF(I59=0,0,P59/I59)</f>
        <v>0.10798814748576</v>
      </c>
      <c r="R59" s="13" t="n">
        <v>0.0492</v>
      </c>
      <c r="S59" s="14" t="n">
        <v>5271643</v>
      </c>
      <c r="T59" s="14" t="n">
        <v>497760</v>
      </c>
      <c r="U59" s="14" t="n">
        <v>178483</v>
      </c>
      <c r="V59" s="14" t="n">
        <v>426743</v>
      </c>
      <c r="W59" s="14" t="n">
        <f aca="false">S59+T59+U59+V59</f>
        <v>6374629</v>
      </c>
      <c r="X59" s="15" t="n">
        <f aca="false">IF(P59=0,0,S59/P59)</f>
        <v>6.5981230623272</v>
      </c>
      <c r="Y59" s="15" t="n">
        <f aca="false">IF(J59=0,0,W59/J59)</f>
        <v>2.80712703880842</v>
      </c>
      <c r="Z59" s="14" t="n">
        <v>1060977</v>
      </c>
      <c r="AA59" s="15" t="n">
        <f aca="false">IF(L59=0,0,Z59/L59)</f>
        <v>1.13438655728135</v>
      </c>
      <c r="AB59" s="12" t="n">
        <v>167792193</v>
      </c>
      <c r="AC59" s="16" t="n">
        <v>11.6</v>
      </c>
      <c r="AD59" s="16" t="n">
        <v>18.1</v>
      </c>
      <c r="AE59" s="13" t="n">
        <v>0.366</v>
      </c>
      <c r="AF59" s="13" t="n">
        <v>0.558</v>
      </c>
      <c r="AG59" s="13" t="n">
        <v>0.34</v>
      </c>
      <c r="AH59" s="13" t="n">
        <v>0.195</v>
      </c>
      <c r="AI59" s="17" t="n">
        <v>4.65</v>
      </c>
    </row>
    <row r="60" customFormat="false" ht="15" hidden="false" customHeight="false" outlineLevel="0" collapsed="false">
      <c r="A60" s="10" t="n">
        <v>45017</v>
      </c>
      <c r="B60" s="11" t="n">
        <f aca="false">YEAR(A60)</f>
        <v>2023</v>
      </c>
      <c r="C60" s="11" t="str">
        <f aca="false">"Q"&amp;ROUNDUP(MONTH(A60)/3,0)</f>
        <v>Q2</v>
      </c>
      <c r="D60" s="11" t="str">
        <f aca="false">B60&amp;"-"&amp;C60</f>
        <v>2023-Q2</v>
      </c>
      <c r="E60" s="11" t="n">
        <f aca="false">MONTH(A60)</f>
        <v>4</v>
      </c>
      <c r="F60" s="11" t="str">
        <f aca="false">TEXT(A60,"mmm")</f>
        <v>Apr</v>
      </c>
      <c r="G60" s="11" t="s">
        <v>206</v>
      </c>
      <c r="H60" s="11" t="s">
        <v>204</v>
      </c>
      <c r="I60" s="12" t="n">
        <v>8977075</v>
      </c>
      <c r="J60" s="12" t="n">
        <v>2525951</v>
      </c>
      <c r="K60" s="13" t="n">
        <f aca="false">IF(I60=0,0,J60/I60)</f>
        <v>0.281377954400515</v>
      </c>
      <c r="L60" s="12" t="n">
        <v>1242974</v>
      </c>
      <c r="M60" s="12" t="n">
        <v>396983</v>
      </c>
      <c r="N60" s="12" t="n">
        <v>37671</v>
      </c>
      <c r="O60" s="12" t="n">
        <v>2420</v>
      </c>
      <c r="P60" s="12" t="n">
        <f aca="false">M60+N60+O60</f>
        <v>437074</v>
      </c>
      <c r="Q60" s="13" t="n">
        <f aca="false">IF(I60=0,0,P60/I60)</f>
        <v>0.0486877964147565</v>
      </c>
      <c r="R60" s="13" t="n">
        <v>0.0488</v>
      </c>
      <c r="S60" s="14" t="n">
        <v>2845514</v>
      </c>
      <c r="T60" s="14" t="n">
        <v>285859</v>
      </c>
      <c r="U60" s="14" t="n">
        <v>93027</v>
      </c>
      <c r="V60" s="14" t="n">
        <v>239434</v>
      </c>
      <c r="W60" s="14" t="n">
        <f aca="false">S60+T60+U60+V60</f>
        <v>3463834</v>
      </c>
      <c r="X60" s="15" t="n">
        <f aca="false">IF(P60=0,0,S60/P60)</f>
        <v>6.51037124148314</v>
      </c>
      <c r="Y60" s="15" t="n">
        <f aca="false">IF(J60=0,0,W60/J60)</f>
        <v>1.37129896819059</v>
      </c>
      <c r="Z60" s="14" t="n">
        <v>593660</v>
      </c>
      <c r="AA60" s="15" t="n">
        <f aca="false">IF(L60=0,0,Z60/L60)</f>
        <v>0.477612564703686</v>
      </c>
      <c r="AB60" s="12" t="n">
        <v>190050702</v>
      </c>
      <c r="AC60" s="16" t="n">
        <v>11.7</v>
      </c>
      <c r="AD60" s="16" t="n">
        <v>17.6</v>
      </c>
      <c r="AE60" s="13" t="n">
        <v>0.357</v>
      </c>
      <c r="AF60" s="13" t="n">
        <v>0.554</v>
      </c>
      <c r="AG60" s="13" t="n">
        <v>0.338</v>
      </c>
      <c r="AH60" s="13" t="n">
        <v>0.186</v>
      </c>
      <c r="AI60" s="17" t="n">
        <v>4.6</v>
      </c>
    </row>
    <row r="61" customFormat="false" ht="15" hidden="false" customHeight="false" outlineLevel="0" collapsed="false">
      <c r="A61" s="10" t="n">
        <v>45017</v>
      </c>
      <c r="B61" s="11" t="n">
        <f aca="false">YEAR(A61)</f>
        <v>2023</v>
      </c>
      <c r="C61" s="11" t="str">
        <f aca="false">"Q"&amp;ROUNDUP(MONTH(A61)/3,0)</f>
        <v>Q2</v>
      </c>
      <c r="D61" s="11" t="str">
        <f aca="false">B61&amp;"-"&amp;C61</f>
        <v>2023-Q2</v>
      </c>
      <c r="E61" s="11" t="n">
        <f aca="false">MONTH(A61)</f>
        <v>4</v>
      </c>
      <c r="F61" s="11" t="str">
        <f aca="false">TEXT(A61,"mmm")</f>
        <v>Apr</v>
      </c>
      <c r="G61" s="11" t="s">
        <v>206</v>
      </c>
      <c r="H61" s="11" t="s">
        <v>205</v>
      </c>
      <c r="I61" s="12" t="n">
        <v>2607906</v>
      </c>
      <c r="J61" s="12" t="n">
        <v>688978</v>
      </c>
      <c r="K61" s="13" t="n">
        <f aca="false">IF(I61=0,0,J61/I61)</f>
        <v>0.264188203102412</v>
      </c>
      <c r="L61" s="12" t="n">
        <v>305038</v>
      </c>
      <c r="M61" s="12" t="n">
        <v>108939</v>
      </c>
      <c r="N61" s="12" t="n">
        <v>9462</v>
      </c>
      <c r="O61" s="12" t="n">
        <v>439</v>
      </c>
      <c r="P61" s="12" t="n">
        <f aca="false">M61+N61+O61</f>
        <v>118840</v>
      </c>
      <c r="Q61" s="13" t="n">
        <f aca="false">IF(I61=0,0,P61/I61)</f>
        <v>0.045569127108109</v>
      </c>
      <c r="R61" s="13" t="n">
        <v>0.0478</v>
      </c>
      <c r="S61" s="14" t="n">
        <v>825058</v>
      </c>
      <c r="T61" s="14" t="n">
        <v>82787</v>
      </c>
      <c r="U61" s="14" t="n">
        <v>28561</v>
      </c>
      <c r="V61" s="14" t="n">
        <v>68629</v>
      </c>
      <c r="W61" s="14" t="n">
        <f aca="false">S61+T61+U61+V61</f>
        <v>1005035</v>
      </c>
      <c r="X61" s="15" t="n">
        <f aca="false">IF(P61=0,0,S61/P61)</f>
        <v>6.94259508582969</v>
      </c>
      <c r="Y61" s="15" t="n">
        <f aca="false">IF(J61=0,0,W61/J61)</f>
        <v>1.45873308001126</v>
      </c>
      <c r="Z61" s="14" t="n">
        <v>199235</v>
      </c>
      <c r="AA61" s="15" t="n">
        <f aca="false">IF(L61=0,0,Z61/L61)</f>
        <v>0.653148132363837</v>
      </c>
      <c r="AB61" s="12" t="n">
        <v>49564720</v>
      </c>
      <c r="AC61" s="16" t="n">
        <v>10.5</v>
      </c>
      <c r="AD61" s="16" t="n">
        <v>17</v>
      </c>
      <c r="AE61" s="13" t="n">
        <v>0.379</v>
      </c>
      <c r="AF61" s="13" t="n">
        <v>0.56</v>
      </c>
      <c r="AG61" s="13" t="n">
        <v>0.343</v>
      </c>
      <c r="AH61" s="13" t="n">
        <v>0.205</v>
      </c>
      <c r="AI61" s="17"/>
    </row>
    <row r="62" customFormat="false" ht="15" hidden="false" customHeight="false" outlineLevel="0" collapsed="false">
      <c r="A62" s="10" t="n">
        <v>45017</v>
      </c>
      <c r="B62" s="11" t="n">
        <f aca="false">YEAR(A62)</f>
        <v>2023</v>
      </c>
      <c r="C62" s="11" t="str">
        <f aca="false">"Q"&amp;ROUNDUP(MONTH(A62)/3,0)</f>
        <v>Q2</v>
      </c>
      <c r="D62" s="11" t="str">
        <f aca="false">B62&amp;"-"&amp;C62</f>
        <v>2023-Q2</v>
      </c>
      <c r="E62" s="11" t="n">
        <f aca="false">MONTH(A62)</f>
        <v>4</v>
      </c>
      <c r="F62" s="11" t="str">
        <f aca="false">TEXT(A62,"mmm")</f>
        <v>Apr</v>
      </c>
      <c r="G62" s="11" t="s">
        <v>207</v>
      </c>
      <c r="H62" s="11" t="s">
        <v>203</v>
      </c>
      <c r="I62" s="12" t="n">
        <v>5298910</v>
      </c>
      <c r="J62" s="12" t="n">
        <v>1520590</v>
      </c>
      <c r="K62" s="13" t="n">
        <f aca="false">IF(I62=0,0,J62/I62)</f>
        <v>0.28696279046068</v>
      </c>
      <c r="L62" s="12" t="n">
        <v>633985</v>
      </c>
      <c r="M62" s="12" t="n">
        <v>349656</v>
      </c>
      <c r="N62" s="12" t="n">
        <v>31455</v>
      </c>
      <c r="O62" s="12" t="n">
        <v>1980</v>
      </c>
      <c r="P62" s="12" t="n">
        <f aca="false">M62+N62+O62</f>
        <v>383091</v>
      </c>
      <c r="Q62" s="13" t="n">
        <f aca="false">IF(I62=0,0,P62/I62)</f>
        <v>0.0722961892162728</v>
      </c>
      <c r="R62" s="13" t="n">
        <v>0.0466</v>
      </c>
      <c r="S62" s="14" t="n">
        <v>2391454</v>
      </c>
      <c r="T62" s="14" t="n">
        <v>219375</v>
      </c>
      <c r="U62" s="14" t="n">
        <v>72473</v>
      </c>
      <c r="V62" s="14" t="n">
        <v>203744</v>
      </c>
      <c r="W62" s="14" t="n">
        <f aca="false">S62+T62+U62+V62</f>
        <v>2887046</v>
      </c>
      <c r="X62" s="15" t="n">
        <f aca="false">IF(P62=0,0,S62/P62)</f>
        <v>6.24252201174134</v>
      </c>
      <c r="Y62" s="15" t="n">
        <f aca="false">IF(J62=0,0,W62/J62)</f>
        <v>1.89863539810205</v>
      </c>
      <c r="Z62" s="14" t="n">
        <v>498612</v>
      </c>
      <c r="AA62" s="15" t="n">
        <f aca="false">IF(L62=0,0,Z62/L62)</f>
        <v>0.786472866077273</v>
      </c>
      <c r="AB62" s="12" t="n">
        <v>111672697</v>
      </c>
      <c r="AC62" s="16" t="n">
        <v>11.8</v>
      </c>
      <c r="AD62" s="16" t="n">
        <v>17.6</v>
      </c>
      <c r="AE62" s="13" t="n">
        <v>0.367</v>
      </c>
      <c r="AF62" s="13" t="n">
        <v>0.562</v>
      </c>
      <c r="AG62" s="13" t="n">
        <v>0.331</v>
      </c>
      <c r="AH62" s="13" t="n">
        <v>0.189</v>
      </c>
      <c r="AI62" s="17" t="n">
        <v>4.67</v>
      </c>
    </row>
    <row r="63" customFormat="false" ht="15" hidden="false" customHeight="false" outlineLevel="0" collapsed="false">
      <c r="A63" s="10" t="n">
        <v>45017</v>
      </c>
      <c r="B63" s="11" t="n">
        <f aca="false">YEAR(A63)</f>
        <v>2023</v>
      </c>
      <c r="C63" s="11" t="str">
        <f aca="false">"Q"&amp;ROUNDUP(MONTH(A63)/3,0)</f>
        <v>Q2</v>
      </c>
      <c r="D63" s="11" t="str">
        <f aca="false">B63&amp;"-"&amp;C63</f>
        <v>2023-Q2</v>
      </c>
      <c r="E63" s="11" t="n">
        <f aca="false">MONTH(A63)</f>
        <v>4</v>
      </c>
      <c r="F63" s="11" t="str">
        <f aca="false">TEXT(A63,"mmm")</f>
        <v>Apr</v>
      </c>
      <c r="G63" s="11" t="s">
        <v>207</v>
      </c>
      <c r="H63" s="11" t="s">
        <v>204</v>
      </c>
      <c r="I63" s="12" t="n">
        <v>5744115</v>
      </c>
      <c r="J63" s="12" t="n">
        <v>1538459</v>
      </c>
      <c r="K63" s="13" t="n">
        <f aca="false">IF(I63=0,0,J63/I63)</f>
        <v>0.267832207398355</v>
      </c>
      <c r="L63" s="12" t="n">
        <v>754224</v>
      </c>
      <c r="M63" s="12" t="n">
        <v>157680</v>
      </c>
      <c r="N63" s="12" t="n">
        <v>13684</v>
      </c>
      <c r="O63" s="12" t="n">
        <v>667</v>
      </c>
      <c r="P63" s="12" t="n">
        <f aca="false">M63+N63+O63</f>
        <v>172031</v>
      </c>
      <c r="Q63" s="13" t="n">
        <f aca="false">IF(I63=0,0,P63/I63)</f>
        <v>0.0299490870221087</v>
      </c>
      <c r="R63" s="13" t="n">
        <v>0.0486</v>
      </c>
      <c r="S63" s="14" t="n">
        <v>1286410</v>
      </c>
      <c r="T63" s="14" t="n">
        <v>120737</v>
      </c>
      <c r="U63" s="14" t="n">
        <v>40359</v>
      </c>
      <c r="V63" s="14" t="n">
        <v>105877</v>
      </c>
      <c r="W63" s="14" t="n">
        <f aca="false">S63+T63+U63+V63</f>
        <v>1553383</v>
      </c>
      <c r="X63" s="15" t="n">
        <f aca="false">IF(P63=0,0,S63/P63)</f>
        <v>7.47778016752795</v>
      </c>
      <c r="Y63" s="15" t="n">
        <f aca="false">IF(J63=0,0,W63/J63)</f>
        <v>1.00970061600602</v>
      </c>
      <c r="Z63" s="14" t="n">
        <v>284671</v>
      </c>
      <c r="AA63" s="15" t="n">
        <f aca="false">IF(L63=0,0,Z63/L63)</f>
        <v>0.377435615944335</v>
      </c>
      <c r="AB63" s="12" t="n">
        <v>110963608</v>
      </c>
      <c r="AC63" s="16" t="n">
        <v>11.4</v>
      </c>
      <c r="AD63" s="16" t="n">
        <v>18.2</v>
      </c>
      <c r="AE63" s="13" t="n">
        <v>0.369</v>
      </c>
      <c r="AF63" s="13" t="n">
        <v>0.559</v>
      </c>
      <c r="AG63" s="13" t="n">
        <v>0.33</v>
      </c>
      <c r="AH63" s="13" t="n">
        <v>0.194</v>
      </c>
      <c r="AI63" s="17" t="n">
        <v>4.61</v>
      </c>
    </row>
    <row r="64" customFormat="false" ht="15" hidden="false" customHeight="false" outlineLevel="0" collapsed="false">
      <c r="A64" s="10" t="n">
        <v>45017</v>
      </c>
      <c r="B64" s="11" t="n">
        <f aca="false">YEAR(A64)</f>
        <v>2023</v>
      </c>
      <c r="C64" s="11" t="str">
        <f aca="false">"Q"&amp;ROUNDUP(MONTH(A64)/3,0)</f>
        <v>Q2</v>
      </c>
      <c r="D64" s="11" t="str">
        <f aca="false">B64&amp;"-"&amp;C64</f>
        <v>2023-Q2</v>
      </c>
      <c r="E64" s="11" t="n">
        <f aca="false">MONTH(A64)</f>
        <v>4</v>
      </c>
      <c r="F64" s="11" t="str">
        <f aca="false">TEXT(A64,"mmm")</f>
        <v>Apr</v>
      </c>
      <c r="G64" s="11" t="s">
        <v>207</v>
      </c>
      <c r="H64" s="11" t="s">
        <v>205</v>
      </c>
      <c r="I64" s="12" t="n">
        <v>1900879</v>
      </c>
      <c r="J64" s="12" t="n">
        <v>447566</v>
      </c>
      <c r="K64" s="13" t="n">
        <f aca="false">IF(I64=0,0,J64/I64)</f>
        <v>0.235452125043204</v>
      </c>
      <c r="L64" s="12" t="n">
        <v>213730</v>
      </c>
      <c r="M64" s="12" t="n">
        <v>45132</v>
      </c>
      <c r="N64" s="12" t="n">
        <v>3737</v>
      </c>
      <c r="O64" s="12" t="n">
        <v>127</v>
      </c>
      <c r="P64" s="12" t="n">
        <f aca="false">M64+N64+O64</f>
        <v>48996</v>
      </c>
      <c r="Q64" s="13" t="n">
        <f aca="false">IF(I64=0,0,P64/I64)</f>
        <v>0.0257754438867492</v>
      </c>
      <c r="R64" s="13" t="n">
        <v>0.0482</v>
      </c>
      <c r="S64" s="14" t="n">
        <v>383846</v>
      </c>
      <c r="T64" s="14" t="n">
        <v>36652</v>
      </c>
      <c r="U64" s="14" t="n">
        <v>12982</v>
      </c>
      <c r="V64" s="14" t="n">
        <v>27497</v>
      </c>
      <c r="W64" s="14" t="n">
        <f aca="false">S64+T64+U64+V64</f>
        <v>460977</v>
      </c>
      <c r="X64" s="15" t="n">
        <f aca="false">IF(P64=0,0,S64/P64)</f>
        <v>7.83423136582578</v>
      </c>
      <c r="Y64" s="15" t="n">
        <f aca="false">IF(J64=0,0,W64/J64)</f>
        <v>1.02996429576867</v>
      </c>
      <c r="Z64" s="14" t="n">
        <v>93548</v>
      </c>
      <c r="AA64" s="15" t="n">
        <f aca="false">IF(L64=0,0,Z64/L64)</f>
        <v>0.437692415664624</v>
      </c>
      <c r="AB64" s="12" t="n">
        <v>32954043</v>
      </c>
      <c r="AC64" s="16" t="n">
        <v>10.4</v>
      </c>
      <c r="AD64" s="16" t="n">
        <v>17.6</v>
      </c>
      <c r="AE64" s="13" t="n">
        <v>0.366</v>
      </c>
      <c r="AF64" s="13" t="n">
        <v>0.564</v>
      </c>
      <c r="AG64" s="13" t="n">
        <v>0.325</v>
      </c>
      <c r="AH64" s="13" t="n">
        <v>0.199</v>
      </c>
      <c r="AI64" s="17"/>
    </row>
    <row r="65" customFormat="false" ht="15" hidden="false" customHeight="false" outlineLevel="0" collapsed="false">
      <c r="A65" s="10" t="n">
        <v>45017</v>
      </c>
      <c r="B65" s="11" t="n">
        <f aca="false">YEAR(A65)</f>
        <v>2023</v>
      </c>
      <c r="C65" s="11" t="str">
        <f aca="false">"Q"&amp;ROUNDUP(MONTH(A65)/3,0)</f>
        <v>Q2</v>
      </c>
      <c r="D65" s="11" t="str">
        <f aca="false">B65&amp;"-"&amp;C65</f>
        <v>2023-Q2</v>
      </c>
      <c r="E65" s="11" t="n">
        <f aca="false">MONTH(A65)</f>
        <v>4</v>
      </c>
      <c r="F65" s="11" t="str">
        <f aca="false">TEXT(A65,"mmm")</f>
        <v>Apr</v>
      </c>
      <c r="G65" s="11" t="s">
        <v>208</v>
      </c>
      <c r="H65" s="11" t="s">
        <v>203</v>
      </c>
      <c r="I65" s="12" t="n">
        <v>4186671</v>
      </c>
      <c r="J65" s="12" t="n">
        <v>1311189</v>
      </c>
      <c r="K65" s="13" t="n">
        <f aca="false">IF(I65=0,0,J65/I65)</f>
        <v>0.313181761834164</v>
      </c>
      <c r="L65" s="12" t="n">
        <v>603307</v>
      </c>
      <c r="M65" s="12" t="n">
        <v>136202</v>
      </c>
      <c r="N65" s="12" t="n">
        <v>13303</v>
      </c>
      <c r="O65" s="12" t="n">
        <v>554</v>
      </c>
      <c r="P65" s="12" t="n">
        <f aca="false">M65+N65+O65</f>
        <v>150059</v>
      </c>
      <c r="Q65" s="13" t="n">
        <f aca="false">IF(I65=0,0,P65/I65)</f>
        <v>0.0358420807366999</v>
      </c>
      <c r="R65" s="13" t="n">
        <v>0.0439</v>
      </c>
      <c r="S65" s="14" t="n">
        <v>1156140</v>
      </c>
      <c r="T65" s="14" t="n">
        <v>107730</v>
      </c>
      <c r="U65" s="14" t="n">
        <v>36936</v>
      </c>
      <c r="V65" s="14" t="n">
        <v>91640</v>
      </c>
      <c r="W65" s="14" t="n">
        <f aca="false">S65+T65+U65+V65</f>
        <v>1392446</v>
      </c>
      <c r="X65" s="15" t="n">
        <f aca="false">IF(P65=0,0,S65/P65)</f>
        <v>7.70456953598251</v>
      </c>
      <c r="Y65" s="15" t="n">
        <f aca="false">IF(J65=0,0,W65/J65)</f>
        <v>1.06197199640937</v>
      </c>
      <c r="Z65" s="14" t="n">
        <v>262344</v>
      </c>
      <c r="AA65" s="15" t="n">
        <f aca="false">IF(L65=0,0,Z65/L65)</f>
        <v>0.434843288740227</v>
      </c>
      <c r="AB65" s="12" t="n">
        <v>93214726</v>
      </c>
      <c r="AC65" s="16" t="n">
        <v>11.6</v>
      </c>
      <c r="AD65" s="16" t="n">
        <v>17.8</v>
      </c>
      <c r="AE65" s="13" t="n">
        <v>0.359</v>
      </c>
      <c r="AF65" s="13" t="n">
        <v>0.561</v>
      </c>
      <c r="AG65" s="13" t="n">
        <v>0.34</v>
      </c>
      <c r="AH65" s="13" t="n">
        <v>0.19</v>
      </c>
      <c r="AI65" s="17" t="n">
        <v>4.69</v>
      </c>
    </row>
    <row r="66" customFormat="false" ht="15" hidden="false" customHeight="false" outlineLevel="0" collapsed="false">
      <c r="A66" s="10" t="n">
        <v>45017</v>
      </c>
      <c r="B66" s="11" t="n">
        <f aca="false">YEAR(A66)</f>
        <v>2023</v>
      </c>
      <c r="C66" s="11" t="str">
        <f aca="false">"Q"&amp;ROUNDUP(MONTH(A66)/3,0)</f>
        <v>Q2</v>
      </c>
      <c r="D66" s="11" t="str">
        <f aca="false">B66&amp;"-"&amp;C66</f>
        <v>2023-Q2</v>
      </c>
      <c r="E66" s="11" t="n">
        <f aca="false">MONTH(A66)</f>
        <v>4</v>
      </c>
      <c r="F66" s="11" t="str">
        <f aca="false">TEXT(A66,"mmm")</f>
        <v>Apr</v>
      </c>
      <c r="G66" s="11" t="s">
        <v>208</v>
      </c>
      <c r="H66" s="11" t="s">
        <v>204</v>
      </c>
      <c r="I66" s="12" t="n">
        <v>5432701</v>
      </c>
      <c r="J66" s="12" t="n">
        <v>1508716</v>
      </c>
      <c r="K66" s="13" t="n">
        <f aca="false">IF(I66=0,0,J66/I66)</f>
        <v>0.277710111416034</v>
      </c>
      <c r="L66" s="12" t="n">
        <v>720767</v>
      </c>
      <c r="M66" s="12" t="n">
        <v>86724</v>
      </c>
      <c r="N66" s="12" t="n">
        <v>7810</v>
      </c>
      <c r="O66" s="12" t="n">
        <v>262</v>
      </c>
      <c r="P66" s="12" t="n">
        <f aca="false">M66+N66+O66</f>
        <v>94796</v>
      </c>
      <c r="Q66" s="13" t="n">
        <f aca="false">IF(I66=0,0,P66/I66)</f>
        <v>0.0174491473026033</v>
      </c>
      <c r="R66" s="13" t="n">
        <v>0.0456</v>
      </c>
      <c r="S66" s="14" t="n">
        <v>585745</v>
      </c>
      <c r="T66" s="14" t="n">
        <v>59356</v>
      </c>
      <c r="U66" s="14" t="n">
        <v>19213</v>
      </c>
      <c r="V66" s="14" t="n">
        <v>44808</v>
      </c>
      <c r="W66" s="14" t="n">
        <f aca="false">S66+T66+U66+V66</f>
        <v>709122</v>
      </c>
      <c r="X66" s="15" t="n">
        <f aca="false">IF(P66=0,0,S66/P66)</f>
        <v>6.17900544326765</v>
      </c>
      <c r="Y66" s="15" t="n">
        <f aca="false">IF(J66=0,0,W66/J66)</f>
        <v>0.470016888533031</v>
      </c>
      <c r="Z66" s="14" t="n">
        <v>118321</v>
      </c>
      <c r="AA66" s="15" t="n">
        <f aca="false">IF(L66=0,0,Z66/L66)</f>
        <v>0.164159846385864</v>
      </c>
      <c r="AB66" s="12" t="n">
        <v>112132640</v>
      </c>
      <c r="AC66" s="16" t="n">
        <v>11.7</v>
      </c>
      <c r="AD66" s="16" t="n">
        <v>17.1</v>
      </c>
      <c r="AE66" s="13" t="n">
        <v>0.382</v>
      </c>
      <c r="AF66" s="13" t="n">
        <v>0.56</v>
      </c>
      <c r="AG66" s="13" t="n">
        <v>0.341</v>
      </c>
      <c r="AH66" s="13" t="n">
        <v>0.19</v>
      </c>
      <c r="AI66" s="17" t="n">
        <v>4.58</v>
      </c>
    </row>
    <row r="67" customFormat="false" ht="15" hidden="false" customHeight="false" outlineLevel="0" collapsed="false">
      <c r="A67" s="10" t="n">
        <v>45017</v>
      </c>
      <c r="B67" s="11" t="n">
        <f aca="false">YEAR(A67)</f>
        <v>2023</v>
      </c>
      <c r="C67" s="11" t="str">
        <f aca="false">"Q"&amp;ROUNDUP(MONTH(A67)/3,0)</f>
        <v>Q2</v>
      </c>
      <c r="D67" s="11" t="str">
        <f aca="false">B67&amp;"-"&amp;C67</f>
        <v>2023-Q2</v>
      </c>
      <c r="E67" s="11" t="n">
        <f aca="false">MONTH(A67)</f>
        <v>4</v>
      </c>
      <c r="F67" s="11" t="str">
        <f aca="false">TEXT(A67,"mmm")</f>
        <v>Apr</v>
      </c>
      <c r="G67" s="11" t="s">
        <v>208</v>
      </c>
      <c r="H67" s="11" t="s">
        <v>205</v>
      </c>
      <c r="I67" s="12" t="n">
        <v>1589385</v>
      </c>
      <c r="J67" s="12" t="n">
        <v>397311</v>
      </c>
      <c r="K67" s="13" t="n">
        <f aca="false">IF(I67=0,0,J67/I67)</f>
        <v>0.249977821610245</v>
      </c>
      <c r="L67" s="12" t="n">
        <v>195087</v>
      </c>
      <c r="M67" s="12" t="n">
        <v>21599</v>
      </c>
      <c r="N67" s="12" t="n">
        <v>2032</v>
      </c>
      <c r="O67" s="12" t="n">
        <v>44</v>
      </c>
      <c r="P67" s="12" t="n">
        <f aca="false">M67+N67+O67</f>
        <v>23675</v>
      </c>
      <c r="Q67" s="13" t="n">
        <f aca="false">IF(I67=0,0,P67/I67)</f>
        <v>0.014895698650736</v>
      </c>
      <c r="R67" s="13" t="n">
        <v>0.0458</v>
      </c>
      <c r="S67" s="14" t="n">
        <v>163459</v>
      </c>
      <c r="T67" s="14" t="n">
        <v>16866</v>
      </c>
      <c r="U67" s="14" t="n">
        <v>5314</v>
      </c>
      <c r="V67" s="14" t="n">
        <v>12904</v>
      </c>
      <c r="W67" s="14" t="n">
        <f aca="false">S67+T67+U67+V67</f>
        <v>198543</v>
      </c>
      <c r="X67" s="15" t="n">
        <f aca="false">IF(P67=0,0,S67/P67)</f>
        <v>6.90428722280887</v>
      </c>
      <c r="Y67" s="15" t="n">
        <f aca="false">IF(J67=0,0,W67/J67)</f>
        <v>0.4997168465006</v>
      </c>
      <c r="Z67" s="14" t="n">
        <v>33450</v>
      </c>
      <c r="AA67" s="15" t="n">
        <f aca="false">IF(L67=0,0,Z67/L67)</f>
        <v>0.171461963124145</v>
      </c>
      <c r="AB67" s="12" t="n">
        <v>29575355</v>
      </c>
      <c r="AC67" s="16" t="n">
        <v>10.3</v>
      </c>
      <c r="AD67" s="16" t="n">
        <v>18.2</v>
      </c>
      <c r="AE67" s="13" t="n">
        <v>0.366</v>
      </c>
      <c r="AF67" s="13" t="n">
        <v>0.574</v>
      </c>
      <c r="AG67" s="13" t="n">
        <v>0.327</v>
      </c>
      <c r="AH67" s="13" t="n">
        <v>0.187</v>
      </c>
      <c r="AI67" s="17"/>
    </row>
    <row r="68" customFormat="false" ht="15" hidden="false" customHeight="false" outlineLevel="0" collapsed="false">
      <c r="A68" s="10" t="n">
        <v>45017</v>
      </c>
      <c r="B68" s="11" t="n">
        <f aca="false">YEAR(A68)</f>
        <v>2023</v>
      </c>
      <c r="C68" s="11" t="str">
        <f aca="false">"Q"&amp;ROUNDUP(MONTH(A68)/3,0)</f>
        <v>Q2</v>
      </c>
      <c r="D68" s="11" t="str">
        <f aca="false">B68&amp;"-"&amp;C68</f>
        <v>2023-Q2</v>
      </c>
      <c r="E68" s="11" t="n">
        <f aca="false">MONTH(A68)</f>
        <v>4</v>
      </c>
      <c r="F68" s="11" t="str">
        <f aca="false">TEXT(A68,"mmm")</f>
        <v>Apr</v>
      </c>
      <c r="G68" s="11" t="s">
        <v>209</v>
      </c>
      <c r="H68" s="11" t="s">
        <v>203</v>
      </c>
      <c r="I68" s="12" t="n">
        <v>2644557</v>
      </c>
      <c r="J68" s="12" t="n">
        <v>764765</v>
      </c>
      <c r="K68" s="13" t="n">
        <f aca="false">IF(I68=0,0,J68/I68)</f>
        <v>0.289184540170622</v>
      </c>
      <c r="L68" s="12" t="n">
        <v>375089</v>
      </c>
      <c r="M68" s="12" t="n">
        <v>51591</v>
      </c>
      <c r="N68" s="12" t="n">
        <v>4670</v>
      </c>
      <c r="O68" s="12" t="n">
        <v>167</v>
      </c>
      <c r="P68" s="12" t="n">
        <f aca="false">M68+N68+O68</f>
        <v>56428</v>
      </c>
      <c r="Q68" s="13" t="n">
        <f aca="false">IF(I68=0,0,P68/I68)</f>
        <v>0.0213374111429627</v>
      </c>
      <c r="R68" s="13" t="n">
        <v>0.045</v>
      </c>
      <c r="S68" s="14" t="n">
        <v>384292</v>
      </c>
      <c r="T68" s="14" t="n">
        <v>37432</v>
      </c>
      <c r="U68" s="14" t="n">
        <v>12678</v>
      </c>
      <c r="V68" s="14" t="n">
        <v>34056</v>
      </c>
      <c r="W68" s="14" t="n">
        <f aca="false">S68+T68+U68+V68</f>
        <v>468458</v>
      </c>
      <c r="X68" s="15" t="n">
        <f aca="false">IF(P68=0,0,S68/P68)</f>
        <v>6.81030693981711</v>
      </c>
      <c r="Y68" s="15" t="n">
        <f aca="false">IF(J68=0,0,W68/J68)</f>
        <v>0.612551568128772</v>
      </c>
      <c r="Z68" s="14" t="n">
        <v>98228</v>
      </c>
      <c r="AA68" s="15" t="n">
        <f aca="false">IF(L68=0,0,Z68/L68)</f>
        <v>0.261879180674453</v>
      </c>
      <c r="AB68" s="12" t="n">
        <v>57088562</v>
      </c>
      <c r="AC68" s="16" t="n">
        <v>11.5</v>
      </c>
      <c r="AD68" s="16" t="n">
        <v>17.7</v>
      </c>
      <c r="AE68" s="13" t="n">
        <v>0.364</v>
      </c>
      <c r="AF68" s="13" t="n">
        <v>0.565</v>
      </c>
      <c r="AG68" s="13" t="n">
        <v>0.335</v>
      </c>
      <c r="AH68" s="13" t="n">
        <v>0.192</v>
      </c>
      <c r="AI68" s="17" t="n">
        <v>4.62</v>
      </c>
    </row>
    <row r="69" customFormat="false" ht="15" hidden="false" customHeight="false" outlineLevel="0" collapsed="false">
      <c r="A69" s="10" t="n">
        <v>45017</v>
      </c>
      <c r="B69" s="11" t="n">
        <f aca="false">YEAR(A69)</f>
        <v>2023</v>
      </c>
      <c r="C69" s="11" t="str">
        <f aca="false">"Q"&amp;ROUNDUP(MONTH(A69)/3,0)</f>
        <v>Q2</v>
      </c>
      <c r="D69" s="11" t="str">
        <f aca="false">B69&amp;"-"&amp;C69</f>
        <v>2023-Q2</v>
      </c>
      <c r="E69" s="11" t="n">
        <f aca="false">MONTH(A69)</f>
        <v>4</v>
      </c>
      <c r="F69" s="11" t="str">
        <f aca="false">TEXT(A69,"mmm")</f>
        <v>Apr</v>
      </c>
      <c r="G69" s="11" t="s">
        <v>209</v>
      </c>
      <c r="H69" s="11" t="s">
        <v>204</v>
      </c>
      <c r="I69" s="12" t="n">
        <v>3652363</v>
      </c>
      <c r="J69" s="12" t="n">
        <v>958116</v>
      </c>
      <c r="K69" s="13" t="n">
        <f aca="false">IF(I69=0,0,J69/I69)</f>
        <v>0.262327704009706</v>
      </c>
      <c r="L69" s="12" t="n">
        <v>445725</v>
      </c>
      <c r="M69" s="12" t="n">
        <v>31473</v>
      </c>
      <c r="N69" s="12" t="n">
        <v>2917</v>
      </c>
      <c r="O69" s="12" t="n">
        <v>76</v>
      </c>
      <c r="P69" s="12" t="n">
        <f aca="false">M69+N69+O69</f>
        <v>34466</v>
      </c>
      <c r="Q69" s="13" t="n">
        <f aca="false">IF(I69=0,0,P69/I69)</f>
        <v>0.00943663047731017</v>
      </c>
      <c r="R69" s="13" t="n">
        <v>0.045</v>
      </c>
      <c r="S69" s="14" t="n">
        <v>213756</v>
      </c>
      <c r="T69" s="14" t="n">
        <v>21189</v>
      </c>
      <c r="U69" s="14" t="n">
        <v>7490</v>
      </c>
      <c r="V69" s="14" t="n">
        <v>17331</v>
      </c>
      <c r="W69" s="14" t="n">
        <f aca="false">S69+T69+U69+V69</f>
        <v>259766</v>
      </c>
      <c r="X69" s="15" t="n">
        <f aca="false">IF(P69=0,0,S69/P69)</f>
        <v>6.20193814193698</v>
      </c>
      <c r="Y69" s="15" t="n">
        <f aca="false">IF(J69=0,0,W69/J69)</f>
        <v>0.271121659590279</v>
      </c>
      <c r="Z69" s="14" t="n">
        <v>46027</v>
      </c>
      <c r="AA69" s="15" t="n">
        <f aca="false">IF(L69=0,0,Z69/L69)</f>
        <v>0.103263222839195</v>
      </c>
      <c r="AB69" s="12" t="n">
        <v>68853311</v>
      </c>
      <c r="AC69" s="16" t="n">
        <v>11.2</v>
      </c>
      <c r="AD69" s="16" t="n">
        <v>18.3</v>
      </c>
      <c r="AE69" s="13" t="n">
        <v>0.358</v>
      </c>
      <c r="AF69" s="13" t="n">
        <v>0.577</v>
      </c>
      <c r="AG69" s="13" t="n">
        <v>0.328</v>
      </c>
      <c r="AH69" s="13" t="n">
        <v>0.19</v>
      </c>
      <c r="AI69" s="17" t="n">
        <v>4.62</v>
      </c>
    </row>
    <row r="70" customFormat="false" ht="15" hidden="false" customHeight="false" outlineLevel="0" collapsed="false">
      <c r="A70" s="10" t="n">
        <v>45017</v>
      </c>
      <c r="B70" s="11" t="n">
        <f aca="false">YEAR(A70)</f>
        <v>2023</v>
      </c>
      <c r="C70" s="11" t="str">
        <f aca="false">"Q"&amp;ROUNDUP(MONTH(A70)/3,0)</f>
        <v>Q2</v>
      </c>
      <c r="D70" s="11" t="str">
        <f aca="false">B70&amp;"-"&amp;C70</f>
        <v>2023-Q2</v>
      </c>
      <c r="E70" s="11" t="n">
        <f aca="false">MONTH(A70)</f>
        <v>4</v>
      </c>
      <c r="F70" s="11" t="str">
        <f aca="false">TEXT(A70,"mmm")</f>
        <v>Apr</v>
      </c>
      <c r="G70" s="11" t="s">
        <v>209</v>
      </c>
      <c r="H70" s="11" t="s">
        <v>205</v>
      </c>
      <c r="I70" s="12" t="n">
        <v>958688</v>
      </c>
      <c r="J70" s="12" t="n">
        <v>234803</v>
      </c>
      <c r="K70" s="13" t="n">
        <f aca="false">IF(I70=0,0,J70/I70)</f>
        <v>0.2449211839514</v>
      </c>
      <c r="L70" s="12" t="n">
        <v>118358</v>
      </c>
      <c r="M70" s="12" t="n">
        <v>8437</v>
      </c>
      <c r="N70" s="12" t="n">
        <v>788</v>
      </c>
      <c r="O70" s="12" t="n">
        <v>14</v>
      </c>
      <c r="P70" s="12" t="n">
        <f aca="false">M70+N70+O70</f>
        <v>9239</v>
      </c>
      <c r="Q70" s="13" t="n">
        <f aca="false">IF(I70=0,0,P70/I70)</f>
        <v>0.00963712907640442</v>
      </c>
      <c r="R70" s="13" t="n">
        <v>0.0465</v>
      </c>
      <c r="S70" s="14" t="n">
        <v>59429</v>
      </c>
      <c r="T70" s="14" t="n">
        <v>6529</v>
      </c>
      <c r="U70" s="14" t="n">
        <v>1901</v>
      </c>
      <c r="V70" s="14" t="n">
        <v>5161</v>
      </c>
      <c r="W70" s="14" t="n">
        <f aca="false">S70+T70+U70+V70</f>
        <v>73020</v>
      </c>
      <c r="X70" s="15" t="n">
        <f aca="false">IF(P70=0,0,S70/P70)</f>
        <v>6.43240610455677</v>
      </c>
      <c r="Y70" s="15" t="n">
        <f aca="false">IF(J70=0,0,W70/J70)</f>
        <v>0.310984101565994</v>
      </c>
      <c r="Z70" s="14" t="n">
        <v>15028</v>
      </c>
      <c r="AA70" s="15" t="n">
        <f aca="false">IF(L70=0,0,Z70/L70)</f>
        <v>0.126970715963433</v>
      </c>
      <c r="AB70" s="12" t="n">
        <v>16981367</v>
      </c>
      <c r="AC70" s="16" t="n">
        <v>10.3</v>
      </c>
      <c r="AD70" s="16" t="n">
        <v>18.4</v>
      </c>
      <c r="AE70" s="13" t="n">
        <v>0.349</v>
      </c>
      <c r="AF70" s="13" t="n">
        <v>0.563</v>
      </c>
      <c r="AG70" s="13" t="n">
        <v>0.334</v>
      </c>
      <c r="AH70" s="13" t="n">
        <v>0.189</v>
      </c>
      <c r="AI70" s="17"/>
    </row>
    <row r="71" customFormat="false" ht="15" hidden="false" customHeight="false" outlineLevel="0" collapsed="false">
      <c r="A71" s="10" t="n">
        <v>45017</v>
      </c>
      <c r="B71" s="11" t="n">
        <f aca="false">YEAR(A71)</f>
        <v>2023</v>
      </c>
      <c r="C71" s="11" t="str">
        <f aca="false">"Q"&amp;ROUNDUP(MONTH(A71)/3,0)</f>
        <v>Q2</v>
      </c>
      <c r="D71" s="11" t="str">
        <f aca="false">B71&amp;"-"&amp;C71</f>
        <v>2023-Q2</v>
      </c>
      <c r="E71" s="11" t="n">
        <f aca="false">MONTH(A71)</f>
        <v>4</v>
      </c>
      <c r="F71" s="11" t="str">
        <f aca="false">TEXT(A71,"mmm")</f>
        <v>Apr</v>
      </c>
      <c r="G71" s="11" t="s">
        <v>210</v>
      </c>
      <c r="H71" s="11" t="s">
        <v>203</v>
      </c>
      <c r="I71" s="12" t="n">
        <v>3463003</v>
      </c>
      <c r="J71" s="12" t="n">
        <v>962204</v>
      </c>
      <c r="K71" s="13" t="n">
        <f aca="false">IF(I71=0,0,J71/I71)</f>
        <v>0.277852488143961</v>
      </c>
      <c r="L71" s="12" t="n">
        <v>497141</v>
      </c>
      <c r="M71" s="12" t="n">
        <v>101620</v>
      </c>
      <c r="N71" s="12" t="n">
        <v>9346</v>
      </c>
      <c r="O71" s="12" t="n">
        <v>329</v>
      </c>
      <c r="P71" s="12" t="n">
        <f aca="false">M71+N71+O71</f>
        <v>111295</v>
      </c>
      <c r="Q71" s="13" t="n">
        <f aca="false">IF(I71=0,0,P71/I71)</f>
        <v>0.0321382915348326</v>
      </c>
      <c r="R71" s="13" t="n">
        <v>0.0447</v>
      </c>
      <c r="S71" s="14" t="n">
        <v>749269</v>
      </c>
      <c r="T71" s="14" t="n">
        <v>75270</v>
      </c>
      <c r="U71" s="14" t="n">
        <v>25324</v>
      </c>
      <c r="V71" s="14" t="n">
        <v>60786</v>
      </c>
      <c r="W71" s="14" t="n">
        <f aca="false">S71+T71+U71+V71</f>
        <v>910649</v>
      </c>
      <c r="X71" s="15" t="n">
        <f aca="false">IF(P71=0,0,S71/P71)</f>
        <v>6.7322790781257</v>
      </c>
      <c r="Y71" s="15" t="n">
        <f aca="false">IF(J71=0,0,W71/J71)</f>
        <v>0.946419886011698</v>
      </c>
      <c r="Z71" s="14" t="n">
        <v>166961</v>
      </c>
      <c r="AA71" s="15" t="n">
        <f aca="false">IF(L71=0,0,Z71/L71)</f>
        <v>0.335842346537501</v>
      </c>
      <c r="AB71" s="12" t="n">
        <v>70390796</v>
      </c>
      <c r="AC71" s="16" t="n">
        <v>11.9</v>
      </c>
      <c r="AD71" s="16" t="n">
        <v>18</v>
      </c>
      <c r="AE71" s="13" t="n">
        <v>0.379</v>
      </c>
      <c r="AF71" s="13" t="n">
        <v>0.549</v>
      </c>
      <c r="AG71" s="13" t="n">
        <v>0.332</v>
      </c>
      <c r="AH71" s="13" t="n">
        <v>0.209</v>
      </c>
      <c r="AI71" s="17" t="n">
        <v>4.63</v>
      </c>
    </row>
    <row r="72" customFormat="false" ht="15" hidden="false" customHeight="false" outlineLevel="0" collapsed="false">
      <c r="A72" s="10" t="n">
        <v>45017</v>
      </c>
      <c r="B72" s="11" t="n">
        <f aca="false">YEAR(A72)</f>
        <v>2023</v>
      </c>
      <c r="C72" s="11" t="str">
        <f aca="false">"Q"&amp;ROUNDUP(MONTH(A72)/3,0)</f>
        <v>Q2</v>
      </c>
      <c r="D72" s="11" t="str">
        <f aca="false">B72&amp;"-"&amp;C72</f>
        <v>2023-Q2</v>
      </c>
      <c r="E72" s="11" t="n">
        <f aca="false">MONTH(A72)</f>
        <v>4</v>
      </c>
      <c r="F72" s="11" t="str">
        <f aca="false">TEXT(A72,"mmm")</f>
        <v>Apr</v>
      </c>
      <c r="G72" s="11" t="s">
        <v>210</v>
      </c>
      <c r="H72" s="11" t="s">
        <v>204</v>
      </c>
      <c r="I72" s="12" t="n">
        <v>5320411</v>
      </c>
      <c r="J72" s="12" t="n">
        <v>1359952</v>
      </c>
      <c r="K72" s="13" t="n">
        <f aca="false">IF(I72=0,0,J72/I72)</f>
        <v>0.255610327848732</v>
      </c>
      <c r="L72" s="12" t="n">
        <v>623187</v>
      </c>
      <c r="M72" s="12" t="n">
        <v>57855</v>
      </c>
      <c r="N72" s="12" t="n">
        <v>5060</v>
      </c>
      <c r="O72" s="12" t="n">
        <v>140</v>
      </c>
      <c r="P72" s="12" t="n">
        <f aca="false">M72+N72+O72</f>
        <v>63055</v>
      </c>
      <c r="Q72" s="13" t="n">
        <f aca="false">IF(I72=0,0,P72/I72)</f>
        <v>0.0118515280116517</v>
      </c>
      <c r="R72" s="13" t="n">
        <v>0.0448</v>
      </c>
      <c r="S72" s="14" t="n">
        <v>420926</v>
      </c>
      <c r="T72" s="14" t="n">
        <v>42043</v>
      </c>
      <c r="U72" s="14" t="n">
        <v>14138</v>
      </c>
      <c r="V72" s="14" t="n">
        <v>31868</v>
      </c>
      <c r="W72" s="14" t="n">
        <f aca="false">S72+T72+U72+V72</f>
        <v>508975</v>
      </c>
      <c r="X72" s="15" t="n">
        <f aca="false">IF(P72=0,0,S72/P72)</f>
        <v>6.6755372294029</v>
      </c>
      <c r="Y72" s="15" t="n">
        <f aca="false">IF(J72=0,0,W72/J72)</f>
        <v>0.374259532689389</v>
      </c>
      <c r="Z72" s="14" t="n">
        <v>89054</v>
      </c>
      <c r="AA72" s="15" t="n">
        <f aca="false">IF(L72=0,0,Z72/L72)</f>
        <v>0.142900927009068</v>
      </c>
      <c r="AB72" s="12" t="n">
        <v>102582374</v>
      </c>
      <c r="AC72" s="16" t="n">
        <v>11.3</v>
      </c>
      <c r="AD72" s="16" t="n">
        <v>16.8</v>
      </c>
      <c r="AE72" s="13" t="n">
        <v>0.374</v>
      </c>
      <c r="AF72" s="13" t="n">
        <v>0.558</v>
      </c>
      <c r="AG72" s="13" t="n">
        <v>0.338</v>
      </c>
      <c r="AH72" s="13" t="n">
        <v>0.195</v>
      </c>
      <c r="AI72" s="17" t="n">
        <v>4.59</v>
      </c>
    </row>
    <row r="73" customFormat="false" ht="15" hidden="false" customHeight="false" outlineLevel="0" collapsed="false">
      <c r="A73" s="10" t="n">
        <v>45017</v>
      </c>
      <c r="B73" s="11" t="n">
        <f aca="false">YEAR(A73)</f>
        <v>2023</v>
      </c>
      <c r="C73" s="11" t="str">
        <f aca="false">"Q"&amp;ROUNDUP(MONTH(A73)/3,0)</f>
        <v>Q2</v>
      </c>
      <c r="D73" s="11" t="str">
        <f aca="false">B73&amp;"-"&amp;C73</f>
        <v>2023-Q2</v>
      </c>
      <c r="E73" s="11" t="n">
        <f aca="false">MONTH(A73)</f>
        <v>4</v>
      </c>
      <c r="F73" s="11" t="str">
        <f aca="false">TEXT(A73,"mmm")</f>
        <v>Apr</v>
      </c>
      <c r="G73" s="11" t="s">
        <v>210</v>
      </c>
      <c r="H73" s="11" t="s">
        <v>205</v>
      </c>
      <c r="I73" s="12" t="n">
        <v>1610024</v>
      </c>
      <c r="J73" s="12" t="n">
        <v>371906</v>
      </c>
      <c r="K73" s="13" t="n">
        <f aca="false">IF(I73=0,0,J73/I73)</f>
        <v>0.230994072138055</v>
      </c>
      <c r="L73" s="12" t="n">
        <v>164121</v>
      </c>
      <c r="M73" s="12" t="n">
        <v>16173</v>
      </c>
      <c r="N73" s="12" t="n">
        <v>1438</v>
      </c>
      <c r="O73" s="12" t="n">
        <v>26</v>
      </c>
      <c r="P73" s="12" t="n">
        <f aca="false">M73+N73+O73</f>
        <v>17637</v>
      </c>
      <c r="Q73" s="13" t="n">
        <f aca="false">IF(I73=0,0,P73/I73)</f>
        <v>0.010954495088272</v>
      </c>
      <c r="R73" s="13" t="n">
        <v>0.0498</v>
      </c>
      <c r="S73" s="14" t="n">
        <v>122494</v>
      </c>
      <c r="T73" s="14" t="n">
        <v>10813</v>
      </c>
      <c r="U73" s="14" t="n">
        <v>3864</v>
      </c>
      <c r="V73" s="14" t="n">
        <v>9651</v>
      </c>
      <c r="W73" s="14" t="n">
        <f aca="false">S73+T73+U73+V73</f>
        <v>146822</v>
      </c>
      <c r="X73" s="15" t="n">
        <f aca="false">IF(P73=0,0,S73/P73)</f>
        <v>6.94528547938992</v>
      </c>
      <c r="Y73" s="15" t="n">
        <f aca="false">IF(J73=0,0,W73/J73)</f>
        <v>0.394782552580491</v>
      </c>
      <c r="Z73" s="14" t="n">
        <v>27312</v>
      </c>
      <c r="AA73" s="15" t="n">
        <f aca="false">IF(L73=0,0,Z73/L73)</f>
        <v>0.166413804449156</v>
      </c>
      <c r="AB73" s="12" t="n">
        <v>27219340</v>
      </c>
      <c r="AC73" s="16" t="n">
        <v>10.2</v>
      </c>
      <c r="AD73" s="16" t="n">
        <v>18.4</v>
      </c>
      <c r="AE73" s="13" t="n">
        <v>0.378</v>
      </c>
      <c r="AF73" s="13" t="n">
        <v>0.565</v>
      </c>
      <c r="AG73" s="13" t="n">
        <v>0.334</v>
      </c>
      <c r="AH73" s="13" t="n">
        <v>0.188</v>
      </c>
      <c r="AI73" s="17"/>
    </row>
    <row r="74" customFormat="false" ht="15" hidden="false" customHeight="false" outlineLevel="0" collapsed="false">
      <c r="A74" s="10" t="n">
        <v>45047</v>
      </c>
      <c r="B74" s="11" t="n">
        <f aca="false">YEAR(A74)</f>
        <v>2023</v>
      </c>
      <c r="C74" s="11" t="str">
        <f aca="false">"Q"&amp;ROUNDUP(MONTH(A74)/3,0)</f>
        <v>Q2</v>
      </c>
      <c r="D74" s="11" t="str">
        <f aca="false">B74&amp;"-"&amp;C74</f>
        <v>2023-Q2</v>
      </c>
      <c r="E74" s="11" t="n">
        <f aca="false">MONTH(A74)</f>
        <v>5</v>
      </c>
      <c r="F74" s="11" t="str">
        <f aca="false">TEXT(A74,"mmm")</f>
        <v>May</v>
      </c>
      <c r="G74" s="11" t="s">
        <v>202</v>
      </c>
      <c r="H74" s="11" t="s">
        <v>203</v>
      </c>
      <c r="I74" s="12" t="n">
        <v>6375763</v>
      </c>
      <c r="J74" s="12" t="n">
        <v>1935222</v>
      </c>
      <c r="K74" s="13" t="n">
        <f aca="false">IF(I74=0,0,J74/I74)</f>
        <v>0.303527907169699</v>
      </c>
      <c r="L74" s="12" t="n">
        <v>817253</v>
      </c>
      <c r="M74" s="12" t="n">
        <v>1272591</v>
      </c>
      <c r="N74" s="12" t="n">
        <v>118620</v>
      </c>
      <c r="O74" s="12" t="n">
        <v>22538</v>
      </c>
      <c r="P74" s="12" t="n">
        <f aca="false">M74+N74+O74</f>
        <v>1413749</v>
      </c>
      <c r="Q74" s="13" t="n">
        <f aca="false">IF(I74=0,0,P74/I74)</f>
        <v>0.221738010023271</v>
      </c>
      <c r="R74" s="13" t="n">
        <v>0.0497</v>
      </c>
      <c r="S74" s="14" t="n">
        <v>9336474</v>
      </c>
      <c r="T74" s="14" t="n">
        <v>956164</v>
      </c>
      <c r="U74" s="14" t="n">
        <v>331391</v>
      </c>
      <c r="V74" s="14" t="n">
        <v>774525</v>
      </c>
      <c r="W74" s="14" t="n">
        <f aca="false">S74+T74+U74+V74</f>
        <v>11398554</v>
      </c>
      <c r="X74" s="15" t="n">
        <f aca="false">IF(P74=0,0,S74/P74)</f>
        <v>6.60405347766824</v>
      </c>
      <c r="Y74" s="15" t="n">
        <f aca="false">IF(J74=0,0,W74/J74)</f>
        <v>5.89004982374115</v>
      </c>
      <c r="Z74" s="14" t="n">
        <v>1900077</v>
      </c>
      <c r="AA74" s="15" t="n">
        <f aca="false">IF(L74=0,0,Z74/L74)</f>
        <v>2.32495567468091</v>
      </c>
      <c r="AB74" s="12" t="n">
        <v>144908856</v>
      </c>
      <c r="AC74" s="16" t="n">
        <v>12</v>
      </c>
      <c r="AD74" s="16" t="n">
        <v>19.2</v>
      </c>
      <c r="AE74" s="13" t="n">
        <v>0.38</v>
      </c>
      <c r="AF74" s="13" t="n">
        <v>0.568</v>
      </c>
      <c r="AG74" s="13" t="n">
        <v>0.334</v>
      </c>
      <c r="AH74" s="13" t="n">
        <v>0.194</v>
      </c>
      <c r="AI74" s="17" t="n">
        <v>4.65</v>
      </c>
    </row>
    <row r="75" customFormat="false" ht="15" hidden="false" customHeight="false" outlineLevel="0" collapsed="false">
      <c r="A75" s="10" t="n">
        <v>45047</v>
      </c>
      <c r="B75" s="11" t="n">
        <f aca="false">YEAR(A75)</f>
        <v>2023</v>
      </c>
      <c r="C75" s="11" t="str">
        <f aca="false">"Q"&amp;ROUNDUP(MONTH(A75)/3,0)</f>
        <v>Q2</v>
      </c>
      <c r="D75" s="11" t="str">
        <f aca="false">B75&amp;"-"&amp;C75</f>
        <v>2023-Q2</v>
      </c>
      <c r="E75" s="11" t="n">
        <f aca="false">MONTH(A75)</f>
        <v>5</v>
      </c>
      <c r="F75" s="11" t="str">
        <f aca="false">TEXT(A75,"mmm")</f>
        <v>May</v>
      </c>
      <c r="G75" s="11" t="s">
        <v>202</v>
      </c>
      <c r="H75" s="11" t="s">
        <v>204</v>
      </c>
      <c r="I75" s="12" t="n">
        <v>8009471</v>
      </c>
      <c r="J75" s="12" t="n">
        <v>2236110</v>
      </c>
      <c r="K75" s="13" t="n">
        <f aca="false">IF(I75=0,0,J75/I75)</f>
        <v>0.279183231951274</v>
      </c>
      <c r="L75" s="12" t="n">
        <v>966112</v>
      </c>
      <c r="M75" s="12" t="n">
        <v>695286</v>
      </c>
      <c r="N75" s="12" t="n">
        <v>61805</v>
      </c>
      <c r="O75" s="12" t="n">
        <v>9162</v>
      </c>
      <c r="P75" s="12" t="n">
        <f aca="false">M75+N75+O75</f>
        <v>766253</v>
      </c>
      <c r="Q75" s="13" t="n">
        <f aca="false">IF(I75=0,0,P75/I75)</f>
        <v>0.0956683656136591</v>
      </c>
      <c r="R75" s="13" t="n">
        <v>0.0451</v>
      </c>
      <c r="S75" s="14" t="n">
        <v>5710903</v>
      </c>
      <c r="T75" s="14" t="n">
        <v>532078</v>
      </c>
      <c r="U75" s="14" t="n">
        <v>187741</v>
      </c>
      <c r="V75" s="14" t="n">
        <v>458418</v>
      </c>
      <c r="W75" s="14" t="n">
        <f aca="false">S75+T75+U75+V75</f>
        <v>6889140</v>
      </c>
      <c r="X75" s="15" t="n">
        <f aca="false">IF(P75=0,0,S75/P75)</f>
        <v>7.45302530626308</v>
      </c>
      <c r="Y75" s="15" t="n">
        <f aca="false">IF(J75=0,0,W75/J75)</f>
        <v>3.08085917061325</v>
      </c>
      <c r="Z75" s="14" t="n">
        <v>1151376</v>
      </c>
      <c r="AA75" s="15" t="n">
        <f aca="false">IF(L75=0,0,Z75/L75)</f>
        <v>1.19176244576198</v>
      </c>
      <c r="AB75" s="12" t="n">
        <v>163631196</v>
      </c>
      <c r="AC75" s="16" t="n">
        <v>11.5</v>
      </c>
      <c r="AD75" s="16" t="n">
        <v>17.5</v>
      </c>
      <c r="AE75" s="13" t="n">
        <v>0.373</v>
      </c>
      <c r="AF75" s="13" t="n">
        <v>0.567</v>
      </c>
      <c r="AG75" s="13" t="n">
        <v>0.343</v>
      </c>
      <c r="AH75" s="13" t="n">
        <v>0.195</v>
      </c>
      <c r="AI75" s="17" t="n">
        <v>4.61</v>
      </c>
    </row>
    <row r="76" customFormat="false" ht="15" hidden="false" customHeight="false" outlineLevel="0" collapsed="false">
      <c r="A76" s="10" t="n">
        <v>45047</v>
      </c>
      <c r="B76" s="11" t="n">
        <f aca="false">YEAR(A76)</f>
        <v>2023</v>
      </c>
      <c r="C76" s="11" t="str">
        <f aca="false">"Q"&amp;ROUNDUP(MONTH(A76)/3,0)</f>
        <v>Q2</v>
      </c>
      <c r="D76" s="11" t="str">
        <f aca="false">B76&amp;"-"&amp;C76</f>
        <v>2023-Q2</v>
      </c>
      <c r="E76" s="11" t="n">
        <f aca="false">MONTH(A76)</f>
        <v>5</v>
      </c>
      <c r="F76" s="11" t="str">
        <f aca="false">TEXT(A76,"mmm")</f>
        <v>May</v>
      </c>
      <c r="G76" s="11" t="s">
        <v>202</v>
      </c>
      <c r="H76" s="11" t="s">
        <v>205</v>
      </c>
      <c r="I76" s="12" t="n">
        <v>2319853</v>
      </c>
      <c r="J76" s="12" t="n">
        <v>600674</v>
      </c>
      <c r="K76" s="13" t="n">
        <f aca="false">IF(I76=0,0,J76/I76)</f>
        <v>0.258927613085829</v>
      </c>
      <c r="L76" s="12" t="n">
        <v>296851</v>
      </c>
      <c r="M76" s="12" t="n">
        <v>187027</v>
      </c>
      <c r="N76" s="12" t="n">
        <v>18085</v>
      </c>
      <c r="O76" s="12" t="n">
        <v>1648</v>
      </c>
      <c r="P76" s="12" t="n">
        <f aca="false">M76+N76+O76</f>
        <v>206760</v>
      </c>
      <c r="Q76" s="13" t="n">
        <f aca="false">IF(I76=0,0,P76/I76)</f>
        <v>0.0891263368842767</v>
      </c>
      <c r="R76" s="13" t="n">
        <v>0.0517</v>
      </c>
      <c r="S76" s="14" t="n">
        <v>1612830</v>
      </c>
      <c r="T76" s="14" t="n">
        <v>158192</v>
      </c>
      <c r="U76" s="14" t="n">
        <v>53237</v>
      </c>
      <c r="V76" s="14" t="n">
        <v>130538</v>
      </c>
      <c r="W76" s="14" t="n">
        <f aca="false">S76+T76+U76+V76</f>
        <v>1954797</v>
      </c>
      <c r="X76" s="15" t="n">
        <f aca="false">IF(P76=0,0,S76/P76)</f>
        <v>7.80049332559489</v>
      </c>
      <c r="Y76" s="15" t="n">
        <f aca="false">IF(J76=0,0,W76/J76)</f>
        <v>3.2543392921951</v>
      </c>
      <c r="Z76" s="14" t="n">
        <v>317081</v>
      </c>
      <c r="AA76" s="15" t="n">
        <f aca="false">IF(L76=0,0,Z76/L76)</f>
        <v>1.06814866717646</v>
      </c>
      <c r="AB76" s="12" t="n">
        <v>42927435</v>
      </c>
      <c r="AC76" s="16" t="n">
        <v>10.4</v>
      </c>
      <c r="AD76" s="16" t="n">
        <v>19.3</v>
      </c>
      <c r="AE76" s="13" t="n">
        <v>0.376</v>
      </c>
      <c r="AF76" s="13" t="n">
        <v>0.574</v>
      </c>
      <c r="AG76" s="13" t="n">
        <v>0.35</v>
      </c>
      <c r="AH76" s="13" t="n">
        <v>0.199</v>
      </c>
      <c r="AI76" s="17"/>
    </row>
    <row r="77" customFormat="false" ht="15" hidden="false" customHeight="false" outlineLevel="0" collapsed="false">
      <c r="A77" s="10" t="n">
        <v>45047</v>
      </c>
      <c r="B77" s="11" t="n">
        <f aca="false">YEAR(A77)</f>
        <v>2023</v>
      </c>
      <c r="C77" s="11" t="str">
        <f aca="false">"Q"&amp;ROUNDUP(MONTH(A77)/3,0)</f>
        <v>Q2</v>
      </c>
      <c r="D77" s="11" t="str">
        <f aca="false">B77&amp;"-"&amp;C77</f>
        <v>2023-Q2</v>
      </c>
      <c r="E77" s="11" t="n">
        <f aca="false">MONTH(A77)</f>
        <v>5</v>
      </c>
      <c r="F77" s="11" t="str">
        <f aca="false">TEXT(A77,"mmm")</f>
        <v>May</v>
      </c>
      <c r="G77" s="11" t="s">
        <v>206</v>
      </c>
      <c r="H77" s="11" t="s">
        <v>203</v>
      </c>
      <c r="I77" s="12" t="n">
        <v>7009791</v>
      </c>
      <c r="J77" s="12" t="n">
        <v>2210710</v>
      </c>
      <c r="K77" s="13" t="n">
        <f aca="false">IF(I77=0,0,J77/I77)</f>
        <v>0.315374595333869</v>
      </c>
      <c r="L77" s="12" t="n">
        <v>949674</v>
      </c>
      <c r="M77" s="12" t="n">
        <v>734093</v>
      </c>
      <c r="N77" s="12" t="n">
        <v>70462</v>
      </c>
      <c r="O77" s="12" t="n">
        <v>8097</v>
      </c>
      <c r="P77" s="12" t="n">
        <f aca="false">M77+N77+O77</f>
        <v>812652</v>
      </c>
      <c r="Q77" s="13" t="n">
        <f aca="false">IF(I77=0,0,P77/I77)</f>
        <v>0.115930988527333</v>
      </c>
      <c r="R77" s="13" t="n">
        <v>0.0462</v>
      </c>
      <c r="S77" s="14" t="n">
        <v>5709467</v>
      </c>
      <c r="T77" s="14" t="n">
        <v>567814</v>
      </c>
      <c r="U77" s="14" t="n">
        <v>192403</v>
      </c>
      <c r="V77" s="14" t="n">
        <v>441863</v>
      </c>
      <c r="W77" s="14" t="n">
        <f aca="false">S77+T77+U77+V77</f>
        <v>6911547</v>
      </c>
      <c r="X77" s="15" t="n">
        <f aca="false">IF(P77=0,0,S77/P77)</f>
        <v>7.02572195724615</v>
      </c>
      <c r="Y77" s="15" t="n">
        <f aca="false">IF(J77=0,0,W77/J77)</f>
        <v>3.1263924259627</v>
      </c>
      <c r="Z77" s="14" t="n">
        <v>1497384</v>
      </c>
      <c r="AA77" s="15" t="n">
        <f aca="false">IF(L77=0,0,Z77/L77)</f>
        <v>1.57673475318899</v>
      </c>
      <c r="AB77" s="12" t="n">
        <v>175391703</v>
      </c>
      <c r="AC77" s="16" t="n">
        <v>11.8</v>
      </c>
      <c r="AD77" s="16" t="n">
        <v>17.1</v>
      </c>
      <c r="AE77" s="13" t="n">
        <v>0.366</v>
      </c>
      <c r="AF77" s="13" t="n">
        <v>0.567</v>
      </c>
      <c r="AG77" s="13" t="n">
        <v>0.346</v>
      </c>
      <c r="AH77" s="13" t="n">
        <v>0.194</v>
      </c>
      <c r="AI77" s="17" t="n">
        <v>4.68</v>
      </c>
    </row>
    <row r="78" customFormat="false" ht="15" hidden="false" customHeight="false" outlineLevel="0" collapsed="false">
      <c r="A78" s="10" t="n">
        <v>45047</v>
      </c>
      <c r="B78" s="11" t="n">
        <f aca="false">YEAR(A78)</f>
        <v>2023</v>
      </c>
      <c r="C78" s="11" t="str">
        <f aca="false">"Q"&amp;ROUNDUP(MONTH(A78)/3,0)</f>
        <v>Q2</v>
      </c>
      <c r="D78" s="11" t="str">
        <f aca="false">B78&amp;"-"&amp;C78</f>
        <v>2023-Q2</v>
      </c>
      <c r="E78" s="11" t="n">
        <f aca="false">MONTH(A78)</f>
        <v>5</v>
      </c>
      <c r="F78" s="11" t="str">
        <f aca="false">TEXT(A78,"mmm")</f>
        <v>May</v>
      </c>
      <c r="G78" s="11" t="s">
        <v>206</v>
      </c>
      <c r="H78" s="11" t="s">
        <v>204</v>
      </c>
      <c r="I78" s="12" t="n">
        <v>9073525</v>
      </c>
      <c r="J78" s="12" t="n">
        <v>2577593</v>
      </c>
      <c r="K78" s="13" t="n">
        <f aca="false">IF(I78=0,0,J78/I78)</f>
        <v>0.284078459033286</v>
      </c>
      <c r="L78" s="12" t="n">
        <v>1167147</v>
      </c>
      <c r="M78" s="12" t="n">
        <v>403348</v>
      </c>
      <c r="N78" s="12" t="n">
        <v>37336</v>
      </c>
      <c r="O78" s="12" t="n">
        <v>3318</v>
      </c>
      <c r="P78" s="12" t="n">
        <f aca="false">M78+N78+O78</f>
        <v>444002</v>
      </c>
      <c r="Q78" s="13" t="n">
        <f aca="false">IF(I78=0,0,P78/I78)</f>
        <v>0.0489337936469013</v>
      </c>
      <c r="R78" s="13" t="n">
        <v>0.0486</v>
      </c>
      <c r="S78" s="14" t="n">
        <v>3203220</v>
      </c>
      <c r="T78" s="14" t="n">
        <v>318030</v>
      </c>
      <c r="U78" s="14" t="n">
        <v>117705</v>
      </c>
      <c r="V78" s="14" t="n">
        <v>264943</v>
      </c>
      <c r="W78" s="14" t="n">
        <f aca="false">S78+T78+U78+V78</f>
        <v>3903898</v>
      </c>
      <c r="X78" s="15" t="n">
        <f aca="false">IF(P78=0,0,S78/P78)</f>
        <v>7.21442696204071</v>
      </c>
      <c r="Y78" s="15" t="n">
        <f aca="false">IF(J78=0,0,W78/J78)</f>
        <v>1.5145517542917</v>
      </c>
      <c r="Z78" s="14" t="n">
        <v>762620</v>
      </c>
      <c r="AA78" s="15" t="n">
        <f aca="false">IF(L78=0,0,Z78/L78)</f>
        <v>0.6534052694305</v>
      </c>
      <c r="AB78" s="12" t="n">
        <v>186641093</v>
      </c>
      <c r="AC78" s="16" t="n">
        <v>11.4</v>
      </c>
      <c r="AD78" s="16" t="n">
        <v>17.8</v>
      </c>
      <c r="AE78" s="13" t="n">
        <v>0.365</v>
      </c>
      <c r="AF78" s="13" t="n">
        <v>0.57</v>
      </c>
      <c r="AG78" s="13" t="n">
        <v>0.34</v>
      </c>
      <c r="AH78" s="13" t="n">
        <v>0.185</v>
      </c>
      <c r="AI78" s="17" t="n">
        <v>4.59</v>
      </c>
    </row>
    <row r="79" customFormat="false" ht="15" hidden="false" customHeight="false" outlineLevel="0" collapsed="false">
      <c r="A79" s="10" t="n">
        <v>45047</v>
      </c>
      <c r="B79" s="11" t="n">
        <f aca="false">YEAR(A79)</f>
        <v>2023</v>
      </c>
      <c r="C79" s="11" t="str">
        <f aca="false">"Q"&amp;ROUNDUP(MONTH(A79)/3,0)</f>
        <v>Q2</v>
      </c>
      <c r="D79" s="11" t="str">
        <f aca="false">B79&amp;"-"&amp;C79</f>
        <v>2023-Q2</v>
      </c>
      <c r="E79" s="11" t="n">
        <f aca="false">MONTH(A79)</f>
        <v>5</v>
      </c>
      <c r="F79" s="11" t="str">
        <f aca="false">TEXT(A79,"mmm")</f>
        <v>May</v>
      </c>
      <c r="G79" s="11" t="s">
        <v>206</v>
      </c>
      <c r="H79" s="11" t="s">
        <v>205</v>
      </c>
      <c r="I79" s="12" t="n">
        <v>3005796</v>
      </c>
      <c r="J79" s="12" t="n">
        <v>793504</v>
      </c>
      <c r="K79" s="13" t="n">
        <f aca="false">IF(I79=0,0,J79/I79)</f>
        <v>0.263991302137603</v>
      </c>
      <c r="L79" s="12" t="n">
        <v>314330</v>
      </c>
      <c r="M79" s="12" t="n">
        <v>109272</v>
      </c>
      <c r="N79" s="12" t="n">
        <v>9982</v>
      </c>
      <c r="O79" s="12" t="n">
        <v>597</v>
      </c>
      <c r="P79" s="12" t="n">
        <f aca="false">M79+N79+O79</f>
        <v>119851</v>
      </c>
      <c r="Q79" s="13" t="n">
        <f aca="false">IF(I79=0,0,P79/I79)</f>
        <v>0.0398732981213629</v>
      </c>
      <c r="R79" s="13" t="n">
        <v>0.051</v>
      </c>
      <c r="S79" s="14" t="n">
        <v>916821</v>
      </c>
      <c r="T79" s="14" t="n">
        <v>93415</v>
      </c>
      <c r="U79" s="14" t="n">
        <v>30133</v>
      </c>
      <c r="V79" s="14" t="n">
        <v>77483</v>
      </c>
      <c r="W79" s="14" t="n">
        <f aca="false">S79+T79+U79+V79</f>
        <v>1117852</v>
      </c>
      <c r="X79" s="15" t="n">
        <f aca="false">IF(P79=0,0,S79/P79)</f>
        <v>7.64967334440263</v>
      </c>
      <c r="Y79" s="15" t="n">
        <f aca="false">IF(J79=0,0,W79/J79)</f>
        <v>1.40875408315522</v>
      </c>
      <c r="Z79" s="14" t="n">
        <v>216614</v>
      </c>
      <c r="AA79" s="15" t="n">
        <f aca="false">IF(L79=0,0,Z79/L79)</f>
        <v>0.689129259058951</v>
      </c>
      <c r="AB79" s="12" t="n">
        <v>59344896</v>
      </c>
      <c r="AC79" s="16" t="n">
        <v>10.3</v>
      </c>
      <c r="AD79" s="16" t="n">
        <v>18.2</v>
      </c>
      <c r="AE79" s="13" t="n">
        <v>0.366</v>
      </c>
      <c r="AF79" s="13" t="n">
        <v>0.549</v>
      </c>
      <c r="AG79" s="13" t="n">
        <v>0.329</v>
      </c>
      <c r="AH79" s="13" t="n">
        <v>0.201</v>
      </c>
      <c r="AI79" s="17"/>
    </row>
    <row r="80" customFormat="false" ht="15" hidden="false" customHeight="false" outlineLevel="0" collapsed="false">
      <c r="A80" s="10" t="n">
        <v>45047</v>
      </c>
      <c r="B80" s="11" t="n">
        <f aca="false">YEAR(A80)</f>
        <v>2023</v>
      </c>
      <c r="C80" s="11" t="str">
        <f aca="false">"Q"&amp;ROUNDUP(MONTH(A80)/3,0)</f>
        <v>Q2</v>
      </c>
      <c r="D80" s="11" t="str">
        <f aca="false">B80&amp;"-"&amp;C80</f>
        <v>2023-Q2</v>
      </c>
      <c r="E80" s="11" t="n">
        <f aca="false">MONTH(A80)</f>
        <v>5</v>
      </c>
      <c r="F80" s="11" t="str">
        <f aca="false">TEXT(A80,"mmm")</f>
        <v>May</v>
      </c>
      <c r="G80" s="11" t="s">
        <v>207</v>
      </c>
      <c r="H80" s="11" t="s">
        <v>203</v>
      </c>
      <c r="I80" s="12" t="n">
        <v>4535997</v>
      </c>
      <c r="J80" s="12" t="n">
        <v>1302303</v>
      </c>
      <c r="K80" s="13" t="n">
        <f aca="false">IF(I80=0,0,J80/I80)</f>
        <v>0.287104025862451</v>
      </c>
      <c r="L80" s="12" t="n">
        <v>606943</v>
      </c>
      <c r="M80" s="12" t="n">
        <v>330383</v>
      </c>
      <c r="N80" s="12" t="n">
        <v>28394</v>
      </c>
      <c r="O80" s="12" t="n">
        <v>2520</v>
      </c>
      <c r="P80" s="12" t="n">
        <f aca="false">M80+N80+O80</f>
        <v>361297</v>
      </c>
      <c r="Q80" s="13" t="n">
        <f aca="false">IF(I80=0,0,P80/I80)</f>
        <v>0.0796510667886244</v>
      </c>
      <c r="R80" s="13" t="n">
        <v>0.0491</v>
      </c>
      <c r="S80" s="14" t="n">
        <v>2527721</v>
      </c>
      <c r="T80" s="14" t="n">
        <v>230447</v>
      </c>
      <c r="U80" s="14" t="n">
        <v>84560</v>
      </c>
      <c r="V80" s="14" t="n">
        <v>181178</v>
      </c>
      <c r="W80" s="14" t="n">
        <f aca="false">S80+T80+U80+V80</f>
        <v>3023906</v>
      </c>
      <c r="X80" s="15" t="n">
        <f aca="false">IF(P80=0,0,S80/P80)</f>
        <v>6.99624131946847</v>
      </c>
      <c r="Y80" s="15" t="n">
        <f aca="false">IF(J80=0,0,W80/J80)</f>
        <v>2.32196808269658</v>
      </c>
      <c r="Z80" s="14" t="n">
        <v>626958</v>
      </c>
      <c r="AA80" s="15" t="n">
        <f aca="false">IF(L80=0,0,Z80/L80)</f>
        <v>1.03297673751901</v>
      </c>
      <c r="AB80" s="12" t="n">
        <v>94102709</v>
      </c>
      <c r="AC80" s="16" t="n">
        <v>11.7</v>
      </c>
      <c r="AD80" s="16" t="n">
        <v>18.3</v>
      </c>
      <c r="AE80" s="13" t="n">
        <v>0.389</v>
      </c>
      <c r="AF80" s="13" t="n">
        <v>0.575</v>
      </c>
      <c r="AG80" s="13" t="n">
        <v>0.337</v>
      </c>
      <c r="AH80" s="13" t="n">
        <v>0.2</v>
      </c>
      <c r="AI80" s="17" t="n">
        <v>4.64</v>
      </c>
    </row>
    <row r="81" customFormat="false" ht="15" hidden="false" customHeight="false" outlineLevel="0" collapsed="false">
      <c r="A81" s="10" t="n">
        <v>45047</v>
      </c>
      <c r="B81" s="11" t="n">
        <f aca="false">YEAR(A81)</f>
        <v>2023</v>
      </c>
      <c r="C81" s="11" t="str">
        <f aca="false">"Q"&amp;ROUNDUP(MONTH(A81)/3,0)</f>
        <v>Q2</v>
      </c>
      <c r="D81" s="11" t="str">
        <f aca="false">B81&amp;"-"&amp;C81</f>
        <v>2023-Q2</v>
      </c>
      <c r="E81" s="11" t="n">
        <f aca="false">MONTH(A81)</f>
        <v>5</v>
      </c>
      <c r="F81" s="11" t="str">
        <f aca="false">TEXT(A81,"mmm")</f>
        <v>May</v>
      </c>
      <c r="G81" s="11" t="s">
        <v>207</v>
      </c>
      <c r="H81" s="11" t="s">
        <v>204</v>
      </c>
      <c r="I81" s="12" t="n">
        <v>7094277</v>
      </c>
      <c r="J81" s="12" t="n">
        <v>1915636</v>
      </c>
      <c r="K81" s="13" t="n">
        <f aca="false">IF(I81=0,0,J81/I81)</f>
        <v>0.270025543124409</v>
      </c>
      <c r="L81" s="12" t="n">
        <v>747624</v>
      </c>
      <c r="M81" s="12" t="n">
        <v>185354</v>
      </c>
      <c r="N81" s="12" t="n">
        <v>17332</v>
      </c>
      <c r="O81" s="12" t="n">
        <v>1066</v>
      </c>
      <c r="P81" s="12" t="n">
        <f aca="false">M81+N81+O81</f>
        <v>203752</v>
      </c>
      <c r="Q81" s="13" t="n">
        <f aca="false">IF(I81=0,0,P81/I81)</f>
        <v>0.0287206152226647</v>
      </c>
      <c r="R81" s="13" t="n">
        <v>0.0443</v>
      </c>
      <c r="S81" s="14" t="n">
        <v>1450976</v>
      </c>
      <c r="T81" s="14" t="n">
        <v>147298</v>
      </c>
      <c r="U81" s="14" t="n">
        <v>49281</v>
      </c>
      <c r="V81" s="14" t="n">
        <v>115497</v>
      </c>
      <c r="W81" s="14" t="n">
        <f aca="false">S81+T81+U81+V81</f>
        <v>1763052</v>
      </c>
      <c r="X81" s="15" t="n">
        <f aca="false">IF(P81=0,0,S81/P81)</f>
        <v>7.1212846990459</v>
      </c>
      <c r="Y81" s="15" t="n">
        <f aca="false">IF(J81=0,0,W81/J81)</f>
        <v>0.92034812459152</v>
      </c>
      <c r="Z81" s="14" t="n">
        <v>288453</v>
      </c>
      <c r="AA81" s="15" t="n">
        <f aca="false">IF(L81=0,0,Z81/L81)</f>
        <v>0.385826297711149</v>
      </c>
      <c r="AB81" s="12" t="n">
        <v>140303638</v>
      </c>
      <c r="AC81" s="16" t="n">
        <v>11.5</v>
      </c>
      <c r="AD81" s="16" t="n">
        <v>17.9</v>
      </c>
      <c r="AE81" s="13" t="n">
        <v>0.378</v>
      </c>
      <c r="AF81" s="13" t="n">
        <v>0.571</v>
      </c>
      <c r="AG81" s="13" t="n">
        <v>0.337</v>
      </c>
      <c r="AH81" s="13" t="n">
        <v>0.19</v>
      </c>
      <c r="AI81" s="17" t="n">
        <v>4.63</v>
      </c>
    </row>
    <row r="82" customFormat="false" ht="15" hidden="false" customHeight="false" outlineLevel="0" collapsed="false">
      <c r="A82" s="10" t="n">
        <v>45047</v>
      </c>
      <c r="B82" s="11" t="n">
        <f aca="false">YEAR(A82)</f>
        <v>2023</v>
      </c>
      <c r="C82" s="11" t="str">
        <f aca="false">"Q"&amp;ROUNDUP(MONTH(A82)/3,0)</f>
        <v>Q2</v>
      </c>
      <c r="D82" s="11" t="str">
        <f aca="false">B82&amp;"-"&amp;C82</f>
        <v>2023-Q2</v>
      </c>
      <c r="E82" s="11" t="n">
        <f aca="false">MONTH(A82)</f>
        <v>5</v>
      </c>
      <c r="F82" s="11" t="str">
        <f aca="false">TEXT(A82,"mmm")</f>
        <v>May</v>
      </c>
      <c r="G82" s="11" t="s">
        <v>207</v>
      </c>
      <c r="H82" s="11" t="s">
        <v>205</v>
      </c>
      <c r="I82" s="12" t="n">
        <v>1994124</v>
      </c>
      <c r="J82" s="12" t="n">
        <v>470637</v>
      </c>
      <c r="K82" s="13" t="n">
        <f aca="false">IF(I82=0,0,J82/I82)</f>
        <v>0.236011902970929</v>
      </c>
      <c r="L82" s="12" t="n">
        <v>196748</v>
      </c>
      <c r="M82" s="12" t="n">
        <v>48163</v>
      </c>
      <c r="N82" s="12" t="n">
        <v>4451</v>
      </c>
      <c r="O82" s="12" t="n">
        <v>184</v>
      </c>
      <c r="P82" s="12" t="n">
        <f aca="false">M82+N82+O82</f>
        <v>52798</v>
      </c>
      <c r="Q82" s="13" t="n">
        <f aca="false">IF(I82=0,0,P82/I82)</f>
        <v>0.0264767888055106</v>
      </c>
      <c r="R82" s="13" t="n">
        <v>0.0501</v>
      </c>
      <c r="S82" s="14" t="n">
        <v>394340</v>
      </c>
      <c r="T82" s="14" t="n">
        <v>38221</v>
      </c>
      <c r="U82" s="14" t="n">
        <v>13032</v>
      </c>
      <c r="V82" s="14" t="n">
        <v>32671</v>
      </c>
      <c r="W82" s="14" t="n">
        <f aca="false">S82+T82+U82+V82</f>
        <v>478264</v>
      </c>
      <c r="X82" s="15" t="n">
        <f aca="false">IF(P82=0,0,S82/P82)</f>
        <v>7.46884351679988</v>
      </c>
      <c r="Y82" s="15" t="n">
        <f aca="false">IF(J82=0,0,W82/J82)</f>
        <v>1.01620569568478</v>
      </c>
      <c r="Z82" s="14" t="n">
        <v>95073</v>
      </c>
      <c r="AA82" s="15" t="n">
        <f aca="false">IF(L82=0,0,Z82/L82)</f>
        <v>0.483222192855836</v>
      </c>
      <c r="AB82" s="12" t="n">
        <v>33082365</v>
      </c>
      <c r="AC82" s="16" t="n">
        <v>10</v>
      </c>
      <c r="AD82" s="16" t="n">
        <v>18.6</v>
      </c>
      <c r="AE82" s="13" t="n">
        <v>0.375</v>
      </c>
      <c r="AF82" s="13" t="n">
        <v>0.562</v>
      </c>
      <c r="AG82" s="13" t="n">
        <v>0.318</v>
      </c>
      <c r="AH82" s="13" t="n">
        <v>0.197</v>
      </c>
      <c r="AI82" s="17"/>
    </row>
    <row r="83" customFormat="false" ht="15" hidden="false" customHeight="false" outlineLevel="0" collapsed="false">
      <c r="A83" s="10" t="n">
        <v>45047</v>
      </c>
      <c r="B83" s="11" t="n">
        <f aca="false">YEAR(A83)</f>
        <v>2023</v>
      </c>
      <c r="C83" s="11" t="str">
        <f aca="false">"Q"&amp;ROUNDUP(MONTH(A83)/3,0)</f>
        <v>Q2</v>
      </c>
      <c r="D83" s="11" t="str">
        <f aca="false">B83&amp;"-"&amp;C83</f>
        <v>2023-Q2</v>
      </c>
      <c r="E83" s="11" t="n">
        <f aca="false">MONTH(A83)</f>
        <v>5</v>
      </c>
      <c r="F83" s="11" t="str">
        <f aca="false">TEXT(A83,"mmm")</f>
        <v>May</v>
      </c>
      <c r="G83" s="11" t="s">
        <v>208</v>
      </c>
      <c r="H83" s="11" t="s">
        <v>203</v>
      </c>
      <c r="I83" s="12" t="n">
        <v>4437154</v>
      </c>
      <c r="J83" s="12" t="n">
        <v>1348388</v>
      </c>
      <c r="K83" s="13" t="n">
        <f aca="false">IF(I83=0,0,J83/I83)</f>
        <v>0.303885779037644</v>
      </c>
      <c r="L83" s="12" t="n">
        <v>534043</v>
      </c>
      <c r="M83" s="12" t="n">
        <v>154634</v>
      </c>
      <c r="N83" s="12" t="n">
        <v>15580</v>
      </c>
      <c r="O83" s="12" t="n">
        <v>852</v>
      </c>
      <c r="P83" s="12" t="n">
        <f aca="false">M83+N83+O83</f>
        <v>171066</v>
      </c>
      <c r="Q83" s="13" t="n">
        <f aca="false">IF(I83=0,0,P83/I83)</f>
        <v>0.0385530905621036</v>
      </c>
      <c r="R83" s="13" t="n">
        <v>0.0414</v>
      </c>
      <c r="S83" s="14" t="n">
        <v>1190112</v>
      </c>
      <c r="T83" s="14" t="n">
        <v>118279</v>
      </c>
      <c r="U83" s="14" t="n">
        <v>37414</v>
      </c>
      <c r="V83" s="14" t="n">
        <v>104185</v>
      </c>
      <c r="W83" s="14" t="n">
        <f aca="false">S83+T83+U83+V83</f>
        <v>1449990</v>
      </c>
      <c r="X83" s="15" t="n">
        <f aca="false">IF(P83=0,0,S83/P83)</f>
        <v>6.95703412717898</v>
      </c>
      <c r="Y83" s="15" t="n">
        <f aca="false">IF(J83=0,0,W83/J83)</f>
        <v>1.07535071507608</v>
      </c>
      <c r="Z83" s="14" t="n">
        <v>232033</v>
      </c>
      <c r="AA83" s="15" t="n">
        <f aca="false">IF(L83=0,0,Z83/L83)</f>
        <v>0.434483740073365</v>
      </c>
      <c r="AB83" s="12" t="n">
        <v>98649126</v>
      </c>
      <c r="AC83" s="16" t="n">
        <v>11.8</v>
      </c>
      <c r="AD83" s="16" t="n">
        <v>18</v>
      </c>
      <c r="AE83" s="13" t="n">
        <v>0.389</v>
      </c>
      <c r="AF83" s="13" t="n">
        <v>0.563</v>
      </c>
      <c r="AG83" s="13" t="n">
        <v>0.349</v>
      </c>
      <c r="AH83" s="13" t="n">
        <v>0.197</v>
      </c>
      <c r="AI83" s="17" t="n">
        <v>4.65</v>
      </c>
    </row>
    <row r="84" customFormat="false" ht="15" hidden="false" customHeight="false" outlineLevel="0" collapsed="false">
      <c r="A84" s="10" t="n">
        <v>45047</v>
      </c>
      <c r="B84" s="11" t="n">
        <f aca="false">YEAR(A84)</f>
        <v>2023</v>
      </c>
      <c r="C84" s="11" t="str">
        <f aca="false">"Q"&amp;ROUNDUP(MONTH(A84)/3,0)</f>
        <v>Q2</v>
      </c>
      <c r="D84" s="11" t="str">
        <f aca="false">B84&amp;"-"&amp;C84</f>
        <v>2023-Q2</v>
      </c>
      <c r="E84" s="11" t="n">
        <f aca="false">MONTH(A84)</f>
        <v>5</v>
      </c>
      <c r="F84" s="11" t="str">
        <f aca="false">TEXT(A84,"mmm")</f>
        <v>May</v>
      </c>
      <c r="G84" s="11" t="s">
        <v>208</v>
      </c>
      <c r="H84" s="11" t="s">
        <v>204</v>
      </c>
      <c r="I84" s="12" t="n">
        <v>5262117</v>
      </c>
      <c r="J84" s="12" t="n">
        <v>1500920</v>
      </c>
      <c r="K84" s="13" t="n">
        <f aca="false">IF(I84=0,0,J84/I84)</f>
        <v>0.285231210176437</v>
      </c>
      <c r="L84" s="12" t="n">
        <v>686376</v>
      </c>
      <c r="M84" s="12" t="n">
        <v>92854</v>
      </c>
      <c r="N84" s="12" t="n">
        <v>7947</v>
      </c>
      <c r="O84" s="12" t="n">
        <v>378</v>
      </c>
      <c r="P84" s="12" t="n">
        <f aca="false">M84+N84+O84</f>
        <v>101179</v>
      </c>
      <c r="Q84" s="13" t="n">
        <f aca="false">IF(I84=0,0,P84/I84)</f>
        <v>0.0192278126845146</v>
      </c>
      <c r="R84" s="13" t="n">
        <v>0.0447</v>
      </c>
      <c r="S84" s="14" t="n">
        <v>700709</v>
      </c>
      <c r="T84" s="14" t="n">
        <v>62811</v>
      </c>
      <c r="U84" s="14" t="n">
        <v>25295</v>
      </c>
      <c r="V84" s="14" t="n">
        <v>57416</v>
      </c>
      <c r="W84" s="14" t="n">
        <f aca="false">S84+T84+U84+V84</f>
        <v>846231</v>
      </c>
      <c r="X84" s="15" t="n">
        <f aca="false">IF(P84=0,0,S84/P84)</f>
        <v>6.92543907332549</v>
      </c>
      <c r="Y84" s="15" t="n">
        <f aca="false">IF(J84=0,0,W84/J84)</f>
        <v>0.563808197638782</v>
      </c>
      <c r="Z84" s="14" t="n">
        <v>135996</v>
      </c>
      <c r="AA84" s="15" t="n">
        <f aca="false">IF(L84=0,0,Z84/L84)</f>
        <v>0.198136298471975</v>
      </c>
      <c r="AB84" s="12" t="n">
        <v>106361676</v>
      </c>
      <c r="AC84" s="16" t="n">
        <v>11.7</v>
      </c>
      <c r="AD84" s="16" t="n">
        <v>17.9</v>
      </c>
      <c r="AE84" s="13" t="n">
        <v>0.371</v>
      </c>
      <c r="AF84" s="13" t="n">
        <v>0.558</v>
      </c>
      <c r="AG84" s="13" t="n">
        <v>0.333</v>
      </c>
      <c r="AH84" s="13" t="n">
        <v>0.192</v>
      </c>
      <c r="AI84" s="17" t="n">
        <v>4.61</v>
      </c>
    </row>
    <row r="85" customFormat="false" ht="15" hidden="false" customHeight="false" outlineLevel="0" collapsed="false">
      <c r="A85" s="10" t="n">
        <v>45047</v>
      </c>
      <c r="B85" s="11" t="n">
        <f aca="false">YEAR(A85)</f>
        <v>2023</v>
      </c>
      <c r="C85" s="11" t="str">
        <f aca="false">"Q"&amp;ROUNDUP(MONTH(A85)/3,0)</f>
        <v>Q2</v>
      </c>
      <c r="D85" s="11" t="str">
        <f aca="false">B85&amp;"-"&amp;C85</f>
        <v>2023-Q2</v>
      </c>
      <c r="E85" s="11" t="n">
        <f aca="false">MONTH(A85)</f>
        <v>5</v>
      </c>
      <c r="F85" s="11" t="str">
        <f aca="false">TEXT(A85,"mmm")</f>
        <v>May</v>
      </c>
      <c r="G85" s="11" t="s">
        <v>208</v>
      </c>
      <c r="H85" s="11" t="s">
        <v>205</v>
      </c>
      <c r="I85" s="12" t="n">
        <v>1619209</v>
      </c>
      <c r="J85" s="12" t="n">
        <v>427411</v>
      </c>
      <c r="K85" s="13" t="n">
        <f aca="false">IF(I85=0,0,J85/I85)</f>
        <v>0.263962836174947</v>
      </c>
      <c r="L85" s="12" t="n">
        <v>192121</v>
      </c>
      <c r="M85" s="12" t="n">
        <v>23366</v>
      </c>
      <c r="N85" s="12" t="n">
        <v>2224</v>
      </c>
      <c r="O85" s="12" t="n">
        <v>64</v>
      </c>
      <c r="P85" s="12" t="n">
        <f aca="false">M85+N85+O85</f>
        <v>25654</v>
      </c>
      <c r="Q85" s="13" t="n">
        <f aca="false">IF(I85=0,0,P85/I85)</f>
        <v>0.0158435384190676</v>
      </c>
      <c r="R85" s="13" t="n">
        <v>0.0497</v>
      </c>
      <c r="S85" s="14" t="n">
        <v>203057</v>
      </c>
      <c r="T85" s="14" t="n">
        <v>20583</v>
      </c>
      <c r="U85" s="14" t="n">
        <v>6990</v>
      </c>
      <c r="V85" s="14" t="n">
        <v>20473</v>
      </c>
      <c r="W85" s="14" t="n">
        <f aca="false">S85+T85+U85+V85</f>
        <v>251103</v>
      </c>
      <c r="X85" s="15" t="n">
        <f aca="false">IF(P85=0,0,S85/P85)</f>
        <v>7.91521789974273</v>
      </c>
      <c r="Y85" s="15" t="n">
        <f aca="false">IF(J85=0,0,W85/J85)</f>
        <v>0.587497748069189</v>
      </c>
      <c r="Z85" s="14" t="n">
        <v>49257</v>
      </c>
      <c r="AA85" s="15" t="n">
        <f aca="false">IF(L85=0,0,Z85/L85)</f>
        <v>0.256385298848122</v>
      </c>
      <c r="AB85" s="12" t="n">
        <v>32335436</v>
      </c>
      <c r="AC85" s="16" t="n">
        <v>10.4</v>
      </c>
      <c r="AD85" s="16" t="n">
        <v>18.7</v>
      </c>
      <c r="AE85" s="13" t="n">
        <v>0.383</v>
      </c>
      <c r="AF85" s="13" t="n">
        <v>0.569</v>
      </c>
      <c r="AG85" s="13" t="n">
        <v>0.33</v>
      </c>
      <c r="AH85" s="13" t="n">
        <v>0.186</v>
      </c>
      <c r="AI85" s="17"/>
    </row>
    <row r="86" customFormat="false" ht="15" hidden="false" customHeight="false" outlineLevel="0" collapsed="false">
      <c r="A86" s="10" t="n">
        <v>45047</v>
      </c>
      <c r="B86" s="11" t="n">
        <f aca="false">YEAR(A86)</f>
        <v>2023</v>
      </c>
      <c r="C86" s="11" t="str">
        <f aca="false">"Q"&amp;ROUNDUP(MONTH(A86)/3,0)</f>
        <v>Q2</v>
      </c>
      <c r="D86" s="11" t="str">
        <f aca="false">B86&amp;"-"&amp;C86</f>
        <v>2023-Q2</v>
      </c>
      <c r="E86" s="11" t="n">
        <f aca="false">MONTH(A86)</f>
        <v>5</v>
      </c>
      <c r="F86" s="11" t="str">
        <f aca="false">TEXT(A86,"mmm")</f>
        <v>May</v>
      </c>
      <c r="G86" s="11" t="s">
        <v>209</v>
      </c>
      <c r="H86" s="11" t="s">
        <v>203</v>
      </c>
      <c r="I86" s="12" t="n">
        <v>2572463</v>
      </c>
      <c r="J86" s="12" t="n">
        <v>763523</v>
      </c>
      <c r="K86" s="13" t="n">
        <f aca="false">IF(I86=0,0,J86/I86)</f>
        <v>0.296806212567489</v>
      </c>
      <c r="L86" s="12" t="n">
        <v>339997</v>
      </c>
      <c r="M86" s="12" t="n">
        <v>55389</v>
      </c>
      <c r="N86" s="12" t="n">
        <v>4554</v>
      </c>
      <c r="O86" s="12" t="n">
        <v>240</v>
      </c>
      <c r="P86" s="12" t="n">
        <f aca="false">M86+N86+O86</f>
        <v>60183</v>
      </c>
      <c r="Q86" s="13" t="n">
        <f aca="false">IF(I86=0,0,P86/I86)</f>
        <v>0.0233950886757166</v>
      </c>
      <c r="R86" s="13" t="n">
        <v>0.0489</v>
      </c>
      <c r="S86" s="14" t="n">
        <v>400264</v>
      </c>
      <c r="T86" s="14" t="n">
        <v>39985</v>
      </c>
      <c r="U86" s="14" t="n">
        <v>13599</v>
      </c>
      <c r="V86" s="14" t="n">
        <v>32780</v>
      </c>
      <c r="W86" s="14" t="n">
        <f aca="false">S86+T86+U86+V86</f>
        <v>486628</v>
      </c>
      <c r="X86" s="15" t="n">
        <f aca="false">IF(P86=0,0,S86/P86)</f>
        <v>6.65078178223086</v>
      </c>
      <c r="Y86" s="15" t="n">
        <f aca="false">IF(J86=0,0,W86/J86)</f>
        <v>0.637345567847989</v>
      </c>
      <c r="Z86" s="14" t="n">
        <v>80359</v>
      </c>
      <c r="AA86" s="15" t="n">
        <f aca="false">IF(L86=0,0,Z86/L86)</f>
        <v>0.236352085459578</v>
      </c>
      <c r="AB86" s="12" t="n">
        <v>58643357</v>
      </c>
      <c r="AC86" s="16" t="n">
        <v>11.9</v>
      </c>
      <c r="AD86" s="16" t="n">
        <v>18.3</v>
      </c>
      <c r="AE86" s="13" t="n">
        <v>0.371</v>
      </c>
      <c r="AF86" s="13" t="n">
        <v>0.563</v>
      </c>
      <c r="AG86" s="13" t="n">
        <v>0.33</v>
      </c>
      <c r="AH86" s="13" t="n">
        <v>0.206</v>
      </c>
      <c r="AI86" s="17" t="n">
        <v>4.71</v>
      </c>
    </row>
    <row r="87" customFormat="false" ht="15" hidden="false" customHeight="false" outlineLevel="0" collapsed="false">
      <c r="A87" s="10" t="n">
        <v>45047</v>
      </c>
      <c r="B87" s="11" t="n">
        <f aca="false">YEAR(A87)</f>
        <v>2023</v>
      </c>
      <c r="C87" s="11" t="str">
        <f aca="false">"Q"&amp;ROUNDUP(MONTH(A87)/3,0)</f>
        <v>Q2</v>
      </c>
      <c r="D87" s="11" t="str">
        <f aca="false">B87&amp;"-"&amp;C87</f>
        <v>2023-Q2</v>
      </c>
      <c r="E87" s="11" t="n">
        <f aca="false">MONTH(A87)</f>
        <v>5</v>
      </c>
      <c r="F87" s="11" t="str">
        <f aca="false">TEXT(A87,"mmm")</f>
        <v>May</v>
      </c>
      <c r="G87" s="11" t="s">
        <v>209</v>
      </c>
      <c r="H87" s="11" t="s">
        <v>204</v>
      </c>
      <c r="I87" s="12" t="n">
        <v>3620951</v>
      </c>
      <c r="J87" s="12" t="n">
        <v>1001545</v>
      </c>
      <c r="K87" s="13" t="n">
        <f aca="false">IF(I87=0,0,J87/I87)</f>
        <v>0.276597225425033</v>
      </c>
      <c r="L87" s="12" t="n">
        <v>361003</v>
      </c>
      <c r="M87" s="12" t="n">
        <v>30979</v>
      </c>
      <c r="N87" s="12" t="n">
        <v>2798</v>
      </c>
      <c r="O87" s="12" t="n">
        <v>101</v>
      </c>
      <c r="P87" s="12" t="n">
        <f aca="false">M87+N87+O87</f>
        <v>33878</v>
      </c>
      <c r="Q87" s="13" t="n">
        <f aca="false">IF(I87=0,0,P87/I87)</f>
        <v>0.00935610561976674</v>
      </c>
      <c r="R87" s="13" t="n">
        <v>0.0473</v>
      </c>
      <c r="S87" s="14" t="n">
        <v>248904</v>
      </c>
      <c r="T87" s="14" t="n">
        <v>25094</v>
      </c>
      <c r="U87" s="14" t="n">
        <v>8770</v>
      </c>
      <c r="V87" s="14" t="n">
        <v>22235</v>
      </c>
      <c r="W87" s="14" t="n">
        <f aca="false">S87+T87+U87+V87</f>
        <v>305003</v>
      </c>
      <c r="X87" s="15" t="n">
        <f aca="false">IF(P87=0,0,S87/P87)</f>
        <v>7.34706889426767</v>
      </c>
      <c r="Y87" s="15" t="n">
        <f aca="false">IF(J87=0,0,W87/J87)</f>
        <v>0.304532497291684</v>
      </c>
      <c r="Z87" s="14" t="n">
        <v>54831</v>
      </c>
      <c r="AA87" s="15" t="n">
        <f aca="false">IF(L87=0,0,Z87/L87)</f>
        <v>0.151885164389216</v>
      </c>
      <c r="AB87" s="12" t="n">
        <v>71577144</v>
      </c>
      <c r="AC87" s="16" t="n">
        <v>11.3</v>
      </c>
      <c r="AD87" s="16" t="n">
        <v>18</v>
      </c>
      <c r="AE87" s="13" t="n">
        <v>0.369</v>
      </c>
      <c r="AF87" s="13" t="n">
        <v>0.566</v>
      </c>
      <c r="AG87" s="13" t="n">
        <v>0.327</v>
      </c>
      <c r="AH87" s="13" t="n">
        <v>0.188</v>
      </c>
      <c r="AI87" s="17" t="n">
        <v>4.63</v>
      </c>
    </row>
    <row r="88" customFormat="false" ht="15" hidden="false" customHeight="false" outlineLevel="0" collapsed="false">
      <c r="A88" s="10" t="n">
        <v>45047</v>
      </c>
      <c r="B88" s="11" t="n">
        <f aca="false">YEAR(A88)</f>
        <v>2023</v>
      </c>
      <c r="C88" s="11" t="str">
        <f aca="false">"Q"&amp;ROUNDUP(MONTH(A88)/3,0)</f>
        <v>Q2</v>
      </c>
      <c r="D88" s="11" t="str">
        <f aca="false">B88&amp;"-"&amp;C88</f>
        <v>2023-Q2</v>
      </c>
      <c r="E88" s="11" t="n">
        <f aca="false">MONTH(A88)</f>
        <v>5</v>
      </c>
      <c r="F88" s="11" t="str">
        <f aca="false">TEXT(A88,"mmm")</f>
        <v>May</v>
      </c>
      <c r="G88" s="11" t="s">
        <v>209</v>
      </c>
      <c r="H88" s="11" t="s">
        <v>205</v>
      </c>
      <c r="I88" s="12" t="n">
        <v>1147291</v>
      </c>
      <c r="J88" s="12" t="n">
        <v>275292</v>
      </c>
      <c r="K88" s="13" t="n">
        <f aca="false">IF(I88=0,0,J88/I88)</f>
        <v>0.239949585589009</v>
      </c>
      <c r="L88" s="12" t="n">
        <v>126527</v>
      </c>
      <c r="M88" s="12" t="n">
        <v>8498</v>
      </c>
      <c r="N88" s="12" t="n">
        <v>767</v>
      </c>
      <c r="O88" s="12" t="n">
        <v>18</v>
      </c>
      <c r="P88" s="12" t="n">
        <f aca="false">M88+N88+O88</f>
        <v>9283</v>
      </c>
      <c r="Q88" s="13" t="n">
        <f aca="false">IF(I88=0,0,P88/I88)</f>
        <v>0.00809123404611385</v>
      </c>
      <c r="R88" s="13" t="n">
        <v>0.0473</v>
      </c>
      <c r="S88" s="14" t="n">
        <v>70156</v>
      </c>
      <c r="T88" s="14" t="n">
        <v>7282</v>
      </c>
      <c r="U88" s="14" t="n">
        <v>2296</v>
      </c>
      <c r="V88" s="14" t="n">
        <v>5448</v>
      </c>
      <c r="W88" s="14" t="n">
        <f aca="false">S88+T88+U88+V88</f>
        <v>85182</v>
      </c>
      <c r="X88" s="15" t="n">
        <f aca="false">IF(P88=0,0,S88/P88)</f>
        <v>7.55747064526554</v>
      </c>
      <c r="Y88" s="15" t="n">
        <f aca="false">IF(J88=0,0,W88/J88)</f>
        <v>0.309424175057757</v>
      </c>
      <c r="Z88" s="14" t="n">
        <v>16959</v>
      </c>
      <c r="AA88" s="15" t="n">
        <f aca="false">IF(L88=0,0,Z88/L88)</f>
        <v>0.134034632924198</v>
      </c>
      <c r="AB88" s="12" t="n">
        <v>20124442</v>
      </c>
      <c r="AC88" s="16" t="n">
        <v>10.3</v>
      </c>
      <c r="AD88" s="16" t="n">
        <v>17.3</v>
      </c>
      <c r="AE88" s="13" t="n">
        <v>0.376</v>
      </c>
      <c r="AF88" s="13" t="n">
        <v>0.562</v>
      </c>
      <c r="AG88" s="13" t="n">
        <v>0.34</v>
      </c>
      <c r="AH88" s="13" t="n">
        <v>0.181</v>
      </c>
      <c r="AI88" s="17"/>
    </row>
    <row r="89" customFormat="false" ht="15" hidden="false" customHeight="false" outlineLevel="0" collapsed="false">
      <c r="A89" s="10" t="n">
        <v>45047</v>
      </c>
      <c r="B89" s="11" t="n">
        <f aca="false">YEAR(A89)</f>
        <v>2023</v>
      </c>
      <c r="C89" s="11" t="str">
        <f aca="false">"Q"&amp;ROUNDUP(MONTH(A89)/3,0)</f>
        <v>Q2</v>
      </c>
      <c r="D89" s="11" t="str">
        <f aca="false">B89&amp;"-"&amp;C89</f>
        <v>2023-Q2</v>
      </c>
      <c r="E89" s="11" t="n">
        <f aca="false">MONTH(A89)</f>
        <v>5</v>
      </c>
      <c r="F89" s="11" t="str">
        <f aca="false">TEXT(A89,"mmm")</f>
        <v>May</v>
      </c>
      <c r="G89" s="11" t="s">
        <v>210</v>
      </c>
      <c r="H89" s="11" t="s">
        <v>203</v>
      </c>
      <c r="I89" s="12" t="n">
        <v>4151840</v>
      </c>
      <c r="J89" s="12" t="n">
        <v>1207822</v>
      </c>
      <c r="K89" s="13" t="n">
        <f aca="false">IF(I89=0,0,J89/I89)</f>
        <v>0.290912462908012</v>
      </c>
      <c r="L89" s="12" t="n">
        <v>468115</v>
      </c>
      <c r="M89" s="12" t="n">
        <v>117166</v>
      </c>
      <c r="N89" s="12" t="n">
        <v>10433</v>
      </c>
      <c r="O89" s="12" t="n">
        <v>511</v>
      </c>
      <c r="P89" s="12" t="n">
        <f aca="false">M89+N89+O89</f>
        <v>128110</v>
      </c>
      <c r="Q89" s="13" t="n">
        <f aca="false">IF(I89=0,0,P89/I89)</f>
        <v>0.030856198697445</v>
      </c>
      <c r="R89" s="13" t="n">
        <v>0.044</v>
      </c>
      <c r="S89" s="14" t="n">
        <v>896127</v>
      </c>
      <c r="T89" s="14" t="n">
        <v>82407</v>
      </c>
      <c r="U89" s="14" t="n">
        <v>31189</v>
      </c>
      <c r="V89" s="14" t="n">
        <v>70476</v>
      </c>
      <c r="W89" s="14" t="n">
        <f aca="false">S89+T89+U89+V89</f>
        <v>1080199</v>
      </c>
      <c r="X89" s="15" t="n">
        <f aca="false">IF(P89=0,0,S89/P89)</f>
        <v>6.99498087580985</v>
      </c>
      <c r="Y89" s="15" t="n">
        <f aca="false">IF(J89=0,0,W89/J89)</f>
        <v>0.894336251533753</v>
      </c>
      <c r="Z89" s="14" t="n">
        <v>196013</v>
      </c>
      <c r="AA89" s="15" t="n">
        <f aca="false">IF(L89=0,0,Z89/L89)</f>
        <v>0.418728303942407</v>
      </c>
      <c r="AB89" s="12" t="n">
        <v>83563720</v>
      </c>
      <c r="AC89" s="16" t="n">
        <v>12</v>
      </c>
      <c r="AD89" s="16" t="n">
        <v>17.7</v>
      </c>
      <c r="AE89" s="13" t="n">
        <v>0.359</v>
      </c>
      <c r="AF89" s="13" t="n">
        <v>0.551</v>
      </c>
      <c r="AG89" s="13" t="n">
        <v>0.33</v>
      </c>
      <c r="AH89" s="13" t="n">
        <v>0.2</v>
      </c>
      <c r="AI89" s="17" t="n">
        <v>4.61</v>
      </c>
    </row>
    <row r="90" customFormat="false" ht="15" hidden="false" customHeight="false" outlineLevel="0" collapsed="false">
      <c r="A90" s="10" t="n">
        <v>45047</v>
      </c>
      <c r="B90" s="11" t="n">
        <f aca="false">YEAR(A90)</f>
        <v>2023</v>
      </c>
      <c r="C90" s="11" t="str">
        <f aca="false">"Q"&amp;ROUNDUP(MONTH(A90)/3,0)</f>
        <v>Q2</v>
      </c>
      <c r="D90" s="11" t="str">
        <f aca="false">B90&amp;"-"&amp;C90</f>
        <v>2023-Q2</v>
      </c>
      <c r="E90" s="11" t="n">
        <f aca="false">MONTH(A90)</f>
        <v>5</v>
      </c>
      <c r="F90" s="11" t="str">
        <f aca="false">TEXT(A90,"mmm")</f>
        <v>May</v>
      </c>
      <c r="G90" s="11" t="s">
        <v>210</v>
      </c>
      <c r="H90" s="11" t="s">
        <v>204</v>
      </c>
      <c r="I90" s="12" t="n">
        <v>5659736</v>
      </c>
      <c r="J90" s="12" t="n">
        <v>1422867</v>
      </c>
      <c r="K90" s="13" t="n">
        <f aca="false">IF(I90=0,0,J90/I90)</f>
        <v>0.251401655483577</v>
      </c>
      <c r="L90" s="12" t="n">
        <v>545605</v>
      </c>
      <c r="M90" s="12" t="n">
        <v>64791</v>
      </c>
      <c r="N90" s="12" t="n">
        <v>5782</v>
      </c>
      <c r="O90" s="12" t="n">
        <v>212</v>
      </c>
      <c r="P90" s="12" t="n">
        <f aca="false">M90+N90+O90</f>
        <v>70785</v>
      </c>
      <c r="Q90" s="13" t="n">
        <f aca="false">IF(I90=0,0,P90/I90)</f>
        <v>0.0125067671000909</v>
      </c>
      <c r="R90" s="13" t="n">
        <v>0.0486</v>
      </c>
      <c r="S90" s="14" t="n">
        <v>478139</v>
      </c>
      <c r="T90" s="14" t="n">
        <v>46383</v>
      </c>
      <c r="U90" s="14" t="n">
        <v>15665</v>
      </c>
      <c r="V90" s="14" t="n">
        <v>36622</v>
      </c>
      <c r="W90" s="14" t="n">
        <f aca="false">S90+T90+U90+V90</f>
        <v>576809</v>
      </c>
      <c r="X90" s="15" t="n">
        <f aca="false">IF(P90=0,0,S90/P90)</f>
        <v>6.75480680935226</v>
      </c>
      <c r="Y90" s="15" t="n">
        <f aca="false">IF(J90=0,0,W90/J90)</f>
        <v>0.405385043015264</v>
      </c>
      <c r="Z90" s="14" t="n">
        <v>108119</v>
      </c>
      <c r="AA90" s="15" t="n">
        <f aca="false">IF(L90=0,0,Z90/L90)</f>
        <v>0.198163506566106</v>
      </c>
      <c r="AB90" s="12" t="n">
        <v>101551749</v>
      </c>
      <c r="AC90" s="16" t="n">
        <v>11.5</v>
      </c>
      <c r="AD90" s="16" t="n">
        <v>18.2</v>
      </c>
      <c r="AE90" s="13" t="n">
        <v>0.365</v>
      </c>
      <c r="AF90" s="13" t="n">
        <v>0.575</v>
      </c>
      <c r="AG90" s="13" t="n">
        <v>0.328</v>
      </c>
      <c r="AH90" s="13" t="n">
        <v>0.187</v>
      </c>
      <c r="AI90" s="17" t="n">
        <v>4.64</v>
      </c>
    </row>
    <row r="91" customFormat="false" ht="15" hidden="false" customHeight="false" outlineLevel="0" collapsed="false">
      <c r="A91" s="10" t="n">
        <v>45047</v>
      </c>
      <c r="B91" s="11" t="n">
        <f aca="false">YEAR(A91)</f>
        <v>2023</v>
      </c>
      <c r="C91" s="11" t="str">
        <f aca="false">"Q"&amp;ROUNDUP(MONTH(A91)/3,0)</f>
        <v>Q2</v>
      </c>
      <c r="D91" s="11" t="str">
        <f aca="false">B91&amp;"-"&amp;C91</f>
        <v>2023-Q2</v>
      </c>
      <c r="E91" s="11" t="n">
        <f aca="false">MONTH(A91)</f>
        <v>5</v>
      </c>
      <c r="F91" s="11" t="str">
        <f aca="false">TEXT(A91,"mmm")</f>
        <v>May</v>
      </c>
      <c r="G91" s="11" t="s">
        <v>210</v>
      </c>
      <c r="H91" s="11" t="s">
        <v>205</v>
      </c>
      <c r="I91" s="12" t="n">
        <v>1551038</v>
      </c>
      <c r="J91" s="12" t="n">
        <v>383843</v>
      </c>
      <c r="K91" s="13" t="n">
        <f aca="false">IF(I91=0,0,J91/I91)</f>
        <v>0.247474916797654</v>
      </c>
      <c r="L91" s="12" t="n">
        <v>156244</v>
      </c>
      <c r="M91" s="12" t="n">
        <v>17172</v>
      </c>
      <c r="N91" s="12" t="n">
        <v>1538</v>
      </c>
      <c r="O91" s="12" t="n">
        <v>37</v>
      </c>
      <c r="P91" s="12" t="n">
        <f aca="false">M91+N91+O91</f>
        <v>18747</v>
      </c>
      <c r="Q91" s="13" t="n">
        <f aca="false">IF(I91=0,0,P91/I91)</f>
        <v>0.0120867444898191</v>
      </c>
      <c r="R91" s="13" t="n">
        <v>0.0487</v>
      </c>
      <c r="S91" s="14" t="n">
        <v>139427</v>
      </c>
      <c r="T91" s="14" t="n">
        <v>13906</v>
      </c>
      <c r="U91" s="14" t="n">
        <v>4557</v>
      </c>
      <c r="V91" s="14" t="n">
        <v>11886</v>
      </c>
      <c r="W91" s="14" t="n">
        <f aca="false">S91+T91+U91+V91</f>
        <v>169776</v>
      </c>
      <c r="X91" s="15" t="n">
        <f aca="false">IF(P91=0,0,S91/P91)</f>
        <v>7.43729663412813</v>
      </c>
      <c r="Y91" s="15" t="n">
        <f aca="false">IF(J91=0,0,W91/J91)</f>
        <v>0.442305838585047</v>
      </c>
      <c r="Z91" s="14" t="n">
        <v>31851</v>
      </c>
      <c r="AA91" s="15" t="n">
        <f aca="false">IF(L91=0,0,Z91/L91)</f>
        <v>0.203854228002355</v>
      </c>
      <c r="AB91" s="12" t="n">
        <v>26776870</v>
      </c>
      <c r="AC91" s="16" t="n">
        <v>10.4</v>
      </c>
      <c r="AD91" s="16" t="n">
        <v>18.1</v>
      </c>
      <c r="AE91" s="13" t="n">
        <v>0.367</v>
      </c>
      <c r="AF91" s="13" t="n">
        <v>0.562</v>
      </c>
      <c r="AG91" s="13" t="n">
        <v>0.325</v>
      </c>
      <c r="AH91" s="13" t="n">
        <v>0.189</v>
      </c>
      <c r="AI91" s="17"/>
    </row>
    <row r="92" customFormat="false" ht="15" hidden="false" customHeight="false" outlineLevel="0" collapsed="false">
      <c r="A92" s="10" t="n">
        <v>45078</v>
      </c>
      <c r="B92" s="11" t="n">
        <f aca="false">YEAR(A92)</f>
        <v>2023</v>
      </c>
      <c r="C92" s="11" t="str">
        <f aca="false">"Q"&amp;ROUNDUP(MONTH(A92)/3,0)</f>
        <v>Q2</v>
      </c>
      <c r="D92" s="11" t="str">
        <f aca="false">B92&amp;"-"&amp;C92</f>
        <v>2023-Q2</v>
      </c>
      <c r="E92" s="11" t="n">
        <f aca="false">MONTH(A92)</f>
        <v>6</v>
      </c>
      <c r="F92" s="11" t="str">
        <f aca="false">TEXT(A92,"mmm")</f>
        <v>Jun</v>
      </c>
      <c r="G92" s="11" t="s">
        <v>202</v>
      </c>
      <c r="H92" s="11" t="s">
        <v>203</v>
      </c>
      <c r="I92" s="12" t="n">
        <v>6519888</v>
      </c>
      <c r="J92" s="12" t="n">
        <v>2015184</v>
      </c>
      <c r="K92" s="13" t="n">
        <f aca="false">IF(I92=0,0,J92/I92)</f>
        <v>0.309082610008025</v>
      </c>
      <c r="L92" s="12" t="n">
        <v>917635</v>
      </c>
      <c r="M92" s="12" t="n">
        <v>1318384</v>
      </c>
      <c r="N92" s="12" t="n">
        <v>111959</v>
      </c>
      <c r="O92" s="12" t="n">
        <v>29299</v>
      </c>
      <c r="P92" s="12" t="n">
        <f aca="false">M92+N92+O92</f>
        <v>1459642</v>
      </c>
      <c r="Q92" s="13" t="n">
        <f aca="false">IF(I92=0,0,P92/I92)</f>
        <v>0.223875318103624</v>
      </c>
      <c r="R92" s="13" t="n">
        <v>0.0473</v>
      </c>
      <c r="S92" s="14" t="n">
        <v>9998481</v>
      </c>
      <c r="T92" s="14" t="n">
        <v>975340</v>
      </c>
      <c r="U92" s="14" t="n">
        <v>356637</v>
      </c>
      <c r="V92" s="14" t="n">
        <v>789950</v>
      </c>
      <c r="W92" s="14" t="n">
        <f aca="false">S92+T92+U92+V92</f>
        <v>12120408</v>
      </c>
      <c r="X92" s="15" t="n">
        <f aca="false">IF(P92=0,0,S92/P92)</f>
        <v>6.84995430386355</v>
      </c>
      <c r="Y92" s="15" t="n">
        <f aca="false">IF(J92=0,0,W92/J92)</f>
        <v>6.0145416001715</v>
      </c>
      <c r="Z92" s="14" t="n">
        <v>2469038</v>
      </c>
      <c r="AA92" s="15" t="n">
        <f aca="false">IF(L92=0,0,Z92/L92)</f>
        <v>2.69065369128248</v>
      </c>
      <c r="AB92" s="12" t="n">
        <v>145491437</v>
      </c>
      <c r="AC92" s="16" t="n">
        <v>11.9</v>
      </c>
      <c r="AD92" s="16" t="n">
        <v>19.2</v>
      </c>
      <c r="AE92" s="13" t="n">
        <v>0.373</v>
      </c>
      <c r="AF92" s="13" t="n">
        <v>0.56</v>
      </c>
      <c r="AG92" s="13" t="n">
        <v>0.346</v>
      </c>
      <c r="AH92" s="13" t="n">
        <v>0.196</v>
      </c>
      <c r="AI92" s="17" t="n">
        <v>4.69</v>
      </c>
    </row>
    <row r="93" customFormat="false" ht="15" hidden="false" customHeight="false" outlineLevel="0" collapsed="false">
      <c r="A93" s="10" t="n">
        <v>45078</v>
      </c>
      <c r="B93" s="11" t="n">
        <f aca="false">YEAR(A93)</f>
        <v>2023</v>
      </c>
      <c r="C93" s="11" t="str">
        <f aca="false">"Q"&amp;ROUNDUP(MONTH(A93)/3,0)</f>
        <v>Q2</v>
      </c>
      <c r="D93" s="11" t="str">
        <f aca="false">B93&amp;"-"&amp;C93</f>
        <v>2023-Q2</v>
      </c>
      <c r="E93" s="11" t="n">
        <f aca="false">MONTH(A93)</f>
        <v>6</v>
      </c>
      <c r="F93" s="11" t="str">
        <f aca="false">TEXT(A93,"mmm")</f>
        <v>Jun</v>
      </c>
      <c r="G93" s="11" t="s">
        <v>202</v>
      </c>
      <c r="H93" s="11" t="s">
        <v>204</v>
      </c>
      <c r="I93" s="12" t="n">
        <v>8093348</v>
      </c>
      <c r="J93" s="12" t="n">
        <v>2265170</v>
      </c>
      <c r="K93" s="13" t="n">
        <f aca="false">IF(I93=0,0,J93/I93)</f>
        <v>0.279880464796522</v>
      </c>
      <c r="L93" s="12" t="n">
        <v>929264</v>
      </c>
      <c r="M93" s="12" t="n">
        <v>739144</v>
      </c>
      <c r="N93" s="12" t="n">
        <v>67289</v>
      </c>
      <c r="O93" s="12" t="n">
        <v>12326</v>
      </c>
      <c r="P93" s="12" t="n">
        <f aca="false">M93+N93+O93</f>
        <v>818759</v>
      </c>
      <c r="Q93" s="13" t="n">
        <f aca="false">IF(I93=0,0,P93/I93)</f>
        <v>0.101164437758021</v>
      </c>
      <c r="R93" s="13" t="n">
        <v>0.0452</v>
      </c>
      <c r="S93" s="14" t="n">
        <v>5657170</v>
      </c>
      <c r="T93" s="14" t="n">
        <v>557929</v>
      </c>
      <c r="U93" s="14" t="n">
        <v>184810</v>
      </c>
      <c r="V93" s="14" t="n">
        <v>456988</v>
      </c>
      <c r="W93" s="14" t="n">
        <f aca="false">S93+T93+U93+V93</f>
        <v>6856897</v>
      </c>
      <c r="X93" s="15" t="n">
        <f aca="false">IF(P93=0,0,S93/P93)</f>
        <v>6.90944465953962</v>
      </c>
      <c r="Y93" s="15" t="n">
        <f aca="false">IF(J93=0,0,W93/J93)</f>
        <v>3.0271003942309</v>
      </c>
      <c r="Z93" s="14" t="n">
        <v>1235057</v>
      </c>
      <c r="AA93" s="15" t="n">
        <f aca="false">IF(L93=0,0,Z93/L93)</f>
        <v>1.32907010279103</v>
      </c>
      <c r="AB93" s="12" t="n">
        <v>164126138</v>
      </c>
      <c r="AC93" s="16" t="n">
        <v>11.3</v>
      </c>
      <c r="AD93" s="16" t="n">
        <v>18.7</v>
      </c>
      <c r="AE93" s="13" t="n">
        <v>0.369</v>
      </c>
      <c r="AF93" s="13" t="n">
        <v>0.572</v>
      </c>
      <c r="AG93" s="13" t="n">
        <v>0.34</v>
      </c>
      <c r="AH93" s="13" t="n">
        <v>0.187</v>
      </c>
      <c r="AI93" s="17" t="n">
        <v>4.59</v>
      </c>
    </row>
    <row r="94" customFormat="false" ht="15" hidden="false" customHeight="false" outlineLevel="0" collapsed="false">
      <c r="A94" s="10" t="n">
        <v>45078</v>
      </c>
      <c r="B94" s="11" t="n">
        <f aca="false">YEAR(A94)</f>
        <v>2023</v>
      </c>
      <c r="C94" s="11" t="str">
        <f aca="false">"Q"&amp;ROUNDUP(MONTH(A94)/3,0)</f>
        <v>Q2</v>
      </c>
      <c r="D94" s="11" t="str">
        <f aca="false">B94&amp;"-"&amp;C94</f>
        <v>2023-Q2</v>
      </c>
      <c r="E94" s="11" t="n">
        <f aca="false">MONTH(A94)</f>
        <v>6</v>
      </c>
      <c r="F94" s="11" t="str">
        <f aca="false">TEXT(A94,"mmm")</f>
        <v>Jun</v>
      </c>
      <c r="G94" s="11" t="s">
        <v>202</v>
      </c>
      <c r="H94" s="11" t="s">
        <v>205</v>
      </c>
      <c r="I94" s="12" t="n">
        <v>2328039</v>
      </c>
      <c r="J94" s="12" t="n">
        <v>611351</v>
      </c>
      <c r="K94" s="13" t="n">
        <f aca="false">IF(I94=0,0,J94/I94)</f>
        <v>0.262603418585342</v>
      </c>
      <c r="L94" s="12" t="n">
        <v>267146</v>
      </c>
      <c r="M94" s="12" t="n">
        <v>200478</v>
      </c>
      <c r="N94" s="12" t="n">
        <v>18345</v>
      </c>
      <c r="O94" s="12" t="n">
        <v>2218</v>
      </c>
      <c r="P94" s="12" t="n">
        <f aca="false">M94+N94+O94</f>
        <v>221041</v>
      </c>
      <c r="Q94" s="13" t="n">
        <f aca="false">IF(I94=0,0,P94/I94)</f>
        <v>0.0949472925496523</v>
      </c>
      <c r="R94" s="13" t="n">
        <v>0.0475</v>
      </c>
      <c r="S94" s="14" t="n">
        <v>1627482</v>
      </c>
      <c r="T94" s="14" t="n">
        <v>152404</v>
      </c>
      <c r="U94" s="14" t="n">
        <v>58541</v>
      </c>
      <c r="V94" s="14" t="n">
        <v>128886</v>
      </c>
      <c r="W94" s="14" t="n">
        <f aca="false">S94+T94+U94+V94</f>
        <v>1967313</v>
      </c>
      <c r="X94" s="15" t="n">
        <f aca="false">IF(P94=0,0,S94/P94)</f>
        <v>7.36280599526785</v>
      </c>
      <c r="Y94" s="15" t="n">
        <f aca="false">IF(J94=0,0,W94/J94)</f>
        <v>3.21797625259466</v>
      </c>
      <c r="Z94" s="14" t="n">
        <v>414634</v>
      </c>
      <c r="AA94" s="15" t="n">
        <f aca="false">IF(L94=0,0,Z94/L94)</f>
        <v>1.55208762249856</v>
      </c>
      <c r="AB94" s="12" t="n">
        <v>45720097</v>
      </c>
      <c r="AC94" s="16" t="n">
        <v>10.6</v>
      </c>
      <c r="AD94" s="16" t="n">
        <v>18.3</v>
      </c>
      <c r="AE94" s="13" t="n">
        <v>0.375</v>
      </c>
      <c r="AF94" s="13" t="n">
        <v>0.579</v>
      </c>
      <c r="AG94" s="13" t="n">
        <v>0.335</v>
      </c>
      <c r="AH94" s="13" t="n">
        <v>0.207</v>
      </c>
      <c r="AI94" s="17"/>
    </row>
    <row r="95" customFormat="false" ht="15" hidden="false" customHeight="false" outlineLevel="0" collapsed="false">
      <c r="A95" s="10" t="n">
        <v>45078</v>
      </c>
      <c r="B95" s="11" t="n">
        <f aca="false">YEAR(A95)</f>
        <v>2023</v>
      </c>
      <c r="C95" s="11" t="str">
        <f aca="false">"Q"&amp;ROUNDUP(MONTH(A95)/3,0)</f>
        <v>Q2</v>
      </c>
      <c r="D95" s="11" t="str">
        <f aca="false">B95&amp;"-"&amp;C95</f>
        <v>2023-Q2</v>
      </c>
      <c r="E95" s="11" t="n">
        <f aca="false">MONTH(A95)</f>
        <v>6</v>
      </c>
      <c r="F95" s="11" t="str">
        <f aca="false">TEXT(A95,"mmm")</f>
        <v>Jun</v>
      </c>
      <c r="G95" s="11" t="s">
        <v>206</v>
      </c>
      <c r="H95" s="11" t="s">
        <v>203</v>
      </c>
      <c r="I95" s="12" t="n">
        <v>7233060</v>
      </c>
      <c r="J95" s="12" t="n">
        <v>2347376</v>
      </c>
      <c r="K95" s="13" t="n">
        <f aca="false">IF(I95=0,0,J95/I95)</f>
        <v>0.324534291157546</v>
      </c>
      <c r="L95" s="12" t="n">
        <v>953625</v>
      </c>
      <c r="M95" s="12" t="n">
        <v>748603</v>
      </c>
      <c r="N95" s="12" t="n">
        <v>70861</v>
      </c>
      <c r="O95" s="12" t="n">
        <v>10411</v>
      </c>
      <c r="P95" s="12" t="n">
        <f aca="false">M95+N95+O95</f>
        <v>829875</v>
      </c>
      <c r="Q95" s="13" t="n">
        <f aca="false">IF(I95=0,0,P95/I95)</f>
        <v>0.114733598228136</v>
      </c>
      <c r="R95" s="13" t="n">
        <v>0.0422</v>
      </c>
      <c r="S95" s="14" t="n">
        <v>5966725</v>
      </c>
      <c r="T95" s="14" t="n">
        <v>608905</v>
      </c>
      <c r="U95" s="14" t="n">
        <v>197850</v>
      </c>
      <c r="V95" s="14" t="n">
        <v>483725</v>
      </c>
      <c r="W95" s="14" t="n">
        <f aca="false">S95+T95+U95+V95</f>
        <v>7257205</v>
      </c>
      <c r="X95" s="15" t="n">
        <f aca="false">IF(P95=0,0,S95/P95)</f>
        <v>7.18990811869257</v>
      </c>
      <c r="Y95" s="15" t="n">
        <f aca="false">IF(J95=0,0,W95/J95)</f>
        <v>3.09162443511393</v>
      </c>
      <c r="Z95" s="14" t="n">
        <v>1381697</v>
      </c>
      <c r="AA95" s="15" t="n">
        <f aca="false">IF(L95=0,0,Z95/L95)</f>
        <v>1.4488892384323</v>
      </c>
      <c r="AB95" s="12" t="n">
        <v>167767562</v>
      </c>
      <c r="AC95" s="16" t="n">
        <v>11.8</v>
      </c>
      <c r="AD95" s="16" t="n">
        <v>19.1</v>
      </c>
      <c r="AE95" s="13" t="n">
        <v>0.379</v>
      </c>
      <c r="AF95" s="13" t="n">
        <v>0.581</v>
      </c>
      <c r="AG95" s="13" t="n">
        <v>0.342</v>
      </c>
      <c r="AH95" s="13" t="n">
        <v>0.193</v>
      </c>
      <c r="AI95" s="17" t="n">
        <v>4.65</v>
      </c>
    </row>
    <row r="96" customFormat="false" ht="15" hidden="false" customHeight="false" outlineLevel="0" collapsed="false">
      <c r="A96" s="10" t="n">
        <v>45078</v>
      </c>
      <c r="B96" s="11" t="n">
        <f aca="false">YEAR(A96)</f>
        <v>2023</v>
      </c>
      <c r="C96" s="11" t="str">
        <f aca="false">"Q"&amp;ROUNDUP(MONTH(A96)/3,0)</f>
        <v>Q2</v>
      </c>
      <c r="D96" s="11" t="str">
        <f aca="false">B96&amp;"-"&amp;C96</f>
        <v>2023-Q2</v>
      </c>
      <c r="E96" s="11" t="n">
        <f aca="false">MONTH(A96)</f>
        <v>6</v>
      </c>
      <c r="F96" s="11" t="str">
        <f aca="false">TEXT(A96,"mmm")</f>
        <v>Jun</v>
      </c>
      <c r="G96" s="11" t="s">
        <v>206</v>
      </c>
      <c r="H96" s="11" t="s">
        <v>204</v>
      </c>
      <c r="I96" s="12" t="n">
        <v>8419696</v>
      </c>
      <c r="J96" s="12" t="n">
        <v>2425772</v>
      </c>
      <c r="K96" s="13" t="n">
        <f aca="false">IF(I96=0,0,J96/I96)</f>
        <v>0.288106839011765</v>
      </c>
      <c r="L96" s="12" t="n">
        <v>1104438</v>
      </c>
      <c r="M96" s="12" t="n">
        <v>420999</v>
      </c>
      <c r="N96" s="12" t="n">
        <v>42106</v>
      </c>
      <c r="O96" s="12" t="n">
        <v>4399</v>
      </c>
      <c r="P96" s="12" t="n">
        <f aca="false">M96+N96+O96</f>
        <v>467504</v>
      </c>
      <c r="Q96" s="13" t="n">
        <f aca="false">IF(I96=0,0,P96/I96)</f>
        <v>0.0555250450847632</v>
      </c>
      <c r="R96" s="13" t="n">
        <v>0.0448</v>
      </c>
      <c r="S96" s="14" t="n">
        <v>3695985</v>
      </c>
      <c r="T96" s="14" t="n">
        <v>397931</v>
      </c>
      <c r="U96" s="14" t="n">
        <v>134044</v>
      </c>
      <c r="V96" s="14" t="n">
        <v>319215</v>
      </c>
      <c r="W96" s="14" t="n">
        <f aca="false">S96+T96+U96+V96</f>
        <v>4547175</v>
      </c>
      <c r="X96" s="15" t="n">
        <f aca="false">IF(P96=0,0,S96/P96)</f>
        <v>7.90578262431979</v>
      </c>
      <c r="Y96" s="15" t="n">
        <f aca="false">IF(J96=0,0,W96/J96)</f>
        <v>1.87452695471792</v>
      </c>
      <c r="Z96" s="14" t="n">
        <v>908973</v>
      </c>
      <c r="AA96" s="15" t="n">
        <f aca="false">IF(L96=0,0,Z96/L96)</f>
        <v>0.823018585017901</v>
      </c>
      <c r="AB96" s="12" t="n">
        <v>173716817</v>
      </c>
      <c r="AC96" s="16" t="n">
        <v>11.6</v>
      </c>
      <c r="AD96" s="16" t="n">
        <v>17.6</v>
      </c>
      <c r="AE96" s="13" t="n">
        <v>0.385</v>
      </c>
      <c r="AF96" s="13" t="n">
        <v>0.562</v>
      </c>
      <c r="AG96" s="13" t="n">
        <v>0.328</v>
      </c>
      <c r="AH96" s="13" t="n">
        <v>0.185</v>
      </c>
      <c r="AI96" s="17" t="n">
        <v>4.63</v>
      </c>
    </row>
    <row r="97" customFormat="false" ht="15" hidden="false" customHeight="false" outlineLevel="0" collapsed="false">
      <c r="A97" s="10" t="n">
        <v>45078</v>
      </c>
      <c r="B97" s="11" t="n">
        <f aca="false">YEAR(A97)</f>
        <v>2023</v>
      </c>
      <c r="C97" s="11" t="str">
        <f aca="false">"Q"&amp;ROUNDUP(MONTH(A97)/3,0)</f>
        <v>Q2</v>
      </c>
      <c r="D97" s="11" t="str">
        <f aca="false">B97&amp;"-"&amp;C97</f>
        <v>2023-Q2</v>
      </c>
      <c r="E97" s="11" t="n">
        <f aca="false">MONTH(A97)</f>
        <v>6</v>
      </c>
      <c r="F97" s="11" t="str">
        <f aca="false">TEXT(A97,"mmm")</f>
        <v>Jun</v>
      </c>
      <c r="G97" s="11" t="s">
        <v>206</v>
      </c>
      <c r="H97" s="11" t="s">
        <v>205</v>
      </c>
      <c r="I97" s="12" t="n">
        <v>2701411</v>
      </c>
      <c r="J97" s="12" t="n">
        <v>725986</v>
      </c>
      <c r="K97" s="13" t="n">
        <f aca="false">IF(I97=0,0,J97/I97)</f>
        <v>0.268743260466475</v>
      </c>
      <c r="L97" s="12" t="n">
        <v>309499</v>
      </c>
      <c r="M97" s="12" t="n">
        <v>121234</v>
      </c>
      <c r="N97" s="12" t="n">
        <v>10569</v>
      </c>
      <c r="O97" s="12" t="n">
        <v>832</v>
      </c>
      <c r="P97" s="12" t="n">
        <f aca="false">M97+N97+O97</f>
        <v>132635</v>
      </c>
      <c r="Q97" s="13" t="n">
        <f aca="false">IF(I97=0,0,P97/I97)</f>
        <v>0.0490984156057705</v>
      </c>
      <c r="R97" s="13" t="n">
        <v>0.0488</v>
      </c>
      <c r="S97" s="14" t="n">
        <v>868786</v>
      </c>
      <c r="T97" s="14" t="n">
        <v>85356</v>
      </c>
      <c r="U97" s="14" t="n">
        <v>31321</v>
      </c>
      <c r="V97" s="14" t="n">
        <v>72312</v>
      </c>
      <c r="W97" s="14" t="n">
        <f aca="false">S97+T97+U97+V97</f>
        <v>1057775</v>
      </c>
      <c r="X97" s="15" t="n">
        <f aca="false">IF(P97=0,0,S97/P97)</f>
        <v>6.55020168130584</v>
      </c>
      <c r="Y97" s="15" t="n">
        <f aca="false">IF(J97=0,0,W97/J97)</f>
        <v>1.45701845490133</v>
      </c>
      <c r="Z97" s="14" t="n">
        <v>201046</v>
      </c>
      <c r="AA97" s="15" t="n">
        <f aca="false">IF(L97=0,0,Z97/L97)</f>
        <v>0.649585297529233</v>
      </c>
      <c r="AB97" s="12" t="n">
        <v>53921434</v>
      </c>
      <c r="AC97" s="16" t="n">
        <v>10.4</v>
      </c>
      <c r="AD97" s="16" t="n">
        <v>17.9</v>
      </c>
      <c r="AE97" s="13" t="n">
        <v>0.375</v>
      </c>
      <c r="AF97" s="13" t="n">
        <v>0.572</v>
      </c>
      <c r="AG97" s="13" t="n">
        <v>0.327</v>
      </c>
      <c r="AH97" s="13" t="n">
        <v>0.204</v>
      </c>
      <c r="AI97" s="17"/>
    </row>
    <row r="98" customFormat="false" ht="15" hidden="false" customHeight="false" outlineLevel="0" collapsed="false">
      <c r="A98" s="10" t="n">
        <v>45078</v>
      </c>
      <c r="B98" s="11" t="n">
        <f aca="false">YEAR(A98)</f>
        <v>2023</v>
      </c>
      <c r="C98" s="11" t="str">
        <f aca="false">"Q"&amp;ROUNDUP(MONTH(A98)/3,0)</f>
        <v>Q2</v>
      </c>
      <c r="D98" s="11" t="str">
        <f aca="false">B98&amp;"-"&amp;C98</f>
        <v>2023-Q2</v>
      </c>
      <c r="E98" s="11" t="n">
        <f aca="false">MONTH(A98)</f>
        <v>6</v>
      </c>
      <c r="F98" s="11" t="str">
        <f aca="false">TEXT(A98,"mmm")</f>
        <v>Jun</v>
      </c>
      <c r="G98" s="11" t="s">
        <v>207</v>
      </c>
      <c r="H98" s="11" t="s">
        <v>203</v>
      </c>
      <c r="I98" s="12" t="n">
        <v>5050122</v>
      </c>
      <c r="J98" s="12" t="n">
        <v>1516360</v>
      </c>
      <c r="K98" s="13" t="n">
        <f aca="false">IF(I98=0,0,J98/I98)</f>
        <v>0.300262053075153</v>
      </c>
      <c r="L98" s="12" t="n">
        <v>744093</v>
      </c>
      <c r="M98" s="12" t="n">
        <v>320927</v>
      </c>
      <c r="N98" s="12" t="n">
        <v>29548</v>
      </c>
      <c r="O98" s="12" t="n">
        <v>3105</v>
      </c>
      <c r="P98" s="12" t="n">
        <f aca="false">M98+N98+O98</f>
        <v>353580</v>
      </c>
      <c r="Q98" s="13" t="n">
        <f aca="false">IF(I98=0,0,P98/I98)</f>
        <v>0.0700141501532042</v>
      </c>
      <c r="R98" s="13" t="n">
        <v>0.0425</v>
      </c>
      <c r="S98" s="14" t="n">
        <v>2674446</v>
      </c>
      <c r="T98" s="14" t="n">
        <v>276852</v>
      </c>
      <c r="U98" s="14" t="n">
        <v>89324</v>
      </c>
      <c r="V98" s="14" t="n">
        <v>217047</v>
      </c>
      <c r="W98" s="14" t="n">
        <f aca="false">S98+T98+U98+V98</f>
        <v>3257669</v>
      </c>
      <c r="X98" s="15" t="n">
        <f aca="false">IF(P98=0,0,S98/P98)</f>
        <v>7.56390632954353</v>
      </c>
      <c r="Y98" s="15" t="n">
        <f aca="false">IF(J98=0,0,W98/J98)</f>
        <v>2.14834801762115</v>
      </c>
      <c r="Z98" s="14" t="n">
        <v>477452</v>
      </c>
      <c r="AA98" s="15" t="n">
        <f aca="false">IF(L98=0,0,Z98/L98)</f>
        <v>0.641656352095773</v>
      </c>
      <c r="AB98" s="12" t="n">
        <v>116834601</v>
      </c>
      <c r="AC98" s="16" t="n">
        <v>12</v>
      </c>
      <c r="AD98" s="16" t="n">
        <v>19.1</v>
      </c>
      <c r="AE98" s="13" t="n">
        <v>0.369</v>
      </c>
      <c r="AF98" s="13" t="n">
        <v>0.569</v>
      </c>
      <c r="AG98" s="13" t="n">
        <v>0.338</v>
      </c>
      <c r="AH98" s="13" t="n">
        <v>0.195</v>
      </c>
      <c r="AI98" s="17" t="n">
        <v>4.69</v>
      </c>
    </row>
    <row r="99" customFormat="false" ht="15" hidden="false" customHeight="false" outlineLevel="0" collapsed="false">
      <c r="A99" s="10" t="n">
        <v>45078</v>
      </c>
      <c r="B99" s="11" t="n">
        <f aca="false">YEAR(A99)</f>
        <v>2023</v>
      </c>
      <c r="C99" s="11" t="str">
        <f aca="false">"Q"&amp;ROUNDUP(MONTH(A99)/3,0)</f>
        <v>Q2</v>
      </c>
      <c r="D99" s="11" t="str">
        <f aca="false">B99&amp;"-"&amp;C99</f>
        <v>2023-Q2</v>
      </c>
      <c r="E99" s="11" t="n">
        <f aca="false">MONTH(A99)</f>
        <v>6</v>
      </c>
      <c r="F99" s="11" t="str">
        <f aca="false">TEXT(A99,"mmm")</f>
        <v>Jun</v>
      </c>
      <c r="G99" s="11" t="s">
        <v>207</v>
      </c>
      <c r="H99" s="11" t="s">
        <v>204</v>
      </c>
      <c r="I99" s="12" t="n">
        <v>6612474</v>
      </c>
      <c r="J99" s="12" t="n">
        <v>1735836</v>
      </c>
      <c r="K99" s="13" t="n">
        <f aca="false">IF(I99=0,0,J99/I99)</f>
        <v>0.262509311945877</v>
      </c>
      <c r="L99" s="12" t="n">
        <v>697640</v>
      </c>
      <c r="M99" s="12" t="n">
        <v>191238</v>
      </c>
      <c r="N99" s="12" t="n">
        <v>15036</v>
      </c>
      <c r="O99" s="12" t="n">
        <v>1368</v>
      </c>
      <c r="P99" s="12" t="n">
        <f aca="false">M99+N99+O99</f>
        <v>207642</v>
      </c>
      <c r="Q99" s="13" t="n">
        <f aca="false">IF(I99=0,0,P99/I99)</f>
        <v>0.0314015601422403</v>
      </c>
      <c r="R99" s="13" t="n">
        <v>0.0484</v>
      </c>
      <c r="S99" s="14" t="n">
        <v>1534287</v>
      </c>
      <c r="T99" s="14" t="n">
        <v>145348</v>
      </c>
      <c r="U99" s="14" t="n">
        <v>54536</v>
      </c>
      <c r="V99" s="14" t="n">
        <v>118966</v>
      </c>
      <c r="W99" s="14" t="n">
        <f aca="false">S99+T99+U99+V99</f>
        <v>1853137</v>
      </c>
      <c r="X99" s="15" t="n">
        <f aca="false">IF(P99=0,0,S99/P99)</f>
        <v>7.38909758141416</v>
      </c>
      <c r="Y99" s="15" t="n">
        <f aca="false">IF(J99=0,0,W99/J99)</f>
        <v>1.06757608437663</v>
      </c>
      <c r="Z99" s="14" t="n">
        <v>392125</v>
      </c>
      <c r="AA99" s="15" t="n">
        <f aca="false">IF(L99=0,0,Z99/L99)</f>
        <v>0.56207356229574</v>
      </c>
      <c r="AB99" s="12" t="n">
        <v>132925338</v>
      </c>
      <c r="AC99" s="16" t="n">
        <v>11.6</v>
      </c>
      <c r="AD99" s="16" t="n">
        <v>19.7</v>
      </c>
      <c r="AE99" s="13" t="n">
        <v>0.377</v>
      </c>
      <c r="AF99" s="13" t="n">
        <v>0.569</v>
      </c>
      <c r="AG99" s="13" t="n">
        <v>0.334</v>
      </c>
      <c r="AH99" s="13" t="n">
        <v>0.187</v>
      </c>
      <c r="AI99" s="17" t="n">
        <v>4.59</v>
      </c>
    </row>
    <row r="100" customFormat="false" ht="15" hidden="false" customHeight="false" outlineLevel="0" collapsed="false">
      <c r="A100" s="10" t="n">
        <v>45078</v>
      </c>
      <c r="B100" s="11" t="n">
        <f aca="false">YEAR(A100)</f>
        <v>2023</v>
      </c>
      <c r="C100" s="11" t="str">
        <f aca="false">"Q"&amp;ROUNDUP(MONTH(A100)/3,0)</f>
        <v>Q2</v>
      </c>
      <c r="D100" s="11" t="str">
        <f aca="false">B100&amp;"-"&amp;C100</f>
        <v>2023-Q2</v>
      </c>
      <c r="E100" s="11" t="n">
        <f aca="false">MONTH(A100)</f>
        <v>6</v>
      </c>
      <c r="F100" s="11" t="str">
        <f aca="false">TEXT(A100,"mmm")</f>
        <v>Jun</v>
      </c>
      <c r="G100" s="11" t="s">
        <v>207</v>
      </c>
      <c r="H100" s="11" t="s">
        <v>205</v>
      </c>
      <c r="I100" s="12" t="n">
        <v>2227678</v>
      </c>
      <c r="J100" s="12" t="n">
        <v>551603</v>
      </c>
      <c r="K100" s="13" t="n">
        <f aca="false">IF(I100=0,0,J100/I100)</f>
        <v>0.247613434257554</v>
      </c>
      <c r="L100" s="12" t="n">
        <v>206934</v>
      </c>
      <c r="M100" s="12" t="n">
        <v>50889</v>
      </c>
      <c r="N100" s="12" t="n">
        <v>4338</v>
      </c>
      <c r="O100" s="12" t="n">
        <v>244</v>
      </c>
      <c r="P100" s="12" t="n">
        <f aca="false">M100+N100+O100</f>
        <v>55471</v>
      </c>
      <c r="Q100" s="13" t="n">
        <f aca="false">IF(I100=0,0,P100/I100)</f>
        <v>0.0249008160066221</v>
      </c>
      <c r="R100" s="13" t="n">
        <v>0.0483</v>
      </c>
      <c r="S100" s="14" t="n">
        <v>431451</v>
      </c>
      <c r="T100" s="14" t="n">
        <v>43354</v>
      </c>
      <c r="U100" s="14" t="n">
        <v>14626</v>
      </c>
      <c r="V100" s="14" t="n">
        <v>32956</v>
      </c>
      <c r="W100" s="14" t="n">
        <f aca="false">S100+T100+U100+V100</f>
        <v>522387</v>
      </c>
      <c r="X100" s="15" t="n">
        <f aca="false">IF(P100=0,0,S100/P100)</f>
        <v>7.77795604910674</v>
      </c>
      <c r="Y100" s="15" t="n">
        <f aca="false">IF(J100=0,0,W100/J100)</f>
        <v>0.947034370734024</v>
      </c>
      <c r="Z100" s="14" t="n">
        <v>94563</v>
      </c>
      <c r="AA100" s="15" t="n">
        <f aca="false">IF(L100=0,0,Z100/L100)</f>
        <v>0.456971788106353</v>
      </c>
      <c r="AB100" s="12" t="n">
        <v>41180536</v>
      </c>
      <c r="AC100" s="16" t="n">
        <v>10.4</v>
      </c>
      <c r="AD100" s="16" t="n">
        <v>19</v>
      </c>
      <c r="AE100" s="13" t="n">
        <v>0.376</v>
      </c>
      <c r="AF100" s="13" t="n">
        <v>0.578</v>
      </c>
      <c r="AG100" s="13" t="n">
        <v>0.341</v>
      </c>
      <c r="AH100" s="13" t="n">
        <v>0.195</v>
      </c>
      <c r="AI100" s="17"/>
    </row>
    <row r="101" customFormat="false" ht="15" hidden="false" customHeight="false" outlineLevel="0" collapsed="false">
      <c r="A101" s="10" t="n">
        <v>45078</v>
      </c>
      <c r="B101" s="11" t="n">
        <f aca="false">YEAR(A101)</f>
        <v>2023</v>
      </c>
      <c r="C101" s="11" t="str">
        <f aca="false">"Q"&amp;ROUNDUP(MONTH(A101)/3,0)</f>
        <v>Q2</v>
      </c>
      <c r="D101" s="11" t="str">
        <f aca="false">B101&amp;"-"&amp;C101</f>
        <v>2023-Q2</v>
      </c>
      <c r="E101" s="11" t="n">
        <f aca="false">MONTH(A101)</f>
        <v>6</v>
      </c>
      <c r="F101" s="11" t="str">
        <f aca="false">TEXT(A101,"mmm")</f>
        <v>Jun</v>
      </c>
      <c r="G101" s="11" t="s">
        <v>208</v>
      </c>
      <c r="H101" s="11" t="s">
        <v>203</v>
      </c>
      <c r="I101" s="12" t="n">
        <v>4551121</v>
      </c>
      <c r="J101" s="12" t="n">
        <v>1371065</v>
      </c>
      <c r="K101" s="13" t="n">
        <f aca="false">IF(I101=0,0,J101/I101)</f>
        <v>0.301258744823528</v>
      </c>
      <c r="L101" s="12" t="n">
        <v>573818</v>
      </c>
      <c r="M101" s="12" t="n">
        <v>163683</v>
      </c>
      <c r="N101" s="12" t="n">
        <v>16931</v>
      </c>
      <c r="O101" s="12" t="n">
        <v>1140</v>
      </c>
      <c r="P101" s="12" t="n">
        <f aca="false">M101+N101+O101</f>
        <v>181754</v>
      </c>
      <c r="Q101" s="13" t="n">
        <f aca="false">IF(I101=0,0,P101/I101)</f>
        <v>0.0399360948654189</v>
      </c>
      <c r="R101" s="13" t="n">
        <v>0.0428</v>
      </c>
      <c r="S101" s="14" t="n">
        <v>1360884</v>
      </c>
      <c r="T101" s="14" t="n">
        <v>142418</v>
      </c>
      <c r="U101" s="14" t="n">
        <v>45444</v>
      </c>
      <c r="V101" s="14" t="n">
        <v>121637</v>
      </c>
      <c r="W101" s="14" t="n">
        <f aca="false">S101+T101+U101+V101</f>
        <v>1670383</v>
      </c>
      <c r="X101" s="15" t="n">
        <f aca="false">IF(P101=0,0,S101/P101)</f>
        <v>7.48750508929652</v>
      </c>
      <c r="Y101" s="15" t="n">
        <f aca="false">IF(J101=0,0,W101/J101)</f>
        <v>1.21831058337861</v>
      </c>
      <c r="Z101" s="14" t="n">
        <v>297150</v>
      </c>
      <c r="AA101" s="15" t="n">
        <f aca="false">IF(L101=0,0,Z101/L101)</f>
        <v>0.517847122258277</v>
      </c>
      <c r="AB101" s="12" t="n">
        <v>98753684</v>
      </c>
      <c r="AC101" s="16" t="n">
        <v>12.1</v>
      </c>
      <c r="AD101" s="16" t="n">
        <v>19.2</v>
      </c>
      <c r="AE101" s="13" t="n">
        <v>0.371</v>
      </c>
      <c r="AF101" s="13" t="n">
        <v>0.574</v>
      </c>
      <c r="AG101" s="13" t="n">
        <v>0.344</v>
      </c>
      <c r="AH101" s="13" t="n">
        <v>0.19</v>
      </c>
      <c r="AI101" s="17" t="n">
        <v>4.66</v>
      </c>
    </row>
    <row r="102" customFormat="false" ht="15" hidden="false" customHeight="false" outlineLevel="0" collapsed="false">
      <c r="A102" s="10" t="n">
        <v>45078</v>
      </c>
      <c r="B102" s="11" t="n">
        <f aca="false">YEAR(A102)</f>
        <v>2023</v>
      </c>
      <c r="C102" s="11" t="str">
        <f aca="false">"Q"&amp;ROUNDUP(MONTH(A102)/3,0)</f>
        <v>Q2</v>
      </c>
      <c r="D102" s="11" t="str">
        <f aca="false">B102&amp;"-"&amp;C102</f>
        <v>2023-Q2</v>
      </c>
      <c r="E102" s="11" t="n">
        <f aca="false">MONTH(A102)</f>
        <v>6</v>
      </c>
      <c r="F102" s="11" t="str">
        <f aca="false">TEXT(A102,"mmm")</f>
        <v>Jun</v>
      </c>
      <c r="G102" s="11" t="s">
        <v>208</v>
      </c>
      <c r="H102" s="11" t="s">
        <v>204</v>
      </c>
      <c r="I102" s="12" t="n">
        <v>6295536</v>
      </c>
      <c r="J102" s="12" t="n">
        <v>1810576</v>
      </c>
      <c r="K102" s="13" t="n">
        <f aca="false">IF(I102=0,0,J102/I102)</f>
        <v>0.287596798747557</v>
      </c>
      <c r="L102" s="12" t="n">
        <v>740804</v>
      </c>
      <c r="M102" s="12" t="n">
        <v>103760</v>
      </c>
      <c r="N102" s="12" t="n">
        <v>9451</v>
      </c>
      <c r="O102" s="12" t="n">
        <v>535</v>
      </c>
      <c r="P102" s="12" t="n">
        <f aca="false">M102+N102+O102</f>
        <v>113746</v>
      </c>
      <c r="Q102" s="13" t="n">
        <f aca="false">IF(I102=0,0,P102/I102)</f>
        <v>0.018067722907152</v>
      </c>
      <c r="R102" s="13" t="n">
        <v>0.0464</v>
      </c>
      <c r="S102" s="14" t="n">
        <v>751305</v>
      </c>
      <c r="T102" s="14" t="n">
        <v>78815</v>
      </c>
      <c r="U102" s="14" t="n">
        <v>25748</v>
      </c>
      <c r="V102" s="14" t="n">
        <v>63480</v>
      </c>
      <c r="W102" s="14" t="n">
        <f aca="false">S102+T102+U102+V102</f>
        <v>919348</v>
      </c>
      <c r="X102" s="15" t="n">
        <f aca="false">IF(P102=0,0,S102/P102)</f>
        <v>6.60511138853234</v>
      </c>
      <c r="Y102" s="15" t="n">
        <f aca="false">IF(J102=0,0,W102/J102)</f>
        <v>0.507765484575074</v>
      </c>
      <c r="Z102" s="14" t="n">
        <v>168010</v>
      </c>
      <c r="AA102" s="15" t="n">
        <f aca="false">IF(L102=0,0,Z102/L102)</f>
        <v>0.226794131781146</v>
      </c>
      <c r="AB102" s="12" t="n">
        <v>130840332</v>
      </c>
      <c r="AC102" s="16" t="n">
        <v>11.7</v>
      </c>
      <c r="AD102" s="16" t="n">
        <v>19.4</v>
      </c>
      <c r="AE102" s="13" t="n">
        <v>0.374</v>
      </c>
      <c r="AF102" s="13" t="n">
        <v>0.56</v>
      </c>
      <c r="AG102" s="13" t="n">
        <v>0.352</v>
      </c>
      <c r="AH102" s="13" t="n">
        <v>0.195</v>
      </c>
      <c r="AI102" s="17" t="n">
        <v>4.63</v>
      </c>
    </row>
    <row r="103" customFormat="false" ht="15" hidden="false" customHeight="false" outlineLevel="0" collapsed="false">
      <c r="A103" s="10" t="n">
        <v>45078</v>
      </c>
      <c r="B103" s="11" t="n">
        <f aca="false">YEAR(A103)</f>
        <v>2023</v>
      </c>
      <c r="C103" s="11" t="str">
        <f aca="false">"Q"&amp;ROUNDUP(MONTH(A103)/3,0)</f>
        <v>Q2</v>
      </c>
      <c r="D103" s="11" t="str">
        <f aca="false">B103&amp;"-"&amp;C103</f>
        <v>2023-Q2</v>
      </c>
      <c r="E103" s="11" t="n">
        <f aca="false">MONTH(A103)</f>
        <v>6</v>
      </c>
      <c r="F103" s="11" t="str">
        <f aca="false">TEXT(A103,"mmm")</f>
        <v>Jun</v>
      </c>
      <c r="G103" s="11" t="s">
        <v>208</v>
      </c>
      <c r="H103" s="11" t="s">
        <v>205</v>
      </c>
      <c r="I103" s="12" t="n">
        <v>1689830</v>
      </c>
      <c r="J103" s="12" t="n">
        <v>462959</v>
      </c>
      <c r="K103" s="13" t="n">
        <f aca="false">IF(I103=0,0,J103/I103)</f>
        <v>0.27396779557707</v>
      </c>
      <c r="L103" s="12" t="n">
        <v>186261</v>
      </c>
      <c r="M103" s="12" t="n">
        <v>26956</v>
      </c>
      <c r="N103" s="12" t="n">
        <v>2407</v>
      </c>
      <c r="O103" s="12" t="n">
        <v>92</v>
      </c>
      <c r="P103" s="12" t="n">
        <f aca="false">M103+N103+O103</f>
        <v>29455</v>
      </c>
      <c r="Q103" s="13" t="n">
        <f aca="false">IF(I103=0,0,P103/I103)</f>
        <v>0.0174307474716392</v>
      </c>
      <c r="R103" s="13" t="n">
        <v>0.0457</v>
      </c>
      <c r="S103" s="14" t="n">
        <v>206698</v>
      </c>
      <c r="T103" s="14" t="n">
        <v>19592</v>
      </c>
      <c r="U103" s="14" t="n">
        <v>7220</v>
      </c>
      <c r="V103" s="14" t="n">
        <v>15504</v>
      </c>
      <c r="W103" s="14" t="n">
        <f aca="false">S103+T103+U103+V103</f>
        <v>249014</v>
      </c>
      <c r="X103" s="15" t="n">
        <f aca="false">IF(P103=0,0,S103/P103)</f>
        <v>7.01741639789509</v>
      </c>
      <c r="Y103" s="15" t="n">
        <f aca="false">IF(J103=0,0,W103/J103)</f>
        <v>0.537874844208666</v>
      </c>
      <c r="Z103" s="14" t="n">
        <v>41028</v>
      </c>
      <c r="AA103" s="15" t="n">
        <f aca="false">IF(L103=0,0,Z103/L103)</f>
        <v>0.220271554431685</v>
      </c>
      <c r="AB103" s="12" t="n">
        <v>34206490</v>
      </c>
      <c r="AC103" s="16" t="n">
        <v>10.2</v>
      </c>
      <c r="AD103" s="16" t="n">
        <v>17.5</v>
      </c>
      <c r="AE103" s="13" t="n">
        <v>0.381</v>
      </c>
      <c r="AF103" s="13" t="n">
        <v>0.577</v>
      </c>
      <c r="AG103" s="13" t="n">
        <v>0.331</v>
      </c>
      <c r="AH103" s="13" t="n">
        <v>0.194</v>
      </c>
      <c r="AI103" s="17"/>
    </row>
    <row r="104" customFormat="false" ht="15" hidden="false" customHeight="false" outlineLevel="0" collapsed="false">
      <c r="A104" s="10" t="n">
        <v>45078</v>
      </c>
      <c r="B104" s="11" t="n">
        <f aca="false">YEAR(A104)</f>
        <v>2023</v>
      </c>
      <c r="C104" s="11" t="str">
        <f aca="false">"Q"&amp;ROUNDUP(MONTH(A104)/3,0)</f>
        <v>Q2</v>
      </c>
      <c r="D104" s="11" t="str">
        <f aca="false">B104&amp;"-"&amp;C104</f>
        <v>2023-Q2</v>
      </c>
      <c r="E104" s="11" t="n">
        <f aca="false">MONTH(A104)</f>
        <v>6</v>
      </c>
      <c r="F104" s="11" t="str">
        <f aca="false">TEXT(A104,"mmm")</f>
        <v>Jun</v>
      </c>
      <c r="G104" s="11" t="s">
        <v>209</v>
      </c>
      <c r="H104" s="11" t="s">
        <v>203</v>
      </c>
      <c r="I104" s="12" t="n">
        <v>2834507</v>
      </c>
      <c r="J104" s="12" t="n">
        <v>839421</v>
      </c>
      <c r="K104" s="13" t="n">
        <f aca="false">IF(I104=0,0,J104/I104)</f>
        <v>0.296143562178538</v>
      </c>
      <c r="L104" s="12" t="n">
        <v>349232</v>
      </c>
      <c r="M104" s="12" t="n">
        <v>59915</v>
      </c>
      <c r="N104" s="12" t="n">
        <v>5145</v>
      </c>
      <c r="O104" s="12" t="n">
        <v>328</v>
      </c>
      <c r="P104" s="12" t="n">
        <f aca="false">M104+N104+O104</f>
        <v>65388</v>
      </c>
      <c r="Q104" s="13" t="n">
        <f aca="false">IF(I104=0,0,P104/I104)</f>
        <v>0.0230685618345624</v>
      </c>
      <c r="R104" s="13" t="n">
        <v>0.0477</v>
      </c>
      <c r="S104" s="14" t="n">
        <v>453800</v>
      </c>
      <c r="T104" s="14" t="n">
        <v>42828</v>
      </c>
      <c r="U104" s="14" t="n">
        <v>15487</v>
      </c>
      <c r="V104" s="14" t="n">
        <v>33559</v>
      </c>
      <c r="W104" s="14" t="n">
        <f aca="false">S104+T104+U104+V104</f>
        <v>545674</v>
      </c>
      <c r="X104" s="15" t="n">
        <f aca="false">IF(P104=0,0,S104/P104)</f>
        <v>6.94011133541323</v>
      </c>
      <c r="Y104" s="15" t="n">
        <f aca="false">IF(J104=0,0,W104/J104)</f>
        <v>0.650059981820803</v>
      </c>
      <c r="Z104" s="14" t="n">
        <v>98245</v>
      </c>
      <c r="AA104" s="15" t="n">
        <f aca="false">IF(L104=0,0,Z104/L104)</f>
        <v>0.281317290511752</v>
      </c>
      <c r="AB104" s="12" t="n">
        <v>64982875</v>
      </c>
      <c r="AC104" s="16" t="n">
        <v>11.9</v>
      </c>
      <c r="AD104" s="16" t="n">
        <v>17.7</v>
      </c>
      <c r="AE104" s="13" t="n">
        <v>0.39</v>
      </c>
      <c r="AF104" s="13" t="n">
        <v>0.568</v>
      </c>
      <c r="AG104" s="13" t="n">
        <v>0.32</v>
      </c>
      <c r="AH104" s="13" t="n">
        <v>0.184</v>
      </c>
      <c r="AI104" s="17" t="n">
        <v>4.68</v>
      </c>
    </row>
    <row r="105" customFormat="false" ht="15" hidden="false" customHeight="false" outlineLevel="0" collapsed="false">
      <c r="A105" s="10" t="n">
        <v>45078</v>
      </c>
      <c r="B105" s="11" t="n">
        <f aca="false">YEAR(A105)</f>
        <v>2023</v>
      </c>
      <c r="C105" s="11" t="str">
        <f aca="false">"Q"&amp;ROUNDUP(MONTH(A105)/3,0)</f>
        <v>Q2</v>
      </c>
      <c r="D105" s="11" t="str">
        <f aca="false">B105&amp;"-"&amp;C105</f>
        <v>2023-Q2</v>
      </c>
      <c r="E105" s="11" t="n">
        <f aca="false">MONTH(A105)</f>
        <v>6</v>
      </c>
      <c r="F105" s="11" t="str">
        <f aca="false">TEXT(A105,"mmm")</f>
        <v>Jun</v>
      </c>
      <c r="G105" s="11" t="s">
        <v>209</v>
      </c>
      <c r="H105" s="11" t="s">
        <v>204</v>
      </c>
      <c r="I105" s="12" t="n">
        <v>3285905</v>
      </c>
      <c r="J105" s="12" t="n">
        <v>885458</v>
      </c>
      <c r="K105" s="13" t="n">
        <f aca="false">IF(I105=0,0,J105/I105)</f>
        <v>0.269471576323722</v>
      </c>
      <c r="L105" s="12" t="n">
        <v>370588</v>
      </c>
      <c r="M105" s="12" t="n">
        <v>31734</v>
      </c>
      <c r="N105" s="12" t="n">
        <v>3111</v>
      </c>
      <c r="O105" s="12" t="n">
        <v>132</v>
      </c>
      <c r="P105" s="12" t="n">
        <f aca="false">M105+N105+O105</f>
        <v>34977</v>
      </c>
      <c r="Q105" s="13" t="n">
        <f aca="false">IF(I105=0,0,P105/I105)</f>
        <v>0.0106445560659849</v>
      </c>
      <c r="R105" s="13" t="n">
        <v>0.0431</v>
      </c>
      <c r="S105" s="14" t="n">
        <v>278808</v>
      </c>
      <c r="T105" s="14" t="n">
        <v>24917</v>
      </c>
      <c r="U105" s="14" t="n">
        <v>9572</v>
      </c>
      <c r="V105" s="14" t="n">
        <v>21606</v>
      </c>
      <c r="W105" s="14" t="n">
        <f aca="false">S105+T105+U105+V105</f>
        <v>334903</v>
      </c>
      <c r="X105" s="15" t="n">
        <f aca="false">IF(P105=0,0,S105/P105)</f>
        <v>7.97118106184064</v>
      </c>
      <c r="Y105" s="15" t="n">
        <f aca="false">IF(J105=0,0,W105/J105)</f>
        <v>0.378225731768192</v>
      </c>
      <c r="Z105" s="14" t="n">
        <v>63557</v>
      </c>
      <c r="AA105" s="15" t="n">
        <f aca="false">IF(L105=0,0,Z105/L105)</f>
        <v>0.171503124763889</v>
      </c>
      <c r="AB105" s="12" t="n">
        <v>63627055</v>
      </c>
      <c r="AC105" s="16" t="n">
        <v>11.7</v>
      </c>
      <c r="AD105" s="16" t="n">
        <v>18.1</v>
      </c>
      <c r="AE105" s="13" t="n">
        <v>0.36</v>
      </c>
      <c r="AF105" s="13" t="n">
        <v>0.57</v>
      </c>
      <c r="AG105" s="13" t="n">
        <v>0.349</v>
      </c>
      <c r="AH105" s="13" t="n">
        <v>0.189</v>
      </c>
      <c r="AI105" s="17" t="n">
        <v>4.61</v>
      </c>
    </row>
    <row r="106" customFormat="false" ht="15" hidden="false" customHeight="false" outlineLevel="0" collapsed="false">
      <c r="A106" s="10" t="n">
        <v>45078</v>
      </c>
      <c r="B106" s="11" t="n">
        <f aca="false">YEAR(A106)</f>
        <v>2023</v>
      </c>
      <c r="C106" s="11" t="str">
        <f aca="false">"Q"&amp;ROUNDUP(MONTH(A106)/3,0)</f>
        <v>Q2</v>
      </c>
      <c r="D106" s="11" t="str">
        <f aca="false">B106&amp;"-"&amp;C106</f>
        <v>2023-Q2</v>
      </c>
      <c r="E106" s="11" t="n">
        <f aca="false">MONTH(A106)</f>
        <v>6</v>
      </c>
      <c r="F106" s="11" t="str">
        <f aca="false">TEXT(A106,"mmm")</f>
        <v>Jun</v>
      </c>
      <c r="G106" s="11" t="s">
        <v>209</v>
      </c>
      <c r="H106" s="11" t="s">
        <v>205</v>
      </c>
      <c r="I106" s="12" t="n">
        <v>1035136</v>
      </c>
      <c r="J106" s="12" t="n">
        <v>248730</v>
      </c>
      <c r="K106" s="13" t="n">
        <f aca="false">IF(I106=0,0,J106/I106)</f>
        <v>0.240287266600717</v>
      </c>
      <c r="L106" s="12" t="n">
        <v>118111</v>
      </c>
      <c r="M106" s="12" t="n">
        <v>8812</v>
      </c>
      <c r="N106" s="12" t="n">
        <v>804</v>
      </c>
      <c r="O106" s="12" t="n">
        <v>24</v>
      </c>
      <c r="P106" s="12" t="n">
        <f aca="false">M106+N106+O106</f>
        <v>9640</v>
      </c>
      <c r="Q106" s="13" t="n">
        <f aca="false">IF(I106=0,0,P106/I106)</f>
        <v>0.0093127859527637</v>
      </c>
      <c r="R106" s="13" t="n">
        <v>0.0478</v>
      </c>
      <c r="S106" s="14" t="n">
        <v>74716</v>
      </c>
      <c r="T106" s="14" t="n">
        <v>7438</v>
      </c>
      <c r="U106" s="14" t="n">
        <v>2365</v>
      </c>
      <c r="V106" s="14" t="n">
        <v>5762</v>
      </c>
      <c r="W106" s="14" t="n">
        <f aca="false">S106+T106+U106+V106</f>
        <v>90281</v>
      </c>
      <c r="X106" s="15" t="n">
        <f aca="false">IF(P106=0,0,S106/P106)</f>
        <v>7.750622406639</v>
      </c>
      <c r="Y106" s="15" t="n">
        <f aca="false">IF(J106=0,0,W106/J106)</f>
        <v>0.362967876814216</v>
      </c>
      <c r="Z106" s="14" t="n">
        <v>14848</v>
      </c>
      <c r="AA106" s="15" t="n">
        <f aca="false">IF(L106=0,0,Z106/L106)</f>
        <v>0.125712253727426</v>
      </c>
      <c r="AB106" s="12" t="n">
        <v>18693196</v>
      </c>
      <c r="AC106" s="16" t="n">
        <v>10.4</v>
      </c>
      <c r="AD106" s="16" t="n">
        <v>19.5</v>
      </c>
      <c r="AE106" s="13" t="n">
        <v>0.37</v>
      </c>
      <c r="AF106" s="13" t="n">
        <v>0.571</v>
      </c>
      <c r="AG106" s="13" t="n">
        <v>0.332</v>
      </c>
      <c r="AH106" s="13" t="n">
        <v>0.187</v>
      </c>
      <c r="AI106" s="17"/>
    </row>
    <row r="107" customFormat="false" ht="15" hidden="false" customHeight="false" outlineLevel="0" collapsed="false">
      <c r="A107" s="10" t="n">
        <v>45078</v>
      </c>
      <c r="B107" s="11" t="n">
        <f aca="false">YEAR(A107)</f>
        <v>2023</v>
      </c>
      <c r="C107" s="11" t="str">
        <f aca="false">"Q"&amp;ROUNDUP(MONTH(A107)/3,0)</f>
        <v>Q2</v>
      </c>
      <c r="D107" s="11" t="str">
        <f aca="false">B107&amp;"-"&amp;C107</f>
        <v>2023-Q2</v>
      </c>
      <c r="E107" s="11" t="n">
        <f aca="false">MONTH(A107)</f>
        <v>6</v>
      </c>
      <c r="F107" s="11" t="str">
        <f aca="false">TEXT(A107,"mmm")</f>
        <v>Jun</v>
      </c>
      <c r="G107" s="11" t="s">
        <v>210</v>
      </c>
      <c r="H107" s="11" t="s">
        <v>203</v>
      </c>
      <c r="I107" s="12" t="n">
        <v>4324048</v>
      </c>
      <c r="J107" s="12" t="n">
        <v>1254224</v>
      </c>
      <c r="K107" s="13" t="n">
        <f aca="false">IF(I107=0,0,J107/I107)</f>
        <v>0.290057834695637</v>
      </c>
      <c r="L107" s="12" t="n">
        <v>539478</v>
      </c>
      <c r="M107" s="12" t="n">
        <v>112309</v>
      </c>
      <c r="N107" s="12" t="n">
        <v>11289</v>
      </c>
      <c r="O107" s="12" t="n">
        <v>623</v>
      </c>
      <c r="P107" s="12" t="n">
        <f aca="false">M107+N107+O107</f>
        <v>124221</v>
      </c>
      <c r="Q107" s="13" t="n">
        <f aca="false">IF(I107=0,0,P107/I107)</f>
        <v>0.0287279419654916</v>
      </c>
      <c r="R107" s="13" t="n">
        <v>0.0468</v>
      </c>
      <c r="S107" s="14" t="n">
        <v>897603</v>
      </c>
      <c r="T107" s="14" t="n">
        <v>85957</v>
      </c>
      <c r="U107" s="14" t="n">
        <v>29195</v>
      </c>
      <c r="V107" s="14" t="n">
        <v>73615</v>
      </c>
      <c r="W107" s="14" t="n">
        <f aca="false">S107+T107+U107+V107</f>
        <v>1086370</v>
      </c>
      <c r="X107" s="15" t="n">
        <f aca="false">IF(P107=0,0,S107/P107)</f>
        <v>7.22585553167339</v>
      </c>
      <c r="Y107" s="15" t="n">
        <f aca="false">IF(J107=0,0,W107/J107)</f>
        <v>0.866169041574711</v>
      </c>
      <c r="Z107" s="14" t="n">
        <v>185356</v>
      </c>
      <c r="AA107" s="15" t="n">
        <f aca="false">IF(L107=0,0,Z107/L107)</f>
        <v>0.343583983035453</v>
      </c>
      <c r="AB107" s="12" t="n">
        <v>86309649</v>
      </c>
      <c r="AC107" s="16" t="n">
        <v>11.9</v>
      </c>
      <c r="AD107" s="16" t="n">
        <v>19.2</v>
      </c>
      <c r="AE107" s="13" t="n">
        <v>0.38</v>
      </c>
      <c r="AF107" s="13" t="n">
        <v>0.567</v>
      </c>
      <c r="AG107" s="13" t="n">
        <v>0.329</v>
      </c>
      <c r="AH107" s="13" t="n">
        <v>0.198</v>
      </c>
      <c r="AI107" s="17" t="n">
        <v>4.63</v>
      </c>
    </row>
    <row r="108" customFormat="false" ht="15" hidden="false" customHeight="false" outlineLevel="0" collapsed="false">
      <c r="A108" s="10" t="n">
        <v>45078</v>
      </c>
      <c r="B108" s="11" t="n">
        <f aca="false">YEAR(A108)</f>
        <v>2023</v>
      </c>
      <c r="C108" s="11" t="str">
        <f aca="false">"Q"&amp;ROUNDUP(MONTH(A108)/3,0)</f>
        <v>Q2</v>
      </c>
      <c r="D108" s="11" t="str">
        <f aca="false">B108&amp;"-"&amp;C108</f>
        <v>2023-Q2</v>
      </c>
      <c r="E108" s="11" t="n">
        <f aca="false">MONTH(A108)</f>
        <v>6</v>
      </c>
      <c r="F108" s="11" t="str">
        <f aca="false">TEXT(A108,"mmm")</f>
        <v>Jun</v>
      </c>
      <c r="G108" s="11" t="s">
        <v>210</v>
      </c>
      <c r="H108" s="11" t="s">
        <v>204</v>
      </c>
      <c r="I108" s="12" t="n">
        <v>5115315</v>
      </c>
      <c r="J108" s="12" t="n">
        <v>1371969</v>
      </c>
      <c r="K108" s="13" t="n">
        <f aca="false">IF(I108=0,0,J108/I108)</f>
        <v>0.268208116215717</v>
      </c>
      <c r="L108" s="12" t="n">
        <v>659000</v>
      </c>
      <c r="M108" s="12" t="n">
        <v>68540</v>
      </c>
      <c r="N108" s="12" t="n">
        <v>6210</v>
      </c>
      <c r="O108" s="12" t="n">
        <v>282</v>
      </c>
      <c r="P108" s="12" t="n">
        <f aca="false">M108+N108+O108</f>
        <v>75032</v>
      </c>
      <c r="Q108" s="13" t="n">
        <f aca="false">IF(I108=0,0,P108/I108)</f>
        <v>0.0146681093930677</v>
      </c>
      <c r="R108" s="13" t="n">
        <v>0.0406</v>
      </c>
      <c r="S108" s="14" t="n">
        <v>533571</v>
      </c>
      <c r="T108" s="14" t="n">
        <v>48380</v>
      </c>
      <c r="U108" s="14" t="n">
        <v>18883</v>
      </c>
      <c r="V108" s="14" t="n">
        <v>42163</v>
      </c>
      <c r="W108" s="14" t="n">
        <f aca="false">S108+T108+U108+V108</f>
        <v>642997</v>
      </c>
      <c r="X108" s="15" t="n">
        <f aca="false">IF(P108=0,0,S108/P108)</f>
        <v>7.11124586842947</v>
      </c>
      <c r="Y108" s="15" t="n">
        <f aca="false">IF(J108=0,0,W108/J108)</f>
        <v>0.468667294960746</v>
      </c>
      <c r="Z108" s="14" t="n">
        <v>120114</v>
      </c>
      <c r="AA108" s="15" t="n">
        <f aca="false">IF(L108=0,0,Z108/L108)</f>
        <v>0.182267071320182</v>
      </c>
      <c r="AB108" s="12" t="n">
        <v>107339432</v>
      </c>
      <c r="AC108" s="16" t="n">
        <v>11.4</v>
      </c>
      <c r="AD108" s="16" t="n">
        <v>18.9</v>
      </c>
      <c r="AE108" s="13" t="n">
        <v>0.373</v>
      </c>
      <c r="AF108" s="13" t="n">
        <v>0.569</v>
      </c>
      <c r="AG108" s="13" t="n">
        <v>0.329</v>
      </c>
      <c r="AH108" s="13" t="n">
        <v>0.182</v>
      </c>
      <c r="AI108" s="17" t="n">
        <v>4.6</v>
      </c>
    </row>
    <row r="109" customFormat="false" ht="15" hidden="false" customHeight="false" outlineLevel="0" collapsed="false">
      <c r="A109" s="10" t="n">
        <v>45078</v>
      </c>
      <c r="B109" s="11" t="n">
        <f aca="false">YEAR(A109)</f>
        <v>2023</v>
      </c>
      <c r="C109" s="11" t="str">
        <f aca="false">"Q"&amp;ROUNDUP(MONTH(A109)/3,0)</f>
        <v>Q2</v>
      </c>
      <c r="D109" s="11" t="str">
        <f aca="false">B109&amp;"-"&amp;C109</f>
        <v>2023-Q2</v>
      </c>
      <c r="E109" s="11" t="n">
        <f aca="false">MONTH(A109)</f>
        <v>6</v>
      </c>
      <c r="F109" s="11" t="str">
        <f aca="false">TEXT(A109,"mmm")</f>
        <v>Jun</v>
      </c>
      <c r="G109" s="11" t="s">
        <v>210</v>
      </c>
      <c r="H109" s="11" t="s">
        <v>205</v>
      </c>
      <c r="I109" s="12" t="n">
        <v>1493939</v>
      </c>
      <c r="J109" s="12" t="n">
        <v>347294</v>
      </c>
      <c r="K109" s="13" t="n">
        <f aca="false">IF(I109=0,0,J109/I109)</f>
        <v>0.232468661705732</v>
      </c>
      <c r="L109" s="12" t="n">
        <v>171718</v>
      </c>
      <c r="M109" s="12" t="n">
        <v>18143</v>
      </c>
      <c r="N109" s="12" t="n">
        <v>1445</v>
      </c>
      <c r="O109" s="12" t="n">
        <v>49</v>
      </c>
      <c r="P109" s="12" t="n">
        <f aca="false">M109+N109+O109</f>
        <v>19637</v>
      </c>
      <c r="Q109" s="13" t="n">
        <f aca="false">IF(I109=0,0,P109/I109)</f>
        <v>0.0131444456567504</v>
      </c>
      <c r="R109" s="13" t="n">
        <v>0.0467</v>
      </c>
      <c r="S109" s="14" t="n">
        <v>145020</v>
      </c>
      <c r="T109" s="14" t="n">
        <v>13605</v>
      </c>
      <c r="U109" s="14" t="n">
        <v>4756</v>
      </c>
      <c r="V109" s="14" t="n">
        <v>11251</v>
      </c>
      <c r="W109" s="14" t="n">
        <f aca="false">S109+T109+U109+V109</f>
        <v>174632</v>
      </c>
      <c r="X109" s="15" t="n">
        <f aca="false">IF(P109=0,0,S109/P109)</f>
        <v>7.38503844782808</v>
      </c>
      <c r="Y109" s="15" t="n">
        <f aca="false">IF(J109=0,0,W109/J109)</f>
        <v>0.502836213697904</v>
      </c>
      <c r="Z109" s="14" t="n">
        <v>29755</v>
      </c>
      <c r="AA109" s="15" t="n">
        <f aca="false">IF(L109=0,0,Z109/L109)</f>
        <v>0.17327828183417</v>
      </c>
      <c r="AB109" s="12" t="n">
        <v>25180892</v>
      </c>
      <c r="AC109" s="16" t="n">
        <v>10.3</v>
      </c>
      <c r="AD109" s="16" t="n">
        <v>18.2</v>
      </c>
      <c r="AE109" s="13" t="n">
        <v>0.359</v>
      </c>
      <c r="AF109" s="13" t="n">
        <v>0.564</v>
      </c>
      <c r="AG109" s="13" t="n">
        <v>0.329</v>
      </c>
      <c r="AH109" s="13" t="n">
        <v>0.186</v>
      </c>
      <c r="AI109" s="17"/>
    </row>
    <row r="110" customFormat="false" ht="15" hidden="false" customHeight="false" outlineLevel="0" collapsed="false">
      <c r="A110" s="10" t="n">
        <v>45108</v>
      </c>
      <c r="B110" s="11" t="n">
        <f aca="false">YEAR(A110)</f>
        <v>2023</v>
      </c>
      <c r="C110" s="11" t="str">
        <f aca="false">"Q"&amp;ROUNDUP(MONTH(A110)/3,0)</f>
        <v>Q3</v>
      </c>
      <c r="D110" s="11" t="str">
        <f aca="false">B110&amp;"-"&amp;C110</f>
        <v>2023-Q3</v>
      </c>
      <c r="E110" s="11" t="n">
        <f aca="false">MONTH(A110)</f>
        <v>7</v>
      </c>
      <c r="F110" s="11" t="str">
        <f aca="false">TEXT(A110,"mmm")</f>
        <v>Jul</v>
      </c>
      <c r="G110" s="11" t="s">
        <v>202</v>
      </c>
      <c r="H110" s="11" t="s">
        <v>203</v>
      </c>
      <c r="I110" s="12" t="n">
        <v>6172615</v>
      </c>
      <c r="J110" s="12" t="n">
        <v>1952821</v>
      </c>
      <c r="K110" s="13" t="n">
        <f aca="false">IF(I110=0,0,J110/I110)</f>
        <v>0.316368508322648</v>
      </c>
      <c r="L110" s="12" t="n">
        <v>908178</v>
      </c>
      <c r="M110" s="12" t="n">
        <v>1315386</v>
      </c>
      <c r="N110" s="12" t="n">
        <v>128197</v>
      </c>
      <c r="O110" s="12" t="n">
        <v>35807</v>
      </c>
      <c r="P110" s="12" t="n">
        <f aca="false">M110+N110+O110</f>
        <v>1479390</v>
      </c>
      <c r="Q110" s="13" t="n">
        <f aca="false">IF(I110=0,0,P110/I110)</f>
        <v>0.239669896794146</v>
      </c>
      <c r="R110" s="13" t="n">
        <v>0.0465</v>
      </c>
      <c r="S110" s="14" t="n">
        <v>9741731</v>
      </c>
      <c r="T110" s="14" t="n">
        <v>1011178</v>
      </c>
      <c r="U110" s="14" t="n">
        <v>381141</v>
      </c>
      <c r="V110" s="14" t="n">
        <v>733225</v>
      </c>
      <c r="W110" s="14" t="n">
        <f aca="false">S110+T110+U110+V110</f>
        <v>11867275</v>
      </c>
      <c r="X110" s="15" t="n">
        <f aca="false">IF(P110=0,0,S110/P110)</f>
        <v>6.58496474898438</v>
      </c>
      <c r="Y110" s="15" t="n">
        <f aca="false">IF(J110=0,0,W110/J110)</f>
        <v>6.07699067144403</v>
      </c>
      <c r="Z110" s="14" t="n">
        <v>2039607</v>
      </c>
      <c r="AA110" s="15" t="n">
        <f aca="false">IF(L110=0,0,Z110/L110)</f>
        <v>2.24582295541182</v>
      </c>
      <c r="AB110" s="12" t="n">
        <v>136769217</v>
      </c>
      <c r="AC110" s="16" t="n">
        <v>12.1</v>
      </c>
      <c r="AD110" s="16" t="n">
        <v>19.2</v>
      </c>
      <c r="AE110" s="13" t="n">
        <v>0.387</v>
      </c>
      <c r="AF110" s="13" t="n">
        <v>0.549</v>
      </c>
      <c r="AG110" s="13" t="n">
        <v>0.339</v>
      </c>
      <c r="AH110" s="13" t="n">
        <v>0.194</v>
      </c>
      <c r="AI110" s="17" t="n">
        <v>4.67</v>
      </c>
    </row>
    <row r="111" customFormat="false" ht="15" hidden="false" customHeight="false" outlineLevel="0" collapsed="false">
      <c r="A111" s="10" t="n">
        <v>45108</v>
      </c>
      <c r="B111" s="11" t="n">
        <f aca="false">YEAR(A111)</f>
        <v>2023</v>
      </c>
      <c r="C111" s="11" t="str">
        <f aca="false">"Q"&amp;ROUNDUP(MONTH(A111)/3,0)</f>
        <v>Q3</v>
      </c>
      <c r="D111" s="11" t="str">
        <f aca="false">B111&amp;"-"&amp;C111</f>
        <v>2023-Q3</v>
      </c>
      <c r="E111" s="11" t="n">
        <f aca="false">MONTH(A111)</f>
        <v>7</v>
      </c>
      <c r="F111" s="11" t="str">
        <f aca="false">TEXT(A111,"mmm")</f>
        <v>Jul</v>
      </c>
      <c r="G111" s="11" t="s">
        <v>202</v>
      </c>
      <c r="H111" s="11" t="s">
        <v>204</v>
      </c>
      <c r="I111" s="12" t="n">
        <v>8213268</v>
      </c>
      <c r="J111" s="12" t="n">
        <v>2409532</v>
      </c>
      <c r="K111" s="13" t="n">
        <f aca="false">IF(I111=0,0,J111/I111)</f>
        <v>0.293370677786236</v>
      </c>
      <c r="L111" s="12" t="n">
        <v>946414</v>
      </c>
      <c r="M111" s="12" t="n">
        <v>731109</v>
      </c>
      <c r="N111" s="12" t="n">
        <v>64292</v>
      </c>
      <c r="O111" s="12" t="n">
        <v>14706</v>
      </c>
      <c r="P111" s="12" t="n">
        <f aca="false">M111+N111+O111</f>
        <v>810107</v>
      </c>
      <c r="Q111" s="13" t="n">
        <f aca="false">IF(I111=0,0,P111/I111)</f>
        <v>0.0986339420557079</v>
      </c>
      <c r="R111" s="13" t="n">
        <v>0.0448</v>
      </c>
      <c r="S111" s="14" t="n">
        <v>5539270</v>
      </c>
      <c r="T111" s="14" t="n">
        <v>525743</v>
      </c>
      <c r="U111" s="14" t="n">
        <v>195121</v>
      </c>
      <c r="V111" s="14" t="n">
        <v>456153</v>
      </c>
      <c r="W111" s="14" t="n">
        <f aca="false">S111+T111+U111+V111</f>
        <v>6716287</v>
      </c>
      <c r="X111" s="15" t="n">
        <f aca="false">IF(P111=0,0,S111/P111)</f>
        <v>6.83770168632045</v>
      </c>
      <c r="Y111" s="15" t="n">
        <f aca="false">IF(J111=0,0,W111/J111)</f>
        <v>2.78738236304809</v>
      </c>
      <c r="Z111" s="14" t="n">
        <v>1222621</v>
      </c>
      <c r="AA111" s="15" t="n">
        <f aca="false">IF(L111=0,0,Z111/L111)</f>
        <v>1.29184585181538</v>
      </c>
      <c r="AB111" s="12" t="n">
        <v>186879846</v>
      </c>
      <c r="AC111" s="16" t="n">
        <v>11.6</v>
      </c>
      <c r="AD111" s="16" t="n">
        <v>19</v>
      </c>
      <c r="AE111" s="13" t="n">
        <v>0.384</v>
      </c>
      <c r="AF111" s="13" t="n">
        <v>0.566</v>
      </c>
      <c r="AG111" s="13" t="n">
        <v>0.341</v>
      </c>
      <c r="AH111" s="13" t="n">
        <v>0.193</v>
      </c>
      <c r="AI111" s="17" t="n">
        <v>4.58</v>
      </c>
    </row>
    <row r="112" customFormat="false" ht="15" hidden="false" customHeight="false" outlineLevel="0" collapsed="false">
      <c r="A112" s="10" t="n">
        <v>45108</v>
      </c>
      <c r="B112" s="11" t="n">
        <f aca="false">YEAR(A112)</f>
        <v>2023</v>
      </c>
      <c r="C112" s="11" t="str">
        <f aca="false">"Q"&amp;ROUNDUP(MONTH(A112)/3,0)</f>
        <v>Q3</v>
      </c>
      <c r="D112" s="11" t="str">
        <f aca="false">B112&amp;"-"&amp;C112</f>
        <v>2023-Q3</v>
      </c>
      <c r="E112" s="11" t="n">
        <f aca="false">MONTH(A112)</f>
        <v>7</v>
      </c>
      <c r="F112" s="11" t="str">
        <f aca="false">TEXT(A112,"mmm")</f>
        <v>Jul</v>
      </c>
      <c r="G112" s="11" t="s">
        <v>202</v>
      </c>
      <c r="H112" s="11" t="s">
        <v>205</v>
      </c>
      <c r="I112" s="12" t="n">
        <v>2445671</v>
      </c>
      <c r="J112" s="12" t="n">
        <v>637990</v>
      </c>
      <c r="K112" s="13" t="n">
        <f aca="false">IF(I112=0,0,J112/I112)</f>
        <v>0.260865014141313</v>
      </c>
      <c r="L112" s="12" t="n">
        <v>267883</v>
      </c>
      <c r="M112" s="12" t="n">
        <v>215626</v>
      </c>
      <c r="N112" s="12" t="n">
        <v>19975</v>
      </c>
      <c r="O112" s="12" t="n">
        <v>2886</v>
      </c>
      <c r="P112" s="12" t="n">
        <f aca="false">M112+N112+O112</f>
        <v>238487</v>
      </c>
      <c r="Q112" s="13" t="n">
        <f aca="false">IF(I112=0,0,P112/I112)</f>
        <v>0.0975139338038518</v>
      </c>
      <c r="R112" s="13" t="n">
        <v>0.0485</v>
      </c>
      <c r="S112" s="14" t="n">
        <v>1548687</v>
      </c>
      <c r="T112" s="14" t="n">
        <v>155741</v>
      </c>
      <c r="U112" s="14" t="n">
        <v>60085</v>
      </c>
      <c r="V112" s="14" t="n">
        <v>123716</v>
      </c>
      <c r="W112" s="14" t="n">
        <f aca="false">S112+T112+U112+V112</f>
        <v>1888229</v>
      </c>
      <c r="X112" s="15" t="n">
        <f aca="false">IF(P112=0,0,S112/P112)</f>
        <v>6.49380050065622</v>
      </c>
      <c r="Y112" s="15" t="n">
        <f aca="false">IF(J112=0,0,W112/J112)</f>
        <v>2.95965297261713</v>
      </c>
      <c r="Z112" s="14" t="n">
        <v>361565</v>
      </c>
      <c r="AA112" s="15" t="n">
        <f aca="false">IF(L112=0,0,Z112/L112)</f>
        <v>1.34971237443212</v>
      </c>
      <c r="AB112" s="12" t="n">
        <v>47221503</v>
      </c>
      <c r="AC112" s="16" t="n">
        <v>10.4</v>
      </c>
      <c r="AD112" s="16" t="n">
        <v>18.7</v>
      </c>
      <c r="AE112" s="13" t="n">
        <v>0.377</v>
      </c>
      <c r="AF112" s="13" t="n">
        <v>0.573</v>
      </c>
      <c r="AG112" s="13" t="n">
        <v>0.35</v>
      </c>
      <c r="AH112" s="13" t="n">
        <v>0.203</v>
      </c>
      <c r="AI112" s="17"/>
    </row>
    <row r="113" customFormat="false" ht="15" hidden="false" customHeight="false" outlineLevel="0" collapsed="false">
      <c r="A113" s="10" t="n">
        <v>45108</v>
      </c>
      <c r="B113" s="11" t="n">
        <f aca="false">YEAR(A113)</f>
        <v>2023</v>
      </c>
      <c r="C113" s="11" t="str">
        <f aca="false">"Q"&amp;ROUNDUP(MONTH(A113)/3,0)</f>
        <v>Q3</v>
      </c>
      <c r="D113" s="11" t="str">
        <f aca="false">B113&amp;"-"&amp;C113</f>
        <v>2023-Q3</v>
      </c>
      <c r="E113" s="11" t="n">
        <f aca="false">MONTH(A113)</f>
        <v>7</v>
      </c>
      <c r="F113" s="11" t="str">
        <f aca="false">TEXT(A113,"mmm")</f>
        <v>Jul</v>
      </c>
      <c r="G113" s="11" t="s">
        <v>206</v>
      </c>
      <c r="H113" s="11" t="s">
        <v>203</v>
      </c>
      <c r="I113" s="12" t="n">
        <v>7488120</v>
      </c>
      <c r="J113" s="12" t="n">
        <v>2402629</v>
      </c>
      <c r="K113" s="13" t="n">
        <f aca="false">IF(I113=0,0,J113/I113)</f>
        <v>0.320858773630765</v>
      </c>
      <c r="L113" s="12" t="n">
        <v>931631</v>
      </c>
      <c r="M113" s="12" t="n">
        <v>795517</v>
      </c>
      <c r="N113" s="12" t="n">
        <v>67031</v>
      </c>
      <c r="O113" s="12" t="n">
        <v>13248</v>
      </c>
      <c r="P113" s="12" t="n">
        <f aca="false">M113+N113+O113</f>
        <v>875796</v>
      </c>
      <c r="Q113" s="13" t="n">
        <f aca="false">IF(I113=0,0,P113/I113)</f>
        <v>0.116958061569526</v>
      </c>
      <c r="R113" s="13" t="n">
        <v>0.0469</v>
      </c>
      <c r="S113" s="14" t="n">
        <v>5513442</v>
      </c>
      <c r="T113" s="14" t="n">
        <v>579217</v>
      </c>
      <c r="U113" s="14" t="n">
        <v>219922</v>
      </c>
      <c r="V113" s="14" t="n">
        <v>442483</v>
      </c>
      <c r="W113" s="14" t="n">
        <f aca="false">S113+T113+U113+V113</f>
        <v>6755064</v>
      </c>
      <c r="X113" s="15" t="n">
        <f aca="false">IF(P113=0,0,S113/P113)</f>
        <v>6.2953496019621</v>
      </c>
      <c r="Y113" s="15" t="n">
        <f aca="false">IF(J113=0,0,W113/J113)</f>
        <v>2.81153020295684</v>
      </c>
      <c r="Z113" s="14" t="n">
        <v>1255183</v>
      </c>
      <c r="AA113" s="15" t="n">
        <f aca="false">IF(L113=0,0,Z113/L113)</f>
        <v>1.34729630078862</v>
      </c>
      <c r="AB113" s="12" t="n">
        <v>169194211</v>
      </c>
      <c r="AC113" s="16" t="n">
        <v>11.9</v>
      </c>
      <c r="AD113" s="16" t="n">
        <v>18.4</v>
      </c>
      <c r="AE113" s="13" t="n">
        <v>0.371</v>
      </c>
      <c r="AF113" s="13" t="n">
        <v>0.565</v>
      </c>
      <c r="AG113" s="13" t="n">
        <v>0.337</v>
      </c>
      <c r="AH113" s="13" t="n">
        <v>0.202</v>
      </c>
      <c r="AI113" s="17" t="n">
        <v>4.67</v>
      </c>
    </row>
    <row r="114" customFormat="false" ht="15" hidden="false" customHeight="false" outlineLevel="0" collapsed="false">
      <c r="A114" s="10" t="n">
        <v>45108</v>
      </c>
      <c r="B114" s="11" t="n">
        <f aca="false">YEAR(A114)</f>
        <v>2023</v>
      </c>
      <c r="C114" s="11" t="str">
        <f aca="false">"Q"&amp;ROUNDUP(MONTH(A114)/3,0)</f>
        <v>Q3</v>
      </c>
      <c r="D114" s="11" t="str">
        <f aca="false">B114&amp;"-"&amp;C114</f>
        <v>2023-Q3</v>
      </c>
      <c r="E114" s="11" t="n">
        <f aca="false">MONTH(A114)</f>
        <v>7</v>
      </c>
      <c r="F114" s="11" t="str">
        <f aca="false">TEXT(A114,"mmm")</f>
        <v>Jul</v>
      </c>
      <c r="G114" s="11" t="s">
        <v>206</v>
      </c>
      <c r="H114" s="11" t="s">
        <v>204</v>
      </c>
      <c r="I114" s="12" t="n">
        <v>8901015</v>
      </c>
      <c r="J114" s="12" t="n">
        <v>2580874</v>
      </c>
      <c r="K114" s="13" t="n">
        <f aca="false">IF(I114=0,0,J114/I114)</f>
        <v>0.289952775048688</v>
      </c>
      <c r="L114" s="12" t="n">
        <v>1266786</v>
      </c>
      <c r="M114" s="12" t="n">
        <v>463033</v>
      </c>
      <c r="N114" s="12" t="n">
        <v>42690</v>
      </c>
      <c r="O114" s="12" t="n">
        <v>5803</v>
      </c>
      <c r="P114" s="12" t="n">
        <f aca="false">M114+N114+O114</f>
        <v>511526</v>
      </c>
      <c r="Q114" s="13" t="n">
        <f aca="false">IF(I114=0,0,P114/I114)</f>
        <v>0.0574682774941959</v>
      </c>
      <c r="R114" s="13" t="n">
        <v>0.0472</v>
      </c>
      <c r="S114" s="14" t="n">
        <v>3286718</v>
      </c>
      <c r="T114" s="14" t="n">
        <v>325119</v>
      </c>
      <c r="U114" s="14" t="n">
        <v>114967</v>
      </c>
      <c r="V114" s="14" t="n">
        <v>236133</v>
      </c>
      <c r="W114" s="14" t="n">
        <f aca="false">S114+T114+U114+V114</f>
        <v>3962937</v>
      </c>
      <c r="X114" s="15" t="n">
        <f aca="false">IF(P114=0,0,S114/P114)</f>
        <v>6.42531953409993</v>
      </c>
      <c r="Y114" s="15" t="n">
        <f aca="false">IF(J114=0,0,W114/J114)</f>
        <v>1.53550192686664</v>
      </c>
      <c r="Z114" s="14" t="n">
        <v>603750</v>
      </c>
      <c r="AA114" s="15" t="n">
        <f aca="false">IF(L114=0,0,Z114/L114)</f>
        <v>0.476599836120702</v>
      </c>
      <c r="AB114" s="12" t="n">
        <v>195194826</v>
      </c>
      <c r="AC114" s="16" t="n">
        <v>11.7</v>
      </c>
      <c r="AD114" s="16" t="n">
        <v>18.4</v>
      </c>
      <c r="AE114" s="13" t="n">
        <v>0.382</v>
      </c>
      <c r="AF114" s="13" t="n">
        <v>0.573</v>
      </c>
      <c r="AG114" s="13" t="n">
        <v>0.341</v>
      </c>
      <c r="AH114" s="13" t="n">
        <v>0.198</v>
      </c>
      <c r="AI114" s="17" t="n">
        <v>4.61</v>
      </c>
    </row>
    <row r="115" customFormat="false" ht="15" hidden="false" customHeight="false" outlineLevel="0" collapsed="false">
      <c r="A115" s="10" t="n">
        <v>45108</v>
      </c>
      <c r="B115" s="11" t="n">
        <f aca="false">YEAR(A115)</f>
        <v>2023</v>
      </c>
      <c r="C115" s="11" t="str">
        <f aca="false">"Q"&amp;ROUNDUP(MONTH(A115)/3,0)</f>
        <v>Q3</v>
      </c>
      <c r="D115" s="11" t="str">
        <f aca="false">B115&amp;"-"&amp;C115</f>
        <v>2023-Q3</v>
      </c>
      <c r="E115" s="11" t="n">
        <f aca="false">MONTH(A115)</f>
        <v>7</v>
      </c>
      <c r="F115" s="11" t="str">
        <f aca="false">TEXT(A115,"mmm")</f>
        <v>Jul</v>
      </c>
      <c r="G115" s="11" t="s">
        <v>206</v>
      </c>
      <c r="H115" s="11" t="s">
        <v>205</v>
      </c>
      <c r="I115" s="12" t="n">
        <v>2912314</v>
      </c>
      <c r="J115" s="12" t="n">
        <v>799457</v>
      </c>
      <c r="K115" s="13" t="n">
        <f aca="false">IF(I115=0,0,J115/I115)</f>
        <v>0.274509204708009</v>
      </c>
      <c r="L115" s="12" t="n">
        <v>355093</v>
      </c>
      <c r="M115" s="12" t="n">
        <v>129716</v>
      </c>
      <c r="N115" s="12" t="n">
        <v>12181</v>
      </c>
      <c r="O115" s="12" t="n">
        <v>1081</v>
      </c>
      <c r="P115" s="12" t="n">
        <f aca="false">M115+N115+O115</f>
        <v>142978</v>
      </c>
      <c r="Q115" s="13" t="n">
        <f aca="false">IF(I115=0,0,P115/I115)</f>
        <v>0.0490942940905411</v>
      </c>
      <c r="R115" s="13" t="n">
        <v>0.0494</v>
      </c>
      <c r="S115" s="14" t="n">
        <v>760527</v>
      </c>
      <c r="T115" s="14" t="n">
        <v>79729</v>
      </c>
      <c r="U115" s="14" t="n">
        <v>28202</v>
      </c>
      <c r="V115" s="14" t="n">
        <v>60264</v>
      </c>
      <c r="W115" s="14" t="n">
        <f aca="false">S115+T115+U115+V115</f>
        <v>928722</v>
      </c>
      <c r="X115" s="15" t="n">
        <f aca="false">IF(P115=0,0,S115/P115)</f>
        <v>5.31918896613465</v>
      </c>
      <c r="Y115" s="15" t="n">
        <f aca="false">IF(J115=0,0,W115/J115)</f>
        <v>1.16169099776473</v>
      </c>
      <c r="Z115" s="14" t="n">
        <v>202546</v>
      </c>
      <c r="AA115" s="15" t="n">
        <f aca="false">IF(L115=0,0,Z115/L115)</f>
        <v>0.570402683240729</v>
      </c>
      <c r="AB115" s="12" t="n">
        <v>58783623</v>
      </c>
      <c r="AC115" s="16" t="n">
        <v>10.2</v>
      </c>
      <c r="AD115" s="16" t="n">
        <v>19.2</v>
      </c>
      <c r="AE115" s="13" t="n">
        <v>0.374</v>
      </c>
      <c r="AF115" s="13" t="n">
        <v>0.566</v>
      </c>
      <c r="AG115" s="13" t="n">
        <v>0.334</v>
      </c>
      <c r="AH115" s="13" t="n">
        <v>0.202</v>
      </c>
      <c r="AI115" s="17"/>
    </row>
    <row r="116" customFormat="false" ht="15" hidden="false" customHeight="false" outlineLevel="0" collapsed="false">
      <c r="A116" s="10" t="n">
        <v>45108</v>
      </c>
      <c r="B116" s="11" t="n">
        <f aca="false">YEAR(A116)</f>
        <v>2023</v>
      </c>
      <c r="C116" s="11" t="str">
        <f aca="false">"Q"&amp;ROUNDUP(MONTH(A116)/3,0)</f>
        <v>Q3</v>
      </c>
      <c r="D116" s="11" t="str">
        <f aca="false">B116&amp;"-"&amp;C116</f>
        <v>2023-Q3</v>
      </c>
      <c r="E116" s="11" t="n">
        <f aca="false">MONTH(A116)</f>
        <v>7</v>
      </c>
      <c r="F116" s="11" t="str">
        <f aca="false">TEXT(A116,"mmm")</f>
        <v>Jul</v>
      </c>
      <c r="G116" s="11" t="s">
        <v>207</v>
      </c>
      <c r="H116" s="11" t="s">
        <v>203</v>
      </c>
      <c r="I116" s="12" t="n">
        <v>5216487</v>
      </c>
      <c r="J116" s="12" t="n">
        <v>1551783</v>
      </c>
      <c r="K116" s="13" t="n">
        <f aca="false">IF(I116=0,0,J116/I116)</f>
        <v>0.297476635137785</v>
      </c>
      <c r="L116" s="12" t="n">
        <v>691420</v>
      </c>
      <c r="M116" s="12" t="n">
        <v>353196</v>
      </c>
      <c r="N116" s="12" t="n">
        <v>29851</v>
      </c>
      <c r="O116" s="12" t="n">
        <v>4100</v>
      </c>
      <c r="P116" s="12" t="n">
        <f aca="false">M116+N116+O116</f>
        <v>387147</v>
      </c>
      <c r="Q116" s="13" t="n">
        <f aca="false">IF(I116=0,0,P116/I116)</f>
        <v>0.0742160384948721</v>
      </c>
      <c r="R116" s="13" t="n">
        <v>0.0465</v>
      </c>
      <c r="S116" s="14" t="n">
        <v>2488780</v>
      </c>
      <c r="T116" s="14" t="n">
        <v>251832</v>
      </c>
      <c r="U116" s="14" t="n">
        <v>89393</v>
      </c>
      <c r="V116" s="14" t="n">
        <v>180544</v>
      </c>
      <c r="W116" s="14" t="n">
        <f aca="false">S116+T116+U116+V116</f>
        <v>3010549</v>
      </c>
      <c r="X116" s="15" t="n">
        <f aca="false">IF(P116=0,0,S116/P116)</f>
        <v>6.42851423361152</v>
      </c>
      <c r="Y116" s="15" t="n">
        <f aca="false">IF(J116=0,0,W116/J116)</f>
        <v>1.94005798491155</v>
      </c>
      <c r="Z116" s="14" t="n">
        <v>523452</v>
      </c>
      <c r="AA116" s="15" t="n">
        <f aca="false">IF(L116=0,0,Z116/L116)</f>
        <v>0.757068062827225</v>
      </c>
      <c r="AB116" s="12" t="n">
        <v>112809237</v>
      </c>
      <c r="AC116" s="16" t="n">
        <v>12</v>
      </c>
      <c r="AD116" s="16" t="n">
        <v>18.2</v>
      </c>
      <c r="AE116" s="13" t="n">
        <v>0.38</v>
      </c>
      <c r="AF116" s="13" t="n">
        <v>0.569</v>
      </c>
      <c r="AG116" s="13" t="n">
        <v>0.325</v>
      </c>
      <c r="AH116" s="13" t="n">
        <v>0.19</v>
      </c>
      <c r="AI116" s="17" t="n">
        <v>4.68</v>
      </c>
    </row>
    <row r="117" customFormat="false" ht="15" hidden="false" customHeight="false" outlineLevel="0" collapsed="false">
      <c r="A117" s="10" t="n">
        <v>45108</v>
      </c>
      <c r="B117" s="11" t="n">
        <f aca="false">YEAR(A117)</f>
        <v>2023</v>
      </c>
      <c r="C117" s="11" t="str">
        <f aca="false">"Q"&amp;ROUNDUP(MONTH(A117)/3,0)</f>
        <v>Q3</v>
      </c>
      <c r="D117" s="11" t="str">
        <f aca="false">B117&amp;"-"&amp;C117</f>
        <v>2023-Q3</v>
      </c>
      <c r="E117" s="11" t="n">
        <f aca="false">MONTH(A117)</f>
        <v>7</v>
      </c>
      <c r="F117" s="11" t="str">
        <f aca="false">TEXT(A117,"mmm")</f>
        <v>Jul</v>
      </c>
      <c r="G117" s="11" t="s">
        <v>207</v>
      </c>
      <c r="H117" s="11" t="s">
        <v>204</v>
      </c>
      <c r="I117" s="12" t="n">
        <v>6657879</v>
      </c>
      <c r="J117" s="12" t="n">
        <v>1836100</v>
      </c>
      <c r="K117" s="13" t="n">
        <f aca="false">IF(I117=0,0,J117/I117)</f>
        <v>0.27577851745278</v>
      </c>
      <c r="L117" s="12" t="n">
        <v>762679</v>
      </c>
      <c r="M117" s="12" t="n">
        <v>202907</v>
      </c>
      <c r="N117" s="12" t="n">
        <v>18721</v>
      </c>
      <c r="O117" s="12" t="n">
        <v>1774</v>
      </c>
      <c r="P117" s="12" t="n">
        <f aca="false">M117+N117+O117</f>
        <v>223402</v>
      </c>
      <c r="Q117" s="13" t="n">
        <f aca="false">IF(I117=0,0,P117/I117)</f>
        <v>0.0335545299035924</v>
      </c>
      <c r="R117" s="13" t="n">
        <v>0.0462</v>
      </c>
      <c r="S117" s="14" t="n">
        <v>1422550</v>
      </c>
      <c r="T117" s="14" t="n">
        <v>142134</v>
      </c>
      <c r="U117" s="14" t="n">
        <v>47485</v>
      </c>
      <c r="V117" s="14" t="n">
        <v>107621</v>
      </c>
      <c r="W117" s="14" t="n">
        <f aca="false">S117+T117+U117+V117</f>
        <v>1719790</v>
      </c>
      <c r="X117" s="15" t="n">
        <f aca="false">IF(P117=0,0,S117/P117)</f>
        <v>6.36766904503988</v>
      </c>
      <c r="Y117" s="15" t="n">
        <f aca="false">IF(J117=0,0,W117/J117)</f>
        <v>0.936653777027395</v>
      </c>
      <c r="Z117" s="14" t="n">
        <v>353640</v>
      </c>
      <c r="AA117" s="15" t="n">
        <f aca="false">IF(L117=0,0,Z117/L117)</f>
        <v>0.463681312845902</v>
      </c>
      <c r="AB117" s="12" t="n">
        <v>136524182</v>
      </c>
      <c r="AC117" s="16" t="n">
        <v>11.5</v>
      </c>
      <c r="AD117" s="16" t="n">
        <v>18.1</v>
      </c>
      <c r="AE117" s="13" t="n">
        <v>0.378</v>
      </c>
      <c r="AF117" s="13" t="n">
        <v>0.577</v>
      </c>
      <c r="AG117" s="13" t="n">
        <v>0.325</v>
      </c>
      <c r="AH117" s="13" t="n">
        <v>0.198</v>
      </c>
      <c r="AI117" s="17" t="n">
        <v>4.63</v>
      </c>
    </row>
    <row r="118" customFormat="false" ht="15" hidden="false" customHeight="false" outlineLevel="0" collapsed="false">
      <c r="A118" s="10" t="n">
        <v>45108</v>
      </c>
      <c r="B118" s="11" t="n">
        <f aca="false">YEAR(A118)</f>
        <v>2023</v>
      </c>
      <c r="C118" s="11" t="str">
        <f aca="false">"Q"&amp;ROUNDUP(MONTH(A118)/3,0)</f>
        <v>Q3</v>
      </c>
      <c r="D118" s="11" t="str">
        <f aca="false">B118&amp;"-"&amp;C118</f>
        <v>2023-Q3</v>
      </c>
      <c r="E118" s="11" t="n">
        <f aca="false">MONTH(A118)</f>
        <v>7</v>
      </c>
      <c r="F118" s="11" t="str">
        <f aca="false">TEXT(A118,"mmm")</f>
        <v>Jul</v>
      </c>
      <c r="G118" s="11" t="s">
        <v>207</v>
      </c>
      <c r="H118" s="11" t="s">
        <v>205</v>
      </c>
      <c r="I118" s="12" t="n">
        <v>2087032</v>
      </c>
      <c r="J118" s="12" t="n">
        <v>516775</v>
      </c>
      <c r="K118" s="13" t="n">
        <f aca="false">IF(I118=0,0,J118/I118)</f>
        <v>0.247612398851575</v>
      </c>
      <c r="L118" s="12" t="n">
        <v>227140</v>
      </c>
      <c r="M118" s="12" t="n">
        <v>54977</v>
      </c>
      <c r="N118" s="12" t="n">
        <v>5281</v>
      </c>
      <c r="O118" s="12" t="n">
        <v>321</v>
      </c>
      <c r="P118" s="12" t="n">
        <f aca="false">M118+N118+O118</f>
        <v>60579</v>
      </c>
      <c r="Q118" s="13" t="n">
        <f aca="false">IF(I118=0,0,P118/I118)</f>
        <v>0.0290263877123111</v>
      </c>
      <c r="R118" s="13" t="n">
        <v>0.0469</v>
      </c>
      <c r="S118" s="14" t="n">
        <v>359676</v>
      </c>
      <c r="T118" s="14" t="n">
        <v>35554</v>
      </c>
      <c r="U118" s="14" t="n">
        <v>13663</v>
      </c>
      <c r="V118" s="14" t="n">
        <v>29715</v>
      </c>
      <c r="W118" s="14" t="n">
        <f aca="false">S118+T118+U118+V118</f>
        <v>438608</v>
      </c>
      <c r="X118" s="15" t="n">
        <f aca="false">IF(P118=0,0,S118/P118)</f>
        <v>5.93730500668549</v>
      </c>
      <c r="Y118" s="15" t="n">
        <f aca="false">IF(J118=0,0,W118/J118)</f>
        <v>0.848740747907697</v>
      </c>
      <c r="Z118" s="14" t="n">
        <v>79556</v>
      </c>
      <c r="AA118" s="15" t="n">
        <f aca="false">IF(L118=0,0,Z118/L118)</f>
        <v>0.350250946552787</v>
      </c>
      <c r="AB118" s="12" t="n">
        <v>37595499</v>
      </c>
      <c r="AC118" s="16" t="n">
        <v>10.2</v>
      </c>
      <c r="AD118" s="16" t="n">
        <v>19.3</v>
      </c>
      <c r="AE118" s="13" t="n">
        <v>0.362</v>
      </c>
      <c r="AF118" s="13" t="n">
        <v>0.566</v>
      </c>
      <c r="AG118" s="13" t="n">
        <v>0.343</v>
      </c>
      <c r="AH118" s="13" t="n">
        <v>0.194</v>
      </c>
      <c r="AI118" s="17"/>
    </row>
    <row r="119" customFormat="false" ht="15" hidden="false" customHeight="false" outlineLevel="0" collapsed="false">
      <c r="A119" s="10" t="n">
        <v>45108</v>
      </c>
      <c r="B119" s="11" t="n">
        <f aca="false">YEAR(A119)</f>
        <v>2023</v>
      </c>
      <c r="C119" s="11" t="str">
        <f aca="false">"Q"&amp;ROUNDUP(MONTH(A119)/3,0)</f>
        <v>Q3</v>
      </c>
      <c r="D119" s="11" t="str">
        <f aca="false">B119&amp;"-"&amp;C119</f>
        <v>2023-Q3</v>
      </c>
      <c r="E119" s="11" t="n">
        <f aca="false">MONTH(A119)</f>
        <v>7</v>
      </c>
      <c r="F119" s="11" t="str">
        <f aca="false">TEXT(A119,"mmm")</f>
        <v>Jul</v>
      </c>
      <c r="G119" s="11" t="s">
        <v>208</v>
      </c>
      <c r="H119" s="11" t="s">
        <v>203</v>
      </c>
      <c r="I119" s="12" t="n">
        <v>4417545</v>
      </c>
      <c r="J119" s="12" t="n">
        <v>1382751</v>
      </c>
      <c r="K119" s="13" t="n">
        <f aca="false">IF(I119=0,0,J119/I119)</f>
        <v>0.313013449778101</v>
      </c>
      <c r="L119" s="12" t="n">
        <v>688560</v>
      </c>
      <c r="M119" s="12" t="n">
        <v>166610</v>
      </c>
      <c r="N119" s="12" t="n">
        <v>15858</v>
      </c>
      <c r="O119" s="12" t="n">
        <v>1391</v>
      </c>
      <c r="P119" s="12" t="n">
        <f aca="false">M119+N119+O119</f>
        <v>183859</v>
      </c>
      <c r="Q119" s="13" t="n">
        <f aca="false">IF(I119=0,0,P119/I119)</f>
        <v>0.0416201759121865</v>
      </c>
      <c r="R119" s="13" t="n">
        <v>0.0451</v>
      </c>
      <c r="S119" s="14" t="n">
        <v>1228495</v>
      </c>
      <c r="T119" s="14" t="n">
        <v>117020</v>
      </c>
      <c r="U119" s="14" t="n">
        <v>42790</v>
      </c>
      <c r="V119" s="14" t="n">
        <v>106124</v>
      </c>
      <c r="W119" s="14" t="n">
        <f aca="false">S119+T119+U119+V119</f>
        <v>1494429</v>
      </c>
      <c r="X119" s="15" t="n">
        <f aca="false">IF(P119=0,0,S119/P119)</f>
        <v>6.68172349463448</v>
      </c>
      <c r="Y119" s="15" t="n">
        <f aca="false">IF(J119=0,0,W119/J119)</f>
        <v>1.08076508351829</v>
      </c>
      <c r="Z119" s="14" t="n">
        <v>289458</v>
      </c>
      <c r="AA119" s="15" t="n">
        <f aca="false">IF(L119=0,0,Z119/L119)</f>
        <v>0.420381666085744</v>
      </c>
      <c r="AB119" s="12" t="n">
        <v>98510157</v>
      </c>
      <c r="AC119" s="16" t="n">
        <v>11.9</v>
      </c>
      <c r="AD119" s="16" t="n">
        <v>17.7</v>
      </c>
      <c r="AE119" s="13" t="n">
        <v>0.381</v>
      </c>
      <c r="AF119" s="13" t="n">
        <v>0.563</v>
      </c>
      <c r="AG119" s="13" t="n">
        <v>0.335</v>
      </c>
      <c r="AH119" s="13" t="n">
        <v>0.194</v>
      </c>
      <c r="AI119" s="17" t="n">
        <v>4.7</v>
      </c>
    </row>
    <row r="120" customFormat="false" ht="15" hidden="false" customHeight="false" outlineLevel="0" collapsed="false">
      <c r="A120" s="10" t="n">
        <v>45108</v>
      </c>
      <c r="B120" s="11" t="n">
        <f aca="false">YEAR(A120)</f>
        <v>2023</v>
      </c>
      <c r="C120" s="11" t="str">
        <f aca="false">"Q"&amp;ROUNDUP(MONTH(A120)/3,0)</f>
        <v>Q3</v>
      </c>
      <c r="D120" s="11" t="str">
        <f aca="false">B120&amp;"-"&amp;C120</f>
        <v>2023-Q3</v>
      </c>
      <c r="E120" s="11" t="n">
        <f aca="false">MONTH(A120)</f>
        <v>7</v>
      </c>
      <c r="F120" s="11" t="str">
        <f aca="false">TEXT(A120,"mmm")</f>
        <v>Jul</v>
      </c>
      <c r="G120" s="11" t="s">
        <v>208</v>
      </c>
      <c r="H120" s="11" t="s">
        <v>204</v>
      </c>
      <c r="I120" s="12" t="n">
        <v>5690367</v>
      </c>
      <c r="J120" s="12" t="n">
        <v>1666246</v>
      </c>
      <c r="K120" s="13" t="n">
        <f aca="false">IF(I120=0,0,J120/I120)</f>
        <v>0.292818723291485</v>
      </c>
      <c r="L120" s="12" t="n">
        <v>726174</v>
      </c>
      <c r="M120" s="12" t="n">
        <v>97698</v>
      </c>
      <c r="N120" s="12" t="n">
        <v>8944</v>
      </c>
      <c r="O120" s="12" t="n">
        <v>608</v>
      </c>
      <c r="P120" s="12" t="n">
        <f aca="false">M120+N120+O120</f>
        <v>107250</v>
      </c>
      <c r="Q120" s="13" t="n">
        <f aca="false">IF(I120=0,0,P120/I120)</f>
        <v>0.018847641988645</v>
      </c>
      <c r="R120" s="13" t="n">
        <v>0.0465</v>
      </c>
      <c r="S120" s="14" t="n">
        <v>707944</v>
      </c>
      <c r="T120" s="14" t="n">
        <v>61089</v>
      </c>
      <c r="U120" s="14" t="n">
        <v>27375</v>
      </c>
      <c r="V120" s="14" t="n">
        <v>55131</v>
      </c>
      <c r="W120" s="14" t="n">
        <f aca="false">S120+T120+U120+V120</f>
        <v>851539</v>
      </c>
      <c r="X120" s="15" t="n">
        <f aca="false">IF(P120=0,0,S120/P120)</f>
        <v>6.60087645687646</v>
      </c>
      <c r="Y120" s="15" t="n">
        <f aca="false">IF(J120=0,0,W120/J120)</f>
        <v>0.511052389623141</v>
      </c>
      <c r="Z120" s="14" t="n">
        <v>162592</v>
      </c>
      <c r="AA120" s="15" t="n">
        <f aca="false">IF(L120=0,0,Z120/L120)</f>
        <v>0.223902260339808</v>
      </c>
      <c r="AB120" s="12" t="n">
        <v>124094427</v>
      </c>
      <c r="AC120" s="16" t="n">
        <v>11.6</v>
      </c>
      <c r="AD120" s="16" t="n">
        <v>19.9</v>
      </c>
      <c r="AE120" s="13" t="n">
        <v>0.387</v>
      </c>
      <c r="AF120" s="13" t="n">
        <v>0.562</v>
      </c>
      <c r="AG120" s="13" t="n">
        <v>0.342</v>
      </c>
      <c r="AH120" s="13" t="n">
        <v>0.197</v>
      </c>
      <c r="AI120" s="17" t="n">
        <v>4.6</v>
      </c>
    </row>
    <row r="121" customFormat="false" ht="15" hidden="false" customHeight="false" outlineLevel="0" collapsed="false">
      <c r="A121" s="10" t="n">
        <v>45108</v>
      </c>
      <c r="B121" s="11" t="n">
        <f aca="false">YEAR(A121)</f>
        <v>2023</v>
      </c>
      <c r="C121" s="11" t="str">
        <f aca="false">"Q"&amp;ROUNDUP(MONTH(A121)/3,0)</f>
        <v>Q3</v>
      </c>
      <c r="D121" s="11" t="str">
        <f aca="false">B121&amp;"-"&amp;C121</f>
        <v>2023-Q3</v>
      </c>
      <c r="E121" s="11" t="n">
        <f aca="false">MONTH(A121)</f>
        <v>7</v>
      </c>
      <c r="F121" s="11" t="str">
        <f aca="false">TEXT(A121,"mmm")</f>
        <v>Jul</v>
      </c>
      <c r="G121" s="11" t="s">
        <v>208</v>
      </c>
      <c r="H121" s="11" t="s">
        <v>205</v>
      </c>
      <c r="I121" s="12" t="n">
        <v>1857274</v>
      </c>
      <c r="J121" s="12" t="n">
        <v>464753</v>
      </c>
      <c r="K121" s="13" t="n">
        <f aca="false">IF(I121=0,0,J121/I121)</f>
        <v>0.250233945018344</v>
      </c>
      <c r="L121" s="12" t="n">
        <v>209358</v>
      </c>
      <c r="M121" s="12" t="n">
        <v>27392</v>
      </c>
      <c r="N121" s="12" t="n">
        <v>2660</v>
      </c>
      <c r="O121" s="12" t="n">
        <v>114</v>
      </c>
      <c r="P121" s="12" t="n">
        <f aca="false">M121+N121+O121</f>
        <v>30166</v>
      </c>
      <c r="Q121" s="13" t="n">
        <f aca="false">IF(I121=0,0,P121/I121)</f>
        <v>0.0162420838282343</v>
      </c>
      <c r="R121" s="13" t="n">
        <v>0.0492</v>
      </c>
      <c r="S121" s="14" t="n">
        <v>192540</v>
      </c>
      <c r="T121" s="14" t="n">
        <v>17892</v>
      </c>
      <c r="U121" s="14" t="n">
        <v>6638</v>
      </c>
      <c r="V121" s="14" t="n">
        <v>15314</v>
      </c>
      <c r="W121" s="14" t="n">
        <f aca="false">S121+T121+U121+V121</f>
        <v>232384</v>
      </c>
      <c r="X121" s="15" t="n">
        <f aca="false">IF(P121=0,0,S121/P121)</f>
        <v>6.38268249022078</v>
      </c>
      <c r="Y121" s="15" t="n">
        <f aca="false">IF(J121=0,0,W121/J121)</f>
        <v>0.500016137604276</v>
      </c>
      <c r="Z121" s="14" t="n">
        <v>39763</v>
      </c>
      <c r="AA121" s="15" t="n">
        <f aca="false">IF(L121=0,0,Z121/L121)</f>
        <v>0.189928256861453</v>
      </c>
      <c r="AB121" s="12" t="n">
        <v>33388362</v>
      </c>
      <c r="AC121" s="16" t="n">
        <v>10.5</v>
      </c>
      <c r="AD121" s="16" t="n">
        <v>18.9</v>
      </c>
      <c r="AE121" s="13" t="n">
        <v>0.382</v>
      </c>
      <c r="AF121" s="13" t="n">
        <v>0.564</v>
      </c>
      <c r="AG121" s="13" t="n">
        <v>0.338</v>
      </c>
      <c r="AH121" s="13" t="n">
        <v>0.192</v>
      </c>
      <c r="AI121" s="17"/>
    </row>
    <row r="122" customFormat="false" ht="15" hidden="false" customHeight="false" outlineLevel="0" collapsed="false">
      <c r="A122" s="10" t="n">
        <v>45108</v>
      </c>
      <c r="B122" s="11" t="n">
        <f aca="false">YEAR(A122)</f>
        <v>2023</v>
      </c>
      <c r="C122" s="11" t="str">
        <f aca="false">"Q"&amp;ROUNDUP(MONTH(A122)/3,0)</f>
        <v>Q3</v>
      </c>
      <c r="D122" s="11" t="str">
        <f aca="false">B122&amp;"-"&amp;C122</f>
        <v>2023-Q3</v>
      </c>
      <c r="E122" s="11" t="n">
        <f aca="false">MONTH(A122)</f>
        <v>7</v>
      </c>
      <c r="F122" s="11" t="str">
        <f aca="false">TEXT(A122,"mmm")</f>
        <v>Jul</v>
      </c>
      <c r="G122" s="11" t="s">
        <v>209</v>
      </c>
      <c r="H122" s="11" t="s">
        <v>203</v>
      </c>
      <c r="I122" s="12" t="n">
        <v>2737266</v>
      </c>
      <c r="J122" s="12" t="n">
        <v>821059</v>
      </c>
      <c r="K122" s="13" t="n">
        <f aca="false">IF(I122=0,0,J122/I122)</f>
        <v>0.299955868373772</v>
      </c>
      <c r="L122" s="12" t="n">
        <v>347388</v>
      </c>
      <c r="M122" s="12" t="n">
        <v>62972</v>
      </c>
      <c r="N122" s="12" t="n">
        <v>6294</v>
      </c>
      <c r="O122" s="12" t="n">
        <v>422</v>
      </c>
      <c r="P122" s="12" t="n">
        <f aca="false">M122+N122+O122</f>
        <v>69688</v>
      </c>
      <c r="Q122" s="13" t="n">
        <f aca="false">IF(I122=0,0,P122/I122)</f>
        <v>0.0254589798726174</v>
      </c>
      <c r="R122" s="13" t="n">
        <v>0.0462</v>
      </c>
      <c r="S122" s="14" t="n">
        <v>455350</v>
      </c>
      <c r="T122" s="14" t="n">
        <v>44611</v>
      </c>
      <c r="U122" s="14" t="n">
        <v>16100</v>
      </c>
      <c r="V122" s="14" t="n">
        <v>38230</v>
      </c>
      <c r="W122" s="14" t="n">
        <f aca="false">S122+T122+U122+V122</f>
        <v>554291</v>
      </c>
      <c r="X122" s="15" t="n">
        <f aca="false">IF(P122=0,0,S122/P122)</f>
        <v>6.5341235219837</v>
      </c>
      <c r="Y122" s="15" t="n">
        <f aca="false">IF(J122=0,0,W122/J122)</f>
        <v>0.675092776523977</v>
      </c>
      <c r="Z122" s="14" t="n">
        <v>97564</v>
      </c>
      <c r="AA122" s="15" t="n">
        <f aca="false">IF(L122=0,0,Z122/L122)</f>
        <v>0.280850230865775</v>
      </c>
      <c r="AB122" s="12" t="n">
        <v>61097972</v>
      </c>
      <c r="AC122" s="16" t="n">
        <v>11.9</v>
      </c>
      <c r="AD122" s="16" t="n">
        <v>19</v>
      </c>
      <c r="AE122" s="13" t="n">
        <v>0.365</v>
      </c>
      <c r="AF122" s="13" t="n">
        <v>0.561</v>
      </c>
      <c r="AG122" s="13" t="n">
        <v>0.335</v>
      </c>
      <c r="AH122" s="13" t="n">
        <v>0.2</v>
      </c>
      <c r="AI122" s="17" t="n">
        <v>4.65</v>
      </c>
    </row>
    <row r="123" customFormat="false" ht="15" hidden="false" customHeight="false" outlineLevel="0" collapsed="false">
      <c r="A123" s="10" t="n">
        <v>45108</v>
      </c>
      <c r="B123" s="11" t="n">
        <f aca="false">YEAR(A123)</f>
        <v>2023</v>
      </c>
      <c r="C123" s="11" t="str">
        <f aca="false">"Q"&amp;ROUNDUP(MONTH(A123)/3,0)</f>
        <v>Q3</v>
      </c>
      <c r="D123" s="11" t="str">
        <f aca="false">B123&amp;"-"&amp;C123</f>
        <v>2023-Q3</v>
      </c>
      <c r="E123" s="11" t="n">
        <f aca="false">MONTH(A123)</f>
        <v>7</v>
      </c>
      <c r="F123" s="11" t="str">
        <f aca="false">TEXT(A123,"mmm")</f>
        <v>Jul</v>
      </c>
      <c r="G123" s="11" t="s">
        <v>209</v>
      </c>
      <c r="H123" s="11" t="s">
        <v>204</v>
      </c>
      <c r="I123" s="12" t="n">
        <v>3733868</v>
      </c>
      <c r="J123" s="12" t="n">
        <v>1009617</v>
      </c>
      <c r="K123" s="13" t="n">
        <f aca="false">IF(I123=0,0,J123/I123)</f>
        <v>0.270394400659048</v>
      </c>
      <c r="L123" s="12" t="n">
        <v>396234</v>
      </c>
      <c r="M123" s="12" t="n">
        <v>33981</v>
      </c>
      <c r="N123" s="12" t="n">
        <v>3115</v>
      </c>
      <c r="O123" s="12" t="n">
        <v>169</v>
      </c>
      <c r="P123" s="12" t="n">
        <f aca="false">M123+N123+O123</f>
        <v>37265</v>
      </c>
      <c r="Q123" s="13" t="n">
        <f aca="false">IF(I123=0,0,P123/I123)</f>
        <v>0.00998026711174578</v>
      </c>
      <c r="R123" s="13" t="n">
        <v>0.0476</v>
      </c>
      <c r="S123" s="14" t="n">
        <v>239986</v>
      </c>
      <c r="T123" s="14" t="n">
        <v>23503</v>
      </c>
      <c r="U123" s="14" t="n">
        <v>8457</v>
      </c>
      <c r="V123" s="14" t="n">
        <v>18258</v>
      </c>
      <c r="W123" s="14" t="n">
        <f aca="false">S123+T123+U123+V123</f>
        <v>290204</v>
      </c>
      <c r="X123" s="15" t="n">
        <f aca="false">IF(P123=0,0,S123/P123)</f>
        <v>6.43998389910103</v>
      </c>
      <c r="Y123" s="15" t="n">
        <f aca="false">IF(J123=0,0,W123/J123)</f>
        <v>0.287439692477444</v>
      </c>
      <c r="Z123" s="14" t="n">
        <v>51553</v>
      </c>
      <c r="AA123" s="15" t="n">
        <f aca="false">IF(L123=0,0,Z123/L123)</f>
        <v>0.130107461752399</v>
      </c>
      <c r="AB123" s="12" t="n">
        <v>84415367</v>
      </c>
      <c r="AC123" s="16" t="n">
        <v>11.5</v>
      </c>
      <c r="AD123" s="16" t="n">
        <v>19.1</v>
      </c>
      <c r="AE123" s="13" t="n">
        <v>0.373</v>
      </c>
      <c r="AF123" s="13" t="n">
        <v>0.576</v>
      </c>
      <c r="AG123" s="13" t="n">
        <v>0.34</v>
      </c>
      <c r="AH123" s="13" t="n">
        <v>0.194</v>
      </c>
      <c r="AI123" s="17" t="n">
        <v>4.6</v>
      </c>
    </row>
    <row r="124" customFormat="false" ht="15" hidden="false" customHeight="false" outlineLevel="0" collapsed="false">
      <c r="A124" s="10" t="n">
        <v>45108</v>
      </c>
      <c r="B124" s="11" t="n">
        <f aca="false">YEAR(A124)</f>
        <v>2023</v>
      </c>
      <c r="C124" s="11" t="str">
        <f aca="false">"Q"&amp;ROUNDUP(MONTH(A124)/3,0)</f>
        <v>Q3</v>
      </c>
      <c r="D124" s="11" t="str">
        <f aca="false">B124&amp;"-"&amp;C124</f>
        <v>2023-Q3</v>
      </c>
      <c r="E124" s="11" t="n">
        <f aca="false">MONTH(A124)</f>
        <v>7</v>
      </c>
      <c r="F124" s="11" t="str">
        <f aca="false">TEXT(A124,"mmm")</f>
        <v>Jul</v>
      </c>
      <c r="G124" s="11" t="s">
        <v>209</v>
      </c>
      <c r="H124" s="11" t="s">
        <v>205</v>
      </c>
      <c r="I124" s="12" t="n">
        <v>1084906</v>
      </c>
      <c r="J124" s="12" t="n">
        <v>266507</v>
      </c>
      <c r="K124" s="13" t="n">
        <f aca="false">IF(I124=0,0,J124/I124)</f>
        <v>0.245649853535698</v>
      </c>
      <c r="L124" s="12" t="n">
        <v>120886</v>
      </c>
      <c r="M124" s="12" t="n">
        <v>9723</v>
      </c>
      <c r="N124" s="12" t="n">
        <v>1006</v>
      </c>
      <c r="O124" s="12" t="n">
        <v>33</v>
      </c>
      <c r="P124" s="12" t="n">
        <f aca="false">M124+N124+O124</f>
        <v>10762</v>
      </c>
      <c r="Q124" s="13" t="n">
        <f aca="false">IF(I124=0,0,P124/I124)</f>
        <v>0.00991975341642502</v>
      </c>
      <c r="R124" s="13" t="n">
        <v>0.0489</v>
      </c>
      <c r="S124" s="14" t="n">
        <v>65192</v>
      </c>
      <c r="T124" s="14" t="n">
        <v>5892</v>
      </c>
      <c r="U124" s="14" t="n">
        <v>2367</v>
      </c>
      <c r="V124" s="14" t="n">
        <v>4799</v>
      </c>
      <c r="W124" s="14" t="n">
        <f aca="false">S124+T124+U124+V124</f>
        <v>78250</v>
      </c>
      <c r="X124" s="15" t="n">
        <f aca="false">IF(P124=0,0,S124/P124)</f>
        <v>6.05761010964505</v>
      </c>
      <c r="Y124" s="15" t="n">
        <f aca="false">IF(J124=0,0,W124/J124)</f>
        <v>0.293613300963952</v>
      </c>
      <c r="Z124" s="14" t="n">
        <v>15249</v>
      </c>
      <c r="AA124" s="15" t="n">
        <f aca="false">IF(L124=0,0,Z124/L124)</f>
        <v>0.126143639461972</v>
      </c>
      <c r="AB124" s="12" t="n">
        <v>20038307</v>
      </c>
      <c r="AC124" s="16" t="n">
        <v>10.4</v>
      </c>
      <c r="AD124" s="16" t="n">
        <v>18.6</v>
      </c>
      <c r="AE124" s="13" t="n">
        <v>0.367</v>
      </c>
      <c r="AF124" s="13" t="n">
        <v>0.562</v>
      </c>
      <c r="AG124" s="13" t="n">
        <v>0.345</v>
      </c>
      <c r="AH124" s="13" t="n">
        <v>0.193</v>
      </c>
      <c r="AI124" s="17"/>
    </row>
    <row r="125" customFormat="false" ht="15" hidden="false" customHeight="false" outlineLevel="0" collapsed="false">
      <c r="A125" s="10" t="n">
        <v>45108</v>
      </c>
      <c r="B125" s="11" t="n">
        <f aca="false">YEAR(A125)</f>
        <v>2023</v>
      </c>
      <c r="C125" s="11" t="str">
        <f aca="false">"Q"&amp;ROUNDUP(MONTH(A125)/3,0)</f>
        <v>Q3</v>
      </c>
      <c r="D125" s="11" t="str">
        <f aca="false">B125&amp;"-"&amp;C125</f>
        <v>2023-Q3</v>
      </c>
      <c r="E125" s="11" t="n">
        <f aca="false">MONTH(A125)</f>
        <v>7</v>
      </c>
      <c r="F125" s="11" t="str">
        <f aca="false">TEXT(A125,"mmm")</f>
        <v>Jul</v>
      </c>
      <c r="G125" s="11" t="s">
        <v>210</v>
      </c>
      <c r="H125" s="11" t="s">
        <v>203</v>
      </c>
      <c r="I125" s="12" t="n">
        <v>4184971</v>
      </c>
      <c r="J125" s="12" t="n">
        <v>1203226</v>
      </c>
      <c r="K125" s="13" t="n">
        <f aca="false">IF(I125=0,0,J125/I125)</f>
        <v>0.287511191833826</v>
      </c>
      <c r="L125" s="12" t="n">
        <v>554196</v>
      </c>
      <c r="M125" s="12" t="n">
        <v>121985</v>
      </c>
      <c r="N125" s="12" t="n">
        <v>10857</v>
      </c>
      <c r="O125" s="12" t="n">
        <v>809</v>
      </c>
      <c r="P125" s="12" t="n">
        <f aca="false">M125+N125+O125</f>
        <v>133651</v>
      </c>
      <c r="Q125" s="13" t="n">
        <f aca="false">IF(I125=0,0,P125/I125)</f>
        <v>0.0319359441200429</v>
      </c>
      <c r="R125" s="13" t="n">
        <v>0.0439</v>
      </c>
      <c r="S125" s="14" t="n">
        <v>847293</v>
      </c>
      <c r="T125" s="14" t="n">
        <v>77494</v>
      </c>
      <c r="U125" s="14" t="n">
        <v>31303</v>
      </c>
      <c r="V125" s="14" t="n">
        <v>69428</v>
      </c>
      <c r="W125" s="14" t="n">
        <f aca="false">S125+T125+U125+V125</f>
        <v>1025518</v>
      </c>
      <c r="X125" s="15" t="n">
        <f aca="false">IF(P125=0,0,S125/P125)</f>
        <v>6.33959341867999</v>
      </c>
      <c r="Y125" s="15" t="n">
        <f aca="false">IF(J125=0,0,W125/J125)</f>
        <v>0.852307047886266</v>
      </c>
      <c r="Z125" s="14" t="n">
        <v>173057</v>
      </c>
      <c r="AA125" s="15" t="n">
        <f aca="false">IF(L125=0,0,Z125/L125)</f>
        <v>0.31226677926221</v>
      </c>
      <c r="AB125" s="12" t="n">
        <v>89914785</v>
      </c>
      <c r="AC125" s="16" t="n">
        <v>11.7</v>
      </c>
      <c r="AD125" s="16" t="n">
        <v>19.6</v>
      </c>
      <c r="AE125" s="13" t="n">
        <v>0.384</v>
      </c>
      <c r="AF125" s="13" t="n">
        <v>0.565</v>
      </c>
      <c r="AG125" s="13" t="n">
        <v>0.351</v>
      </c>
      <c r="AH125" s="13" t="n">
        <v>0.188</v>
      </c>
      <c r="AI125" s="17" t="n">
        <v>4.68</v>
      </c>
    </row>
    <row r="126" customFormat="false" ht="15" hidden="false" customHeight="false" outlineLevel="0" collapsed="false">
      <c r="A126" s="10" t="n">
        <v>45108</v>
      </c>
      <c r="B126" s="11" t="n">
        <f aca="false">YEAR(A126)</f>
        <v>2023</v>
      </c>
      <c r="C126" s="11" t="str">
        <f aca="false">"Q"&amp;ROUNDUP(MONTH(A126)/3,0)</f>
        <v>Q3</v>
      </c>
      <c r="D126" s="11" t="str">
        <f aca="false">B126&amp;"-"&amp;C126</f>
        <v>2023-Q3</v>
      </c>
      <c r="E126" s="11" t="n">
        <f aca="false">MONTH(A126)</f>
        <v>7</v>
      </c>
      <c r="F126" s="11" t="str">
        <f aca="false">TEXT(A126,"mmm")</f>
        <v>Jul</v>
      </c>
      <c r="G126" s="11" t="s">
        <v>210</v>
      </c>
      <c r="H126" s="11" t="s">
        <v>204</v>
      </c>
      <c r="I126" s="12" t="n">
        <v>5500957</v>
      </c>
      <c r="J126" s="12" t="n">
        <v>1396101</v>
      </c>
      <c r="K126" s="13" t="n">
        <f aca="false">IF(I126=0,0,J126/I126)</f>
        <v>0.253792385579455</v>
      </c>
      <c r="L126" s="12" t="n">
        <v>660744</v>
      </c>
      <c r="M126" s="12" t="n">
        <v>70674</v>
      </c>
      <c r="N126" s="12" t="n">
        <v>6497</v>
      </c>
      <c r="O126" s="12" t="n">
        <v>352</v>
      </c>
      <c r="P126" s="12" t="n">
        <f aca="false">M126+N126+O126</f>
        <v>77523</v>
      </c>
      <c r="Q126" s="13" t="n">
        <f aca="false">IF(I126=0,0,P126/I126)</f>
        <v>0.0140926387899415</v>
      </c>
      <c r="R126" s="13" t="n">
        <v>0.0449</v>
      </c>
      <c r="S126" s="14" t="n">
        <v>489092</v>
      </c>
      <c r="T126" s="14" t="n">
        <v>43913</v>
      </c>
      <c r="U126" s="14" t="n">
        <v>17635</v>
      </c>
      <c r="V126" s="14" t="n">
        <v>37406</v>
      </c>
      <c r="W126" s="14" t="n">
        <f aca="false">S126+T126+U126+V126</f>
        <v>588046</v>
      </c>
      <c r="X126" s="15" t="n">
        <f aca="false">IF(P126=0,0,S126/P126)</f>
        <v>6.30899217006566</v>
      </c>
      <c r="Y126" s="15" t="n">
        <f aca="false">IF(J126=0,0,W126/J126)</f>
        <v>0.421205915617853</v>
      </c>
      <c r="Z126" s="14" t="n">
        <v>103645</v>
      </c>
      <c r="AA126" s="15" t="n">
        <f aca="false">IF(L126=0,0,Z126/L126)</f>
        <v>0.156861053600184</v>
      </c>
      <c r="AB126" s="12" t="n">
        <v>100646935</v>
      </c>
      <c r="AC126" s="16" t="n">
        <v>11.3</v>
      </c>
      <c r="AD126" s="16" t="n">
        <v>19.2</v>
      </c>
      <c r="AE126" s="13" t="n">
        <v>0.392</v>
      </c>
      <c r="AF126" s="13" t="n">
        <v>0.548</v>
      </c>
      <c r="AG126" s="13" t="n">
        <v>0.339</v>
      </c>
      <c r="AH126" s="13" t="n">
        <v>0.199</v>
      </c>
      <c r="AI126" s="17" t="n">
        <v>4.62</v>
      </c>
    </row>
    <row r="127" customFormat="false" ht="15" hidden="false" customHeight="false" outlineLevel="0" collapsed="false">
      <c r="A127" s="10" t="n">
        <v>45108</v>
      </c>
      <c r="B127" s="11" t="n">
        <f aca="false">YEAR(A127)</f>
        <v>2023</v>
      </c>
      <c r="C127" s="11" t="str">
        <f aca="false">"Q"&amp;ROUNDUP(MONTH(A127)/3,0)</f>
        <v>Q3</v>
      </c>
      <c r="D127" s="11" t="str">
        <f aca="false">B127&amp;"-"&amp;C127</f>
        <v>2023-Q3</v>
      </c>
      <c r="E127" s="11" t="n">
        <f aca="false">MONTH(A127)</f>
        <v>7</v>
      </c>
      <c r="F127" s="11" t="str">
        <f aca="false">TEXT(A127,"mmm")</f>
        <v>Jul</v>
      </c>
      <c r="G127" s="11" t="s">
        <v>210</v>
      </c>
      <c r="H127" s="11" t="s">
        <v>205</v>
      </c>
      <c r="I127" s="12" t="n">
        <v>1717129</v>
      </c>
      <c r="J127" s="12" t="n">
        <v>413446</v>
      </c>
      <c r="K127" s="13" t="n">
        <f aca="false">IF(I127=0,0,J127/I127)</f>
        <v>0.240777483811641</v>
      </c>
      <c r="L127" s="12" t="n">
        <v>151952</v>
      </c>
      <c r="M127" s="12" t="n">
        <v>18590</v>
      </c>
      <c r="N127" s="12" t="n">
        <v>1770</v>
      </c>
      <c r="O127" s="12" t="n">
        <v>62</v>
      </c>
      <c r="P127" s="12" t="n">
        <f aca="false">M127+N127+O127</f>
        <v>20422</v>
      </c>
      <c r="Q127" s="13" t="n">
        <f aca="false">IF(I127=0,0,P127/I127)</f>
        <v>0.0118931076232479</v>
      </c>
      <c r="R127" s="13" t="n">
        <v>0.0476</v>
      </c>
      <c r="S127" s="14" t="n">
        <v>134566</v>
      </c>
      <c r="T127" s="14" t="n">
        <v>12701</v>
      </c>
      <c r="U127" s="14" t="n">
        <v>4981</v>
      </c>
      <c r="V127" s="14" t="n">
        <v>10460</v>
      </c>
      <c r="W127" s="14" t="n">
        <f aca="false">S127+T127+U127+V127</f>
        <v>162708</v>
      </c>
      <c r="X127" s="15" t="n">
        <f aca="false">IF(P127=0,0,S127/P127)</f>
        <v>6.58926647732837</v>
      </c>
      <c r="Y127" s="15" t="n">
        <f aca="false">IF(J127=0,0,W127/J127)</f>
        <v>0.393541115405639</v>
      </c>
      <c r="Z127" s="14" t="n">
        <v>33567</v>
      </c>
      <c r="AA127" s="15" t="n">
        <f aca="false">IF(L127=0,0,Z127/L127)</f>
        <v>0.220905285879752</v>
      </c>
      <c r="AB127" s="12" t="n">
        <v>31335937</v>
      </c>
      <c r="AC127" s="16" t="n">
        <v>10.2</v>
      </c>
      <c r="AD127" s="16" t="n">
        <v>18.9</v>
      </c>
      <c r="AE127" s="13" t="n">
        <v>0.372</v>
      </c>
      <c r="AF127" s="13" t="n">
        <v>0.561</v>
      </c>
      <c r="AG127" s="13" t="n">
        <v>0.323</v>
      </c>
      <c r="AH127" s="13" t="n">
        <v>0.198</v>
      </c>
      <c r="AI127" s="17"/>
    </row>
    <row r="128" customFormat="false" ht="15" hidden="false" customHeight="false" outlineLevel="0" collapsed="false">
      <c r="A128" s="10" t="n">
        <v>45139</v>
      </c>
      <c r="B128" s="11" t="n">
        <f aca="false">YEAR(A128)</f>
        <v>2023</v>
      </c>
      <c r="C128" s="11" t="str">
        <f aca="false">"Q"&amp;ROUNDUP(MONTH(A128)/3,0)</f>
        <v>Q3</v>
      </c>
      <c r="D128" s="11" t="str">
        <f aca="false">B128&amp;"-"&amp;C128</f>
        <v>2023-Q3</v>
      </c>
      <c r="E128" s="11" t="n">
        <f aca="false">MONTH(A128)</f>
        <v>8</v>
      </c>
      <c r="F128" s="11" t="str">
        <f aca="false">TEXT(A128,"mmm")</f>
        <v>Aug</v>
      </c>
      <c r="G128" s="11" t="s">
        <v>202</v>
      </c>
      <c r="H128" s="11" t="s">
        <v>203</v>
      </c>
      <c r="I128" s="12" t="n">
        <v>5775246</v>
      </c>
      <c r="J128" s="12" t="n">
        <v>1869762</v>
      </c>
      <c r="K128" s="13" t="n">
        <f aca="false">IF(I128=0,0,J128/I128)</f>
        <v>0.323754520586656</v>
      </c>
      <c r="L128" s="12" t="n">
        <v>943026</v>
      </c>
      <c r="M128" s="12" t="n">
        <v>1356323</v>
      </c>
      <c r="N128" s="12" t="n">
        <v>128437</v>
      </c>
      <c r="O128" s="12" t="n">
        <v>43297</v>
      </c>
      <c r="P128" s="12" t="n">
        <f aca="false">M128+N128+O128</f>
        <v>1528057</v>
      </c>
      <c r="Q128" s="13" t="n">
        <f aca="false">IF(I128=0,0,P128/I128)</f>
        <v>0.264587343985001</v>
      </c>
      <c r="R128" s="13" t="n">
        <v>0.0424</v>
      </c>
      <c r="S128" s="14" t="n">
        <v>10328841</v>
      </c>
      <c r="T128" s="14" t="n">
        <v>1004833</v>
      </c>
      <c r="U128" s="14" t="n">
        <v>373606</v>
      </c>
      <c r="V128" s="14" t="n">
        <v>880501</v>
      </c>
      <c r="W128" s="14" t="n">
        <f aca="false">S128+T128+U128+V128</f>
        <v>12587781</v>
      </c>
      <c r="X128" s="15" t="n">
        <f aca="false">IF(P128=0,0,S128/P128)</f>
        <v>6.75946054368391</v>
      </c>
      <c r="Y128" s="15" t="n">
        <f aca="false">IF(J128=0,0,W128/J128)</f>
        <v>6.73229052681571</v>
      </c>
      <c r="Z128" s="14" t="n">
        <v>1992635</v>
      </c>
      <c r="AA128" s="15" t="n">
        <f aca="false">IF(L128=0,0,Z128/L128)</f>
        <v>2.11302233448495</v>
      </c>
      <c r="AB128" s="12" t="n">
        <v>138994190</v>
      </c>
      <c r="AC128" s="16" t="n">
        <v>12</v>
      </c>
      <c r="AD128" s="16" t="n">
        <v>20.4</v>
      </c>
      <c r="AE128" s="13" t="n">
        <v>0.38</v>
      </c>
      <c r="AF128" s="13" t="n">
        <v>0.576</v>
      </c>
      <c r="AG128" s="13" t="n">
        <v>0.338</v>
      </c>
      <c r="AH128" s="13" t="n">
        <v>0.198</v>
      </c>
      <c r="AI128" s="17" t="n">
        <v>4.69</v>
      </c>
    </row>
    <row r="129" customFormat="false" ht="15" hidden="false" customHeight="false" outlineLevel="0" collapsed="false">
      <c r="A129" s="10" t="n">
        <v>45139</v>
      </c>
      <c r="B129" s="11" t="n">
        <f aca="false">YEAR(A129)</f>
        <v>2023</v>
      </c>
      <c r="C129" s="11" t="str">
        <f aca="false">"Q"&amp;ROUNDUP(MONTH(A129)/3,0)</f>
        <v>Q3</v>
      </c>
      <c r="D129" s="11" t="str">
        <f aca="false">B129&amp;"-"&amp;C129</f>
        <v>2023-Q3</v>
      </c>
      <c r="E129" s="11" t="n">
        <f aca="false">MONTH(A129)</f>
        <v>8</v>
      </c>
      <c r="F129" s="11" t="str">
        <f aca="false">TEXT(A129,"mmm")</f>
        <v>Aug</v>
      </c>
      <c r="G129" s="11" t="s">
        <v>202</v>
      </c>
      <c r="H129" s="11" t="s">
        <v>204</v>
      </c>
      <c r="I129" s="12" t="n">
        <v>8212690</v>
      </c>
      <c r="J129" s="12" t="n">
        <v>2419507</v>
      </c>
      <c r="K129" s="13" t="n">
        <f aca="false">IF(I129=0,0,J129/I129)</f>
        <v>0.294605908660865</v>
      </c>
      <c r="L129" s="12" t="n">
        <v>1205489</v>
      </c>
      <c r="M129" s="12" t="n">
        <v>752985</v>
      </c>
      <c r="N129" s="12" t="n">
        <v>72186</v>
      </c>
      <c r="O129" s="12" t="n">
        <v>17916</v>
      </c>
      <c r="P129" s="12" t="n">
        <f aca="false">M129+N129+O129</f>
        <v>843087</v>
      </c>
      <c r="Q129" s="13" t="n">
        <f aca="false">IF(I129=0,0,P129/I129)</f>
        <v>0.10265662042522</v>
      </c>
      <c r="R129" s="13" t="n">
        <v>0.0408</v>
      </c>
      <c r="S129" s="14" t="n">
        <v>5827361</v>
      </c>
      <c r="T129" s="14" t="n">
        <v>523881</v>
      </c>
      <c r="U129" s="14" t="n">
        <v>218131</v>
      </c>
      <c r="V129" s="14" t="n">
        <v>443405</v>
      </c>
      <c r="W129" s="14" t="n">
        <f aca="false">S129+T129+U129+V129</f>
        <v>7012778</v>
      </c>
      <c r="X129" s="15" t="n">
        <f aca="false">IF(P129=0,0,S129/P129)</f>
        <v>6.91193316941194</v>
      </c>
      <c r="Y129" s="15" t="n">
        <f aca="false">IF(J129=0,0,W129/J129)</f>
        <v>2.89843261457809</v>
      </c>
      <c r="Z129" s="14" t="n">
        <v>1291360</v>
      </c>
      <c r="AA129" s="15" t="n">
        <f aca="false">IF(L129=0,0,Z129/L129)</f>
        <v>1.07123333352689</v>
      </c>
      <c r="AB129" s="12" t="n">
        <v>188001683</v>
      </c>
      <c r="AC129" s="16" t="n">
        <v>11.7</v>
      </c>
      <c r="AD129" s="16" t="n">
        <v>18.7</v>
      </c>
      <c r="AE129" s="13" t="n">
        <v>0.397</v>
      </c>
      <c r="AF129" s="13" t="n">
        <v>0.555</v>
      </c>
      <c r="AG129" s="13" t="n">
        <v>0.34</v>
      </c>
      <c r="AH129" s="13" t="n">
        <v>0.204</v>
      </c>
      <c r="AI129" s="17" t="n">
        <v>4.64</v>
      </c>
    </row>
    <row r="130" customFormat="false" ht="15" hidden="false" customHeight="false" outlineLevel="0" collapsed="false">
      <c r="A130" s="10" t="n">
        <v>45139</v>
      </c>
      <c r="B130" s="11" t="n">
        <f aca="false">YEAR(A130)</f>
        <v>2023</v>
      </c>
      <c r="C130" s="11" t="str">
        <f aca="false">"Q"&amp;ROUNDUP(MONTH(A130)/3,0)</f>
        <v>Q3</v>
      </c>
      <c r="D130" s="11" t="str">
        <f aca="false">B130&amp;"-"&amp;C130</f>
        <v>2023-Q3</v>
      </c>
      <c r="E130" s="11" t="n">
        <f aca="false">MONTH(A130)</f>
        <v>8</v>
      </c>
      <c r="F130" s="11" t="str">
        <f aca="false">TEXT(A130,"mmm")</f>
        <v>Aug</v>
      </c>
      <c r="G130" s="11" t="s">
        <v>202</v>
      </c>
      <c r="H130" s="11" t="s">
        <v>205</v>
      </c>
      <c r="I130" s="12" t="n">
        <v>2405679</v>
      </c>
      <c r="J130" s="12" t="n">
        <v>641328</v>
      </c>
      <c r="K130" s="13" t="n">
        <f aca="false">IF(I130=0,0,J130/I130)</f>
        <v>0.26658918334491</v>
      </c>
      <c r="L130" s="12" t="n">
        <v>263845</v>
      </c>
      <c r="M130" s="12" t="n">
        <v>201025</v>
      </c>
      <c r="N130" s="12" t="n">
        <v>17364</v>
      </c>
      <c r="O130" s="12" t="n">
        <v>3138</v>
      </c>
      <c r="P130" s="12" t="n">
        <f aca="false">M130+N130+O130</f>
        <v>221527</v>
      </c>
      <c r="Q130" s="13" t="n">
        <f aca="false">IF(I130=0,0,P130/I130)</f>
        <v>0.0920850204869395</v>
      </c>
      <c r="R130" s="13" t="n">
        <v>0.0472</v>
      </c>
      <c r="S130" s="14" t="n">
        <v>1625300</v>
      </c>
      <c r="T130" s="14" t="n">
        <v>150053</v>
      </c>
      <c r="U130" s="14" t="n">
        <v>56350</v>
      </c>
      <c r="V130" s="14" t="n">
        <v>119328</v>
      </c>
      <c r="W130" s="14" t="n">
        <f aca="false">S130+T130+U130+V130</f>
        <v>1951031</v>
      </c>
      <c r="X130" s="15" t="n">
        <f aca="false">IF(P130=0,0,S130/P130)</f>
        <v>7.33680318877609</v>
      </c>
      <c r="Y130" s="15" t="n">
        <f aca="false">IF(J130=0,0,W130/J130)</f>
        <v>3.04217342763765</v>
      </c>
      <c r="Z130" s="14" t="n">
        <v>353316</v>
      </c>
      <c r="AA130" s="15" t="n">
        <f aca="false">IF(L130=0,0,Z130/L130)</f>
        <v>1.33910439841574</v>
      </c>
      <c r="AB130" s="12" t="n">
        <v>48018014</v>
      </c>
      <c r="AC130" s="16" t="n">
        <v>10.7</v>
      </c>
      <c r="AD130" s="16" t="n">
        <v>18.5</v>
      </c>
      <c r="AE130" s="13" t="n">
        <v>0.386</v>
      </c>
      <c r="AF130" s="13" t="n">
        <v>0.575</v>
      </c>
      <c r="AG130" s="13" t="n">
        <v>0.334</v>
      </c>
      <c r="AH130" s="13" t="n">
        <v>0.195</v>
      </c>
      <c r="AI130" s="17"/>
    </row>
    <row r="131" customFormat="false" ht="15" hidden="false" customHeight="false" outlineLevel="0" collapsed="false">
      <c r="A131" s="10" t="n">
        <v>45139</v>
      </c>
      <c r="B131" s="11" t="n">
        <f aca="false">YEAR(A131)</f>
        <v>2023</v>
      </c>
      <c r="C131" s="11" t="str">
        <f aca="false">"Q"&amp;ROUNDUP(MONTH(A131)/3,0)</f>
        <v>Q3</v>
      </c>
      <c r="D131" s="11" t="str">
        <f aca="false">B131&amp;"-"&amp;C131</f>
        <v>2023-Q3</v>
      </c>
      <c r="E131" s="11" t="n">
        <f aca="false">MONTH(A131)</f>
        <v>8</v>
      </c>
      <c r="F131" s="11" t="str">
        <f aca="false">TEXT(A131,"mmm")</f>
        <v>Aug</v>
      </c>
      <c r="G131" s="11" t="s">
        <v>206</v>
      </c>
      <c r="H131" s="11" t="s">
        <v>203</v>
      </c>
      <c r="I131" s="12" t="n">
        <v>6492874</v>
      </c>
      <c r="J131" s="12" t="n">
        <v>2139281</v>
      </c>
      <c r="K131" s="13" t="n">
        <f aca="false">IF(I131=0,0,J131/I131)</f>
        <v>0.329481366803052</v>
      </c>
      <c r="L131" s="12" t="n">
        <v>918945</v>
      </c>
      <c r="M131" s="12" t="n">
        <v>860925</v>
      </c>
      <c r="N131" s="12" t="n">
        <v>83192</v>
      </c>
      <c r="O131" s="12" t="n">
        <v>17021</v>
      </c>
      <c r="P131" s="12" t="n">
        <f aca="false">M131+N131+O131</f>
        <v>961138</v>
      </c>
      <c r="Q131" s="13" t="n">
        <f aca="false">IF(I131=0,0,P131/I131)</f>
        <v>0.148029670682043</v>
      </c>
      <c r="R131" s="13" t="n">
        <v>0.0429</v>
      </c>
      <c r="S131" s="14" t="n">
        <v>6023370</v>
      </c>
      <c r="T131" s="14" t="n">
        <v>567106</v>
      </c>
      <c r="U131" s="14" t="n">
        <v>228639</v>
      </c>
      <c r="V131" s="14" t="n">
        <v>480124</v>
      </c>
      <c r="W131" s="14" t="n">
        <f aca="false">S131+T131+U131+V131</f>
        <v>7299239</v>
      </c>
      <c r="X131" s="15" t="n">
        <f aca="false">IF(P131=0,0,S131/P131)</f>
        <v>6.26691484469452</v>
      </c>
      <c r="Y131" s="15" t="n">
        <f aca="false">IF(J131=0,0,W131/J131)</f>
        <v>3.41200571593914</v>
      </c>
      <c r="Z131" s="14" t="n">
        <v>1428633</v>
      </c>
      <c r="AA131" s="15" t="n">
        <f aca="false">IF(L131=0,0,Z131/L131)</f>
        <v>1.5546447284658</v>
      </c>
      <c r="AB131" s="12" t="n">
        <v>157536139</v>
      </c>
      <c r="AC131" s="16" t="n">
        <v>12.1</v>
      </c>
      <c r="AD131" s="16" t="n">
        <v>18.6</v>
      </c>
      <c r="AE131" s="13" t="n">
        <v>0.401</v>
      </c>
      <c r="AF131" s="13" t="n">
        <v>0.58</v>
      </c>
      <c r="AG131" s="13" t="n">
        <v>0.351</v>
      </c>
      <c r="AH131" s="13" t="n">
        <v>0.187</v>
      </c>
      <c r="AI131" s="17" t="n">
        <v>4.69</v>
      </c>
    </row>
    <row r="132" customFormat="false" ht="15" hidden="false" customHeight="false" outlineLevel="0" collapsed="false">
      <c r="A132" s="10" t="n">
        <v>45139</v>
      </c>
      <c r="B132" s="11" t="n">
        <f aca="false">YEAR(A132)</f>
        <v>2023</v>
      </c>
      <c r="C132" s="11" t="str">
        <f aca="false">"Q"&amp;ROUNDUP(MONTH(A132)/3,0)</f>
        <v>Q3</v>
      </c>
      <c r="D132" s="11" t="str">
        <f aca="false">B132&amp;"-"&amp;C132</f>
        <v>2023-Q3</v>
      </c>
      <c r="E132" s="11" t="n">
        <f aca="false">MONTH(A132)</f>
        <v>8</v>
      </c>
      <c r="F132" s="11" t="str">
        <f aca="false">TEXT(A132,"mmm")</f>
        <v>Aug</v>
      </c>
      <c r="G132" s="11" t="s">
        <v>206</v>
      </c>
      <c r="H132" s="11" t="s">
        <v>204</v>
      </c>
      <c r="I132" s="12" t="n">
        <v>9253082</v>
      </c>
      <c r="J132" s="12" t="n">
        <v>2776934</v>
      </c>
      <c r="K132" s="13" t="n">
        <f aca="false">IF(I132=0,0,J132/I132)</f>
        <v>0.30010908797739</v>
      </c>
      <c r="L132" s="12" t="n">
        <v>1377027</v>
      </c>
      <c r="M132" s="12" t="n">
        <v>458350</v>
      </c>
      <c r="N132" s="12" t="n">
        <v>42188</v>
      </c>
      <c r="O132" s="12" t="n">
        <v>6738</v>
      </c>
      <c r="P132" s="12" t="n">
        <f aca="false">M132+N132+O132</f>
        <v>507276</v>
      </c>
      <c r="Q132" s="13" t="n">
        <f aca="false">IF(I132=0,0,P132/I132)</f>
        <v>0.0548223824234995</v>
      </c>
      <c r="R132" s="13" t="n">
        <v>0.0449</v>
      </c>
      <c r="S132" s="14" t="n">
        <v>3457984</v>
      </c>
      <c r="T132" s="14" t="n">
        <v>319760</v>
      </c>
      <c r="U132" s="14" t="n">
        <v>118009</v>
      </c>
      <c r="V132" s="14" t="n">
        <v>276622</v>
      </c>
      <c r="W132" s="14" t="n">
        <f aca="false">S132+T132+U132+V132</f>
        <v>4172375</v>
      </c>
      <c r="X132" s="15" t="n">
        <f aca="false">IF(P132=0,0,S132/P132)</f>
        <v>6.81677035775396</v>
      </c>
      <c r="Y132" s="15" t="n">
        <f aca="false">IF(J132=0,0,W132/J132)</f>
        <v>1.50251140286373</v>
      </c>
      <c r="Z132" s="14" t="n">
        <v>822448</v>
      </c>
      <c r="AA132" s="15" t="n">
        <f aca="false">IF(L132=0,0,Z132/L132)</f>
        <v>0.597263524970825</v>
      </c>
      <c r="AB132" s="12" t="n">
        <v>210168461</v>
      </c>
      <c r="AC132" s="16" t="n">
        <v>11.7</v>
      </c>
      <c r="AD132" s="16" t="n">
        <v>16.7</v>
      </c>
      <c r="AE132" s="13" t="n">
        <v>0.381</v>
      </c>
      <c r="AF132" s="13" t="n">
        <v>0.549</v>
      </c>
      <c r="AG132" s="13" t="n">
        <v>0.346</v>
      </c>
      <c r="AH132" s="13" t="n">
        <v>0.197</v>
      </c>
      <c r="AI132" s="17" t="n">
        <v>4.59</v>
      </c>
    </row>
    <row r="133" customFormat="false" ht="15" hidden="false" customHeight="false" outlineLevel="0" collapsed="false">
      <c r="A133" s="10" t="n">
        <v>45139</v>
      </c>
      <c r="B133" s="11" t="n">
        <f aca="false">YEAR(A133)</f>
        <v>2023</v>
      </c>
      <c r="C133" s="11" t="str">
        <f aca="false">"Q"&amp;ROUNDUP(MONTH(A133)/3,0)</f>
        <v>Q3</v>
      </c>
      <c r="D133" s="11" t="str">
        <f aca="false">B133&amp;"-"&amp;C133</f>
        <v>2023-Q3</v>
      </c>
      <c r="E133" s="11" t="n">
        <f aca="false">MONTH(A133)</f>
        <v>8</v>
      </c>
      <c r="F133" s="11" t="str">
        <f aca="false">TEXT(A133,"mmm")</f>
        <v>Aug</v>
      </c>
      <c r="G133" s="11" t="s">
        <v>206</v>
      </c>
      <c r="H133" s="11" t="s">
        <v>205</v>
      </c>
      <c r="I133" s="12" t="n">
        <v>2650072</v>
      </c>
      <c r="J133" s="12" t="n">
        <v>706511</v>
      </c>
      <c r="K133" s="13" t="n">
        <f aca="false">IF(I133=0,0,J133/I133)</f>
        <v>0.2666006810381</v>
      </c>
      <c r="L133" s="12" t="n">
        <v>289017</v>
      </c>
      <c r="M133" s="12" t="n">
        <v>121067</v>
      </c>
      <c r="N133" s="12" t="n">
        <v>12006</v>
      </c>
      <c r="O133" s="12" t="n">
        <v>1189</v>
      </c>
      <c r="P133" s="12" t="n">
        <f aca="false">M133+N133+O133</f>
        <v>134262</v>
      </c>
      <c r="Q133" s="13" t="n">
        <f aca="false">IF(I133=0,0,P133/I133)</f>
        <v>0.0506635291418497</v>
      </c>
      <c r="R133" s="13" t="n">
        <v>0.0469</v>
      </c>
      <c r="S133" s="14" t="n">
        <v>966650</v>
      </c>
      <c r="T133" s="14" t="n">
        <v>88186</v>
      </c>
      <c r="U133" s="14" t="n">
        <v>33279</v>
      </c>
      <c r="V133" s="14" t="n">
        <v>77501</v>
      </c>
      <c r="W133" s="14" t="n">
        <f aca="false">S133+T133+U133+V133</f>
        <v>1165616</v>
      </c>
      <c r="X133" s="15" t="n">
        <f aca="false">IF(P133=0,0,S133/P133)</f>
        <v>7.19972888829304</v>
      </c>
      <c r="Y133" s="15" t="n">
        <f aca="false">IF(J133=0,0,W133/J133)</f>
        <v>1.64982003111063</v>
      </c>
      <c r="Z133" s="14" t="n">
        <v>190288</v>
      </c>
      <c r="AA133" s="15" t="n">
        <f aca="false">IF(L133=0,0,Z133/L133)</f>
        <v>0.658397256908763</v>
      </c>
      <c r="AB133" s="12" t="n">
        <v>51736440</v>
      </c>
      <c r="AC133" s="16" t="n">
        <v>10.7</v>
      </c>
      <c r="AD133" s="16" t="n">
        <v>19.2</v>
      </c>
      <c r="AE133" s="13" t="n">
        <v>0.37</v>
      </c>
      <c r="AF133" s="13" t="n">
        <v>0.564</v>
      </c>
      <c r="AG133" s="13" t="n">
        <v>0.343</v>
      </c>
      <c r="AH133" s="13" t="n">
        <v>0.196</v>
      </c>
      <c r="AI133" s="17"/>
    </row>
    <row r="134" customFormat="false" ht="15" hidden="false" customHeight="false" outlineLevel="0" collapsed="false">
      <c r="A134" s="10" t="n">
        <v>45139</v>
      </c>
      <c r="B134" s="11" t="n">
        <f aca="false">YEAR(A134)</f>
        <v>2023</v>
      </c>
      <c r="C134" s="11" t="str">
        <f aca="false">"Q"&amp;ROUNDUP(MONTH(A134)/3,0)</f>
        <v>Q3</v>
      </c>
      <c r="D134" s="11" t="str">
        <f aca="false">B134&amp;"-"&amp;C134</f>
        <v>2023-Q3</v>
      </c>
      <c r="E134" s="11" t="n">
        <f aca="false">MONTH(A134)</f>
        <v>8</v>
      </c>
      <c r="F134" s="11" t="str">
        <f aca="false">TEXT(A134,"mmm")</f>
        <v>Aug</v>
      </c>
      <c r="G134" s="11" t="s">
        <v>207</v>
      </c>
      <c r="H134" s="11" t="s">
        <v>203</v>
      </c>
      <c r="I134" s="12" t="n">
        <v>5367071</v>
      </c>
      <c r="J134" s="12" t="n">
        <v>1587617</v>
      </c>
      <c r="K134" s="13" t="n">
        <f aca="false">IF(I134=0,0,J134/I134)</f>
        <v>0.295806968083709</v>
      </c>
      <c r="L134" s="12" t="n">
        <v>663117</v>
      </c>
      <c r="M134" s="12" t="n">
        <v>344402</v>
      </c>
      <c r="N134" s="12" t="n">
        <v>32447</v>
      </c>
      <c r="O134" s="12" t="n">
        <v>4730</v>
      </c>
      <c r="P134" s="12" t="n">
        <f aca="false">M134+N134+O134</f>
        <v>381579</v>
      </c>
      <c r="Q134" s="13" t="n">
        <f aca="false">IF(I134=0,0,P134/I134)</f>
        <v>0.0710963205070326</v>
      </c>
      <c r="R134" s="13" t="n">
        <v>0.0446</v>
      </c>
      <c r="S134" s="14" t="n">
        <v>2689703</v>
      </c>
      <c r="T134" s="14" t="n">
        <v>258778</v>
      </c>
      <c r="U134" s="14" t="n">
        <v>89804</v>
      </c>
      <c r="V134" s="14" t="n">
        <v>227730</v>
      </c>
      <c r="W134" s="14" t="n">
        <f aca="false">S134+T134+U134+V134</f>
        <v>3266015</v>
      </c>
      <c r="X134" s="15" t="n">
        <f aca="false">IF(P134=0,0,S134/P134)</f>
        <v>7.04887585532747</v>
      </c>
      <c r="Y134" s="15" t="n">
        <f aca="false">IF(J134=0,0,W134/J134)</f>
        <v>2.05718066762954</v>
      </c>
      <c r="Z134" s="14" t="n">
        <v>646714</v>
      </c>
      <c r="AA134" s="15" t="n">
        <f aca="false">IF(L134=0,0,Z134/L134)</f>
        <v>0.975263792060828</v>
      </c>
      <c r="AB134" s="12" t="n">
        <v>120330660</v>
      </c>
      <c r="AC134" s="16" t="n">
        <v>12.1</v>
      </c>
      <c r="AD134" s="16" t="n">
        <v>18.1</v>
      </c>
      <c r="AE134" s="13" t="n">
        <v>0.379</v>
      </c>
      <c r="AF134" s="13" t="n">
        <v>0.574</v>
      </c>
      <c r="AG134" s="13" t="n">
        <v>0.338</v>
      </c>
      <c r="AH134" s="13" t="n">
        <v>0.203</v>
      </c>
      <c r="AI134" s="17" t="n">
        <v>4.68</v>
      </c>
    </row>
    <row r="135" customFormat="false" ht="15" hidden="false" customHeight="false" outlineLevel="0" collapsed="false">
      <c r="A135" s="10" t="n">
        <v>45139</v>
      </c>
      <c r="B135" s="11" t="n">
        <f aca="false">YEAR(A135)</f>
        <v>2023</v>
      </c>
      <c r="C135" s="11" t="str">
        <f aca="false">"Q"&amp;ROUNDUP(MONTH(A135)/3,0)</f>
        <v>Q3</v>
      </c>
      <c r="D135" s="11" t="str">
        <f aca="false">B135&amp;"-"&amp;C135</f>
        <v>2023-Q3</v>
      </c>
      <c r="E135" s="11" t="n">
        <f aca="false">MONTH(A135)</f>
        <v>8</v>
      </c>
      <c r="F135" s="11" t="str">
        <f aca="false">TEXT(A135,"mmm")</f>
        <v>Aug</v>
      </c>
      <c r="G135" s="11" t="s">
        <v>207</v>
      </c>
      <c r="H135" s="11" t="s">
        <v>204</v>
      </c>
      <c r="I135" s="12" t="n">
        <v>7213881</v>
      </c>
      <c r="J135" s="12" t="n">
        <v>1996857</v>
      </c>
      <c r="K135" s="13" t="n">
        <f aca="false">IF(I135=0,0,J135/I135)</f>
        <v>0.276807588037563</v>
      </c>
      <c r="L135" s="12" t="n">
        <v>860692</v>
      </c>
      <c r="M135" s="12" t="n">
        <v>214576</v>
      </c>
      <c r="N135" s="12" t="n">
        <v>21224</v>
      </c>
      <c r="O135" s="12" t="n">
        <v>2213</v>
      </c>
      <c r="P135" s="12" t="n">
        <f aca="false">M135+N135+O135</f>
        <v>238013</v>
      </c>
      <c r="Q135" s="13" t="n">
        <f aca="false">IF(I135=0,0,P135/I135)</f>
        <v>0.0329937519069139</v>
      </c>
      <c r="R135" s="13" t="n">
        <v>0.0473</v>
      </c>
      <c r="S135" s="14" t="n">
        <v>1561576</v>
      </c>
      <c r="T135" s="14" t="n">
        <v>153172</v>
      </c>
      <c r="U135" s="14" t="n">
        <v>57110</v>
      </c>
      <c r="V135" s="14" t="n">
        <v>119088</v>
      </c>
      <c r="W135" s="14" t="n">
        <f aca="false">S135+T135+U135+V135</f>
        <v>1890946</v>
      </c>
      <c r="X135" s="15" t="n">
        <f aca="false">IF(P135=0,0,S135/P135)</f>
        <v>6.56088532979291</v>
      </c>
      <c r="Y135" s="15" t="n">
        <f aca="false">IF(J135=0,0,W135/J135)</f>
        <v>0.946961149446355</v>
      </c>
      <c r="Z135" s="14" t="n">
        <v>340509</v>
      </c>
      <c r="AA135" s="15" t="n">
        <f aca="false">IF(L135=0,0,Z135/L135)</f>
        <v>0.395622359682674</v>
      </c>
      <c r="AB135" s="12" t="n">
        <v>156763011</v>
      </c>
      <c r="AC135" s="16" t="n">
        <v>11.5</v>
      </c>
      <c r="AD135" s="16" t="n">
        <v>18.6</v>
      </c>
      <c r="AE135" s="13" t="n">
        <v>0.37</v>
      </c>
      <c r="AF135" s="13" t="n">
        <v>0.566</v>
      </c>
      <c r="AG135" s="13" t="n">
        <v>0.343</v>
      </c>
      <c r="AH135" s="13" t="n">
        <v>0.192</v>
      </c>
      <c r="AI135" s="17" t="n">
        <v>4.63</v>
      </c>
    </row>
    <row r="136" customFormat="false" ht="15" hidden="false" customHeight="false" outlineLevel="0" collapsed="false">
      <c r="A136" s="10" t="n">
        <v>45139</v>
      </c>
      <c r="B136" s="11" t="n">
        <f aca="false">YEAR(A136)</f>
        <v>2023</v>
      </c>
      <c r="C136" s="11" t="str">
        <f aca="false">"Q"&amp;ROUNDUP(MONTH(A136)/3,0)</f>
        <v>Q3</v>
      </c>
      <c r="D136" s="11" t="str">
        <f aca="false">B136&amp;"-"&amp;C136</f>
        <v>2023-Q3</v>
      </c>
      <c r="E136" s="11" t="n">
        <f aca="false">MONTH(A136)</f>
        <v>8</v>
      </c>
      <c r="F136" s="11" t="str">
        <f aca="false">TEXT(A136,"mmm")</f>
        <v>Aug</v>
      </c>
      <c r="G136" s="11" t="s">
        <v>207</v>
      </c>
      <c r="H136" s="11" t="s">
        <v>205</v>
      </c>
      <c r="I136" s="12" t="n">
        <v>2058828</v>
      </c>
      <c r="J136" s="12" t="n">
        <v>531074</v>
      </c>
      <c r="K136" s="13" t="n">
        <f aca="false">IF(I136=0,0,J136/I136)</f>
        <v>0.257949668452149</v>
      </c>
      <c r="L136" s="12" t="n">
        <v>193932</v>
      </c>
      <c r="M136" s="12" t="n">
        <v>59342</v>
      </c>
      <c r="N136" s="12" t="n">
        <v>5509</v>
      </c>
      <c r="O136" s="12" t="n">
        <v>404</v>
      </c>
      <c r="P136" s="12" t="n">
        <f aca="false">M136+N136+O136</f>
        <v>65255</v>
      </c>
      <c r="Q136" s="13" t="n">
        <f aca="false">IF(I136=0,0,P136/I136)</f>
        <v>0.0316952168903862</v>
      </c>
      <c r="R136" s="13" t="n">
        <v>0.0489</v>
      </c>
      <c r="S136" s="14" t="n">
        <v>393487</v>
      </c>
      <c r="T136" s="14" t="n">
        <v>38056</v>
      </c>
      <c r="U136" s="14" t="n">
        <v>14401</v>
      </c>
      <c r="V136" s="14" t="n">
        <v>32096</v>
      </c>
      <c r="W136" s="14" t="n">
        <f aca="false">S136+T136+U136+V136</f>
        <v>478040</v>
      </c>
      <c r="X136" s="15" t="n">
        <f aca="false">IF(P136=0,0,S136/P136)</f>
        <v>6.02999003907747</v>
      </c>
      <c r="Y136" s="15" t="n">
        <f aca="false">IF(J136=0,0,W136/J136)</f>
        <v>0.900138210494206</v>
      </c>
      <c r="Z136" s="14" t="n">
        <v>74877</v>
      </c>
      <c r="AA136" s="15" t="n">
        <f aca="false">IF(L136=0,0,Z136/L136)</f>
        <v>0.386099251283955</v>
      </c>
      <c r="AB136" s="12" t="n">
        <v>39382160</v>
      </c>
      <c r="AC136" s="16" t="n">
        <v>10.4</v>
      </c>
      <c r="AD136" s="16" t="n">
        <v>19.2</v>
      </c>
      <c r="AE136" s="13" t="n">
        <v>0.386</v>
      </c>
      <c r="AF136" s="13" t="n">
        <v>0.565</v>
      </c>
      <c r="AG136" s="13" t="n">
        <v>0.335</v>
      </c>
      <c r="AH136" s="13" t="n">
        <v>0.197</v>
      </c>
      <c r="AI136" s="17"/>
    </row>
    <row r="137" customFormat="false" ht="15" hidden="false" customHeight="false" outlineLevel="0" collapsed="false">
      <c r="A137" s="10" t="n">
        <v>45139</v>
      </c>
      <c r="B137" s="11" t="n">
        <f aca="false">YEAR(A137)</f>
        <v>2023</v>
      </c>
      <c r="C137" s="11" t="str">
        <f aca="false">"Q"&amp;ROUNDUP(MONTH(A137)/3,0)</f>
        <v>Q3</v>
      </c>
      <c r="D137" s="11" t="str">
        <f aca="false">B137&amp;"-"&amp;C137</f>
        <v>2023-Q3</v>
      </c>
      <c r="E137" s="11" t="n">
        <f aca="false">MONTH(A137)</f>
        <v>8</v>
      </c>
      <c r="F137" s="11" t="str">
        <f aca="false">TEXT(A137,"mmm")</f>
        <v>Aug</v>
      </c>
      <c r="G137" s="11" t="s">
        <v>208</v>
      </c>
      <c r="H137" s="11" t="s">
        <v>203</v>
      </c>
      <c r="I137" s="12" t="n">
        <v>4900964</v>
      </c>
      <c r="J137" s="12" t="n">
        <v>1522939</v>
      </c>
      <c r="K137" s="13" t="n">
        <f aca="false">IF(I137=0,0,J137/I137)</f>
        <v>0.310742743672469</v>
      </c>
      <c r="L137" s="12" t="n">
        <v>623441</v>
      </c>
      <c r="M137" s="12" t="n">
        <v>171907</v>
      </c>
      <c r="N137" s="12" t="n">
        <v>18787</v>
      </c>
      <c r="O137" s="12" t="n">
        <v>1704</v>
      </c>
      <c r="P137" s="12" t="n">
        <f aca="false">M137+N137+O137</f>
        <v>192398</v>
      </c>
      <c r="Q137" s="13" t="n">
        <f aca="false">IF(I137=0,0,P137/I137)</f>
        <v>0.0392571747109344</v>
      </c>
      <c r="R137" s="13" t="n">
        <v>0.0482</v>
      </c>
      <c r="S137" s="14" t="n">
        <v>1353776</v>
      </c>
      <c r="T137" s="14" t="n">
        <v>117896</v>
      </c>
      <c r="U137" s="14" t="n">
        <v>48846</v>
      </c>
      <c r="V137" s="14" t="n">
        <v>97542</v>
      </c>
      <c r="W137" s="14" t="n">
        <f aca="false">S137+T137+U137+V137</f>
        <v>1618060</v>
      </c>
      <c r="X137" s="15" t="n">
        <f aca="false">IF(P137=0,0,S137/P137)</f>
        <v>7.03633093899105</v>
      </c>
      <c r="Y137" s="15" t="n">
        <f aca="false">IF(J137=0,0,W137/J137)</f>
        <v>1.06245883781294</v>
      </c>
      <c r="Z137" s="14" t="n">
        <v>261926</v>
      </c>
      <c r="AA137" s="15" t="n">
        <f aca="false">IF(L137=0,0,Z137/L137)</f>
        <v>0.420129571202407</v>
      </c>
      <c r="AB137" s="12" t="n">
        <v>117300976</v>
      </c>
      <c r="AC137" s="16" t="n">
        <v>12</v>
      </c>
      <c r="AD137" s="16" t="n">
        <v>18.7</v>
      </c>
      <c r="AE137" s="13" t="n">
        <v>0.381</v>
      </c>
      <c r="AF137" s="13" t="n">
        <v>0.59</v>
      </c>
      <c r="AG137" s="13" t="n">
        <v>0.344</v>
      </c>
      <c r="AH137" s="13" t="n">
        <v>0.204</v>
      </c>
      <c r="AI137" s="17" t="n">
        <v>4.7</v>
      </c>
    </row>
    <row r="138" customFormat="false" ht="15" hidden="false" customHeight="false" outlineLevel="0" collapsed="false">
      <c r="A138" s="10" t="n">
        <v>45139</v>
      </c>
      <c r="B138" s="11" t="n">
        <f aca="false">YEAR(A138)</f>
        <v>2023</v>
      </c>
      <c r="C138" s="11" t="str">
        <f aca="false">"Q"&amp;ROUNDUP(MONTH(A138)/3,0)</f>
        <v>Q3</v>
      </c>
      <c r="D138" s="11" t="str">
        <f aca="false">B138&amp;"-"&amp;C138</f>
        <v>2023-Q3</v>
      </c>
      <c r="E138" s="11" t="n">
        <f aca="false">MONTH(A138)</f>
        <v>8</v>
      </c>
      <c r="F138" s="11" t="str">
        <f aca="false">TEXT(A138,"mmm")</f>
        <v>Aug</v>
      </c>
      <c r="G138" s="11" t="s">
        <v>208</v>
      </c>
      <c r="H138" s="11" t="s">
        <v>204</v>
      </c>
      <c r="I138" s="12" t="n">
        <v>6191964</v>
      </c>
      <c r="J138" s="12" t="n">
        <v>1761449</v>
      </c>
      <c r="K138" s="13" t="n">
        <f aca="false">IF(I138=0,0,J138/I138)</f>
        <v>0.284473391641166</v>
      </c>
      <c r="L138" s="12" t="n">
        <v>720792</v>
      </c>
      <c r="M138" s="12" t="n">
        <v>102574</v>
      </c>
      <c r="N138" s="12" t="n">
        <v>9928</v>
      </c>
      <c r="O138" s="12" t="n">
        <v>752</v>
      </c>
      <c r="P138" s="12" t="n">
        <f aca="false">M138+N138+O138</f>
        <v>113254</v>
      </c>
      <c r="Q138" s="13" t="n">
        <f aca="false">IF(I138=0,0,P138/I138)</f>
        <v>0.0182904810170085</v>
      </c>
      <c r="R138" s="13" t="n">
        <v>0.0441</v>
      </c>
      <c r="S138" s="14" t="n">
        <v>804763</v>
      </c>
      <c r="T138" s="14" t="n">
        <v>69356</v>
      </c>
      <c r="U138" s="14" t="n">
        <v>29440</v>
      </c>
      <c r="V138" s="14" t="n">
        <v>61199</v>
      </c>
      <c r="W138" s="14" t="n">
        <f aca="false">S138+T138+U138+V138</f>
        <v>964758</v>
      </c>
      <c r="X138" s="15" t="n">
        <f aca="false">IF(P138=0,0,S138/P138)</f>
        <v>7.1058240768538</v>
      </c>
      <c r="Y138" s="15" t="n">
        <f aca="false">IF(J138=0,0,W138/J138)</f>
        <v>0.547707029837367</v>
      </c>
      <c r="Z138" s="14" t="n">
        <v>170978</v>
      </c>
      <c r="AA138" s="15" t="n">
        <f aca="false">IF(L138=0,0,Z138/L138)</f>
        <v>0.237208515077859</v>
      </c>
      <c r="AB138" s="12" t="n">
        <v>134293570</v>
      </c>
      <c r="AC138" s="16" t="n">
        <v>11.5</v>
      </c>
      <c r="AD138" s="16" t="n">
        <v>18.9</v>
      </c>
      <c r="AE138" s="13" t="n">
        <v>0.381</v>
      </c>
      <c r="AF138" s="13" t="n">
        <v>0.568</v>
      </c>
      <c r="AG138" s="13" t="n">
        <v>0.331</v>
      </c>
      <c r="AH138" s="13" t="n">
        <v>0.189</v>
      </c>
      <c r="AI138" s="17" t="n">
        <v>4.61</v>
      </c>
    </row>
    <row r="139" customFormat="false" ht="15" hidden="false" customHeight="false" outlineLevel="0" collapsed="false">
      <c r="A139" s="10" t="n">
        <v>45139</v>
      </c>
      <c r="B139" s="11" t="n">
        <f aca="false">YEAR(A139)</f>
        <v>2023</v>
      </c>
      <c r="C139" s="11" t="str">
        <f aca="false">"Q"&amp;ROUNDUP(MONTH(A139)/3,0)</f>
        <v>Q3</v>
      </c>
      <c r="D139" s="11" t="str">
        <f aca="false">B139&amp;"-"&amp;C139</f>
        <v>2023-Q3</v>
      </c>
      <c r="E139" s="11" t="n">
        <f aca="false">MONTH(A139)</f>
        <v>8</v>
      </c>
      <c r="F139" s="11" t="str">
        <f aca="false">TEXT(A139,"mmm")</f>
        <v>Aug</v>
      </c>
      <c r="G139" s="11" t="s">
        <v>208</v>
      </c>
      <c r="H139" s="11" t="s">
        <v>205</v>
      </c>
      <c r="I139" s="12" t="n">
        <v>1869400</v>
      </c>
      <c r="J139" s="12" t="n">
        <v>493543</v>
      </c>
      <c r="K139" s="13" t="n">
        <f aca="false">IF(I139=0,0,J139/I139)</f>
        <v>0.26401144752327</v>
      </c>
      <c r="L139" s="12" t="n">
        <v>227761</v>
      </c>
      <c r="M139" s="12" t="n">
        <v>27594</v>
      </c>
      <c r="N139" s="12" t="n">
        <v>2427</v>
      </c>
      <c r="O139" s="12" t="n">
        <v>133</v>
      </c>
      <c r="P139" s="12" t="n">
        <f aca="false">M139+N139+O139</f>
        <v>30154</v>
      </c>
      <c r="Q139" s="13" t="n">
        <f aca="false">IF(I139=0,0,P139/I139)</f>
        <v>0.0161303091901145</v>
      </c>
      <c r="R139" s="13" t="n">
        <v>0.0497</v>
      </c>
      <c r="S139" s="14" t="n">
        <v>218527</v>
      </c>
      <c r="T139" s="14" t="n">
        <v>21011</v>
      </c>
      <c r="U139" s="14" t="n">
        <v>6935</v>
      </c>
      <c r="V139" s="14" t="n">
        <v>16259</v>
      </c>
      <c r="W139" s="14" t="n">
        <f aca="false">S139+T139+U139+V139</f>
        <v>262732</v>
      </c>
      <c r="X139" s="15" t="n">
        <f aca="false">IF(P139=0,0,S139/P139)</f>
        <v>7.24703190289845</v>
      </c>
      <c r="Y139" s="15" t="n">
        <f aca="false">IF(J139=0,0,W139/J139)</f>
        <v>0.532338620950961</v>
      </c>
      <c r="Z139" s="14" t="n">
        <v>44178</v>
      </c>
      <c r="AA139" s="15" t="n">
        <f aca="false">IF(L139=0,0,Z139/L139)</f>
        <v>0.193966482409192</v>
      </c>
      <c r="AB139" s="12" t="n">
        <v>35664439</v>
      </c>
      <c r="AC139" s="16" t="n">
        <v>10.7</v>
      </c>
      <c r="AD139" s="16" t="n">
        <v>18</v>
      </c>
      <c r="AE139" s="13" t="n">
        <v>0.385</v>
      </c>
      <c r="AF139" s="13" t="n">
        <v>0.575</v>
      </c>
      <c r="AG139" s="13" t="n">
        <v>0.335</v>
      </c>
      <c r="AH139" s="13" t="n">
        <v>0.192</v>
      </c>
      <c r="AI139" s="17"/>
    </row>
    <row r="140" customFormat="false" ht="15" hidden="false" customHeight="false" outlineLevel="0" collapsed="false">
      <c r="A140" s="10" t="n">
        <v>45139</v>
      </c>
      <c r="B140" s="11" t="n">
        <f aca="false">YEAR(A140)</f>
        <v>2023</v>
      </c>
      <c r="C140" s="11" t="str">
        <f aca="false">"Q"&amp;ROUNDUP(MONTH(A140)/3,0)</f>
        <v>Q3</v>
      </c>
      <c r="D140" s="11" t="str">
        <f aca="false">B140&amp;"-"&amp;C140</f>
        <v>2023-Q3</v>
      </c>
      <c r="E140" s="11" t="n">
        <f aca="false">MONTH(A140)</f>
        <v>8</v>
      </c>
      <c r="F140" s="11" t="str">
        <f aca="false">TEXT(A140,"mmm")</f>
        <v>Aug</v>
      </c>
      <c r="G140" s="11" t="s">
        <v>209</v>
      </c>
      <c r="H140" s="11" t="s">
        <v>203</v>
      </c>
      <c r="I140" s="12" t="n">
        <v>2949944</v>
      </c>
      <c r="J140" s="12" t="n">
        <v>898717</v>
      </c>
      <c r="K140" s="13" t="n">
        <f aca="false">IF(I140=0,0,J140/I140)</f>
        <v>0.304655613801482</v>
      </c>
      <c r="L140" s="12" t="n">
        <v>371729</v>
      </c>
      <c r="M140" s="12" t="n">
        <v>66789</v>
      </c>
      <c r="N140" s="12" t="n">
        <v>6759</v>
      </c>
      <c r="O140" s="12" t="n">
        <v>525</v>
      </c>
      <c r="P140" s="12" t="n">
        <f aca="false">M140+N140+O140</f>
        <v>74073</v>
      </c>
      <c r="Q140" s="13" t="n">
        <f aca="false">IF(I140=0,0,P140/I140)</f>
        <v>0.0251099681892266</v>
      </c>
      <c r="R140" s="13" t="n">
        <v>0.0475</v>
      </c>
      <c r="S140" s="14" t="n">
        <v>472671</v>
      </c>
      <c r="T140" s="14" t="n">
        <v>46513</v>
      </c>
      <c r="U140" s="14" t="n">
        <v>17690</v>
      </c>
      <c r="V140" s="14" t="n">
        <v>32357</v>
      </c>
      <c r="W140" s="14" t="n">
        <f aca="false">S140+T140+U140+V140</f>
        <v>569231</v>
      </c>
      <c r="X140" s="15" t="n">
        <f aca="false">IF(P140=0,0,S140/P140)</f>
        <v>6.38115102668989</v>
      </c>
      <c r="Y140" s="15" t="n">
        <f aca="false">IF(J140=0,0,W140/J140)</f>
        <v>0.633381809846704</v>
      </c>
      <c r="Z140" s="14" t="n">
        <v>114081</v>
      </c>
      <c r="AA140" s="15" t="n">
        <f aca="false">IF(L140=0,0,Z140/L140)</f>
        <v>0.30689292468438</v>
      </c>
      <c r="AB140" s="12" t="n">
        <v>65476402</v>
      </c>
      <c r="AC140" s="16" t="n">
        <v>12</v>
      </c>
      <c r="AD140" s="16" t="n">
        <v>18.6</v>
      </c>
      <c r="AE140" s="13" t="n">
        <v>0.381</v>
      </c>
      <c r="AF140" s="13" t="n">
        <v>0.575</v>
      </c>
      <c r="AG140" s="13" t="n">
        <v>0.337</v>
      </c>
      <c r="AH140" s="13" t="n">
        <v>0.206</v>
      </c>
      <c r="AI140" s="17" t="n">
        <v>4.68</v>
      </c>
    </row>
    <row r="141" customFormat="false" ht="15" hidden="false" customHeight="false" outlineLevel="0" collapsed="false">
      <c r="A141" s="10" t="n">
        <v>45139</v>
      </c>
      <c r="B141" s="11" t="n">
        <f aca="false">YEAR(A141)</f>
        <v>2023</v>
      </c>
      <c r="C141" s="11" t="str">
        <f aca="false">"Q"&amp;ROUNDUP(MONTH(A141)/3,0)</f>
        <v>Q3</v>
      </c>
      <c r="D141" s="11" t="str">
        <f aca="false">B141&amp;"-"&amp;C141</f>
        <v>2023-Q3</v>
      </c>
      <c r="E141" s="11" t="n">
        <f aca="false">MONTH(A141)</f>
        <v>8</v>
      </c>
      <c r="F141" s="11" t="str">
        <f aca="false">TEXT(A141,"mmm")</f>
        <v>Aug</v>
      </c>
      <c r="G141" s="11" t="s">
        <v>209</v>
      </c>
      <c r="H141" s="11" t="s">
        <v>204</v>
      </c>
      <c r="I141" s="12" t="n">
        <v>3709537</v>
      </c>
      <c r="J141" s="12" t="n">
        <v>1000026</v>
      </c>
      <c r="K141" s="13" t="n">
        <f aca="false">IF(I141=0,0,J141/I141)</f>
        <v>0.269582430367995</v>
      </c>
      <c r="L141" s="12" t="n">
        <v>350621</v>
      </c>
      <c r="M141" s="12" t="n">
        <v>36754</v>
      </c>
      <c r="N141" s="12" t="n">
        <v>3771</v>
      </c>
      <c r="O141" s="12" t="n">
        <v>216</v>
      </c>
      <c r="P141" s="12" t="n">
        <f aca="false">M141+N141+O141</f>
        <v>40741</v>
      </c>
      <c r="Q141" s="13" t="n">
        <f aca="false">IF(I141=0,0,P141/I141)</f>
        <v>0.0109827722435441</v>
      </c>
      <c r="R141" s="13" t="n">
        <v>0.0443</v>
      </c>
      <c r="S141" s="14" t="n">
        <v>282474</v>
      </c>
      <c r="T141" s="14" t="n">
        <v>26354</v>
      </c>
      <c r="U141" s="14" t="n">
        <v>10000</v>
      </c>
      <c r="V141" s="14" t="n">
        <v>22060</v>
      </c>
      <c r="W141" s="14" t="n">
        <f aca="false">S141+T141+U141+V141</f>
        <v>340888</v>
      </c>
      <c r="X141" s="15" t="n">
        <f aca="false">IF(P141=0,0,S141/P141)</f>
        <v>6.9334086055816</v>
      </c>
      <c r="Y141" s="15" t="n">
        <f aca="false">IF(J141=0,0,W141/J141)</f>
        <v>0.340879137142434</v>
      </c>
      <c r="Z141" s="14" t="n">
        <v>51826</v>
      </c>
      <c r="AA141" s="15" t="n">
        <f aca="false">IF(L141=0,0,Z141/L141)</f>
        <v>0.147812024950017</v>
      </c>
      <c r="AB141" s="12" t="n">
        <v>75800944</v>
      </c>
      <c r="AC141" s="16" t="n">
        <v>11.8</v>
      </c>
      <c r="AD141" s="16" t="n">
        <v>19</v>
      </c>
      <c r="AE141" s="13" t="n">
        <v>0.377</v>
      </c>
      <c r="AF141" s="13" t="n">
        <v>0.571</v>
      </c>
      <c r="AG141" s="13" t="n">
        <v>0.341</v>
      </c>
      <c r="AH141" s="13" t="n">
        <v>0.202</v>
      </c>
      <c r="AI141" s="17" t="n">
        <v>4.6</v>
      </c>
    </row>
    <row r="142" customFormat="false" ht="15" hidden="false" customHeight="false" outlineLevel="0" collapsed="false">
      <c r="A142" s="10" t="n">
        <v>45139</v>
      </c>
      <c r="B142" s="11" t="n">
        <f aca="false">YEAR(A142)</f>
        <v>2023</v>
      </c>
      <c r="C142" s="11" t="str">
        <f aca="false">"Q"&amp;ROUNDUP(MONTH(A142)/3,0)</f>
        <v>Q3</v>
      </c>
      <c r="D142" s="11" t="str">
        <f aca="false">B142&amp;"-"&amp;C142</f>
        <v>2023-Q3</v>
      </c>
      <c r="E142" s="11" t="n">
        <f aca="false">MONTH(A142)</f>
        <v>8</v>
      </c>
      <c r="F142" s="11" t="str">
        <f aca="false">TEXT(A142,"mmm")</f>
        <v>Aug</v>
      </c>
      <c r="G142" s="11" t="s">
        <v>209</v>
      </c>
      <c r="H142" s="11" t="s">
        <v>205</v>
      </c>
      <c r="I142" s="12" t="n">
        <v>1069685</v>
      </c>
      <c r="J142" s="12" t="n">
        <v>269683</v>
      </c>
      <c r="K142" s="13" t="n">
        <f aca="false">IF(I142=0,0,J142/I142)</f>
        <v>0.252114407512492</v>
      </c>
      <c r="L142" s="12" t="n">
        <v>114614</v>
      </c>
      <c r="M142" s="12" t="n">
        <v>9978</v>
      </c>
      <c r="N142" s="12" t="n">
        <v>1033</v>
      </c>
      <c r="O142" s="12" t="n">
        <v>39</v>
      </c>
      <c r="P142" s="12" t="n">
        <f aca="false">M142+N142+O142</f>
        <v>11050</v>
      </c>
      <c r="Q142" s="13" t="n">
        <f aca="false">IF(I142=0,0,P142/I142)</f>
        <v>0.0103301439208739</v>
      </c>
      <c r="R142" s="13" t="n">
        <v>0.0495</v>
      </c>
      <c r="S142" s="14" t="n">
        <v>74585</v>
      </c>
      <c r="T142" s="14" t="n">
        <v>7276</v>
      </c>
      <c r="U142" s="14" t="n">
        <v>2662</v>
      </c>
      <c r="V142" s="14" t="n">
        <v>5442</v>
      </c>
      <c r="W142" s="14" t="n">
        <f aca="false">S142+T142+U142+V142</f>
        <v>89965</v>
      </c>
      <c r="X142" s="15" t="n">
        <f aca="false">IF(P142=0,0,S142/P142)</f>
        <v>6.74977375565611</v>
      </c>
      <c r="Y142" s="15" t="n">
        <f aca="false">IF(J142=0,0,W142/J142)</f>
        <v>0.333595369378122</v>
      </c>
      <c r="Z142" s="14" t="n">
        <v>15921</v>
      </c>
      <c r="AA142" s="15" t="n">
        <f aca="false">IF(L142=0,0,Z142/L142)</f>
        <v>0.138909731795418</v>
      </c>
      <c r="AB142" s="12" t="n">
        <v>20519167</v>
      </c>
      <c r="AC142" s="16" t="n">
        <v>10.5</v>
      </c>
      <c r="AD142" s="16" t="n">
        <v>19.2</v>
      </c>
      <c r="AE142" s="13" t="n">
        <v>0.383</v>
      </c>
      <c r="AF142" s="13" t="n">
        <v>0.57</v>
      </c>
      <c r="AG142" s="13" t="n">
        <v>0.346</v>
      </c>
      <c r="AH142" s="13" t="n">
        <v>0.194</v>
      </c>
      <c r="AI142" s="17"/>
    </row>
    <row r="143" customFormat="false" ht="15" hidden="false" customHeight="false" outlineLevel="0" collapsed="false">
      <c r="A143" s="10" t="n">
        <v>45139</v>
      </c>
      <c r="B143" s="11" t="n">
        <f aca="false">YEAR(A143)</f>
        <v>2023</v>
      </c>
      <c r="C143" s="11" t="str">
        <f aca="false">"Q"&amp;ROUNDUP(MONTH(A143)/3,0)</f>
        <v>Q3</v>
      </c>
      <c r="D143" s="11" t="str">
        <f aca="false">B143&amp;"-"&amp;C143</f>
        <v>2023-Q3</v>
      </c>
      <c r="E143" s="11" t="n">
        <f aca="false">MONTH(A143)</f>
        <v>8</v>
      </c>
      <c r="F143" s="11" t="str">
        <f aca="false">TEXT(A143,"mmm")</f>
        <v>Aug</v>
      </c>
      <c r="G143" s="11" t="s">
        <v>210</v>
      </c>
      <c r="H143" s="11" t="s">
        <v>203</v>
      </c>
      <c r="I143" s="12" t="n">
        <v>4576830</v>
      </c>
      <c r="J143" s="12" t="n">
        <v>1351919</v>
      </c>
      <c r="K143" s="13" t="n">
        <f aca="false">IF(I143=0,0,J143/I143)</f>
        <v>0.295383267458044</v>
      </c>
      <c r="L143" s="12" t="n">
        <v>534095</v>
      </c>
      <c r="M143" s="12" t="n">
        <v>134782</v>
      </c>
      <c r="N143" s="12" t="n">
        <v>13000</v>
      </c>
      <c r="O143" s="12" t="n">
        <v>1054</v>
      </c>
      <c r="P143" s="12" t="n">
        <f aca="false">M143+N143+O143</f>
        <v>148836</v>
      </c>
      <c r="Q143" s="13" t="n">
        <f aca="false">IF(I143=0,0,P143/I143)</f>
        <v>0.0325194512358991</v>
      </c>
      <c r="R143" s="13" t="n">
        <v>0.0461</v>
      </c>
      <c r="S143" s="14" t="n">
        <v>861703</v>
      </c>
      <c r="T143" s="14" t="n">
        <v>78341</v>
      </c>
      <c r="U143" s="14" t="n">
        <v>29628</v>
      </c>
      <c r="V143" s="14" t="n">
        <v>56472</v>
      </c>
      <c r="W143" s="14" t="n">
        <f aca="false">S143+T143+U143+V143</f>
        <v>1026144</v>
      </c>
      <c r="X143" s="15" t="n">
        <f aca="false">IF(P143=0,0,S143/P143)</f>
        <v>5.78961407186433</v>
      </c>
      <c r="Y143" s="15" t="n">
        <f aca="false">IF(J143=0,0,W143/J143)</f>
        <v>0.759027722814754</v>
      </c>
      <c r="Z143" s="14" t="n">
        <v>191139</v>
      </c>
      <c r="AA143" s="15" t="n">
        <f aca="false">IF(L143=0,0,Z143/L143)</f>
        <v>0.35787453542909</v>
      </c>
      <c r="AB143" s="12" t="n">
        <v>107034236</v>
      </c>
      <c r="AC143" s="16" t="n">
        <v>11.9</v>
      </c>
      <c r="AD143" s="16" t="n">
        <v>19</v>
      </c>
      <c r="AE143" s="13" t="n">
        <v>0.369</v>
      </c>
      <c r="AF143" s="13" t="n">
        <v>0.573</v>
      </c>
      <c r="AG143" s="13" t="n">
        <v>0.35</v>
      </c>
      <c r="AH143" s="13" t="n">
        <v>0.201</v>
      </c>
      <c r="AI143" s="17" t="n">
        <v>4.7</v>
      </c>
    </row>
    <row r="144" customFormat="false" ht="15" hidden="false" customHeight="false" outlineLevel="0" collapsed="false">
      <c r="A144" s="10" t="n">
        <v>45139</v>
      </c>
      <c r="B144" s="11" t="n">
        <f aca="false">YEAR(A144)</f>
        <v>2023</v>
      </c>
      <c r="C144" s="11" t="str">
        <f aca="false">"Q"&amp;ROUNDUP(MONTH(A144)/3,0)</f>
        <v>Q3</v>
      </c>
      <c r="D144" s="11" t="str">
        <f aca="false">B144&amp;"-"&amp;C144</f>
        <v>2023-Q3</v>
      </c>
      <c r="E144" s="11" t="n">
        <f aca="false">MONTH(A144)</f>
        <v>8</v>
      </c>
      <c r="F144" s="11" t="str">
        <f aca="false">TEXT(A144,"mmm")</f>
        <v>Aug</v>
      </c>
      <c r="G144" s="11" t="s">
        <v>210</v>
      </c>
      <c r="H144" s="11" t="s">
        <v>204</v>
      </c>
      <c r="I144" s="12" t="n">
        <v>5824109</v>
      </c>
      <c r="J144" s="12" t="n">
        <v>1567762</v>
      </c>
      <c r="K144" s="13" t="n">
        <f aca="false">IF(I144=0,0,J144/I144)</f>
        <v>0.269184865873905</v>
      </c>
      <c r="L144" s="12" t="n">
        <v>667908</v>
      </c>
      <c r="M144" s="12" t="n">
        <v>78516</v>
      </c>
      <c r="N144" s="12" t="n">
        <v>7466</v>
      </c>
      <c r="O144" s="12" t="n">
        <v>459</v>
      </c>
      <c r="P144" s="12" t="n">
        <f aca="false">M144+N144+O144</f>
        <v>86441</v>
      </c>
      <c r="Q144" s="13" t="n">
        <f aca="false">IF(I144=0,0,P144/I144)</f>
        <v>0.014841926893882</v>
      </c>
      <c r="R144" s="13" t="n">
        <v>0.0495</v>
      </c>
      <c r="S144" s="14" t="n">
        <v>537783</v>
      </c>
      <c r="T144" s="14" t="n">
        <v>55161</v>
      </c>
      <c r="U144" s="14" t="n">
        <v>19881</v>
      </c>
      <c r="V144" s="14" t="n">
        <v>44878</v>
      </c>
      <c r="W144" s="14" t="n">
        <f aca="false">S144+T144+U144+V144</f>
        <v>657703</v>
      </c>
      <c r="X144" s="15" t="n">
        <f aca="false">IF(P144=0,0,S144/P144)</f>
        <v>6.22138799875059</v>
      </c>
      <c r="Y144" s="15" t="n">
        <f aca="false">IF(J144=0,0,W144/J144)</f>
        <v>0.419517120583354</v>
      </c>
      <c r="Z144" s="14" t="n">
        <v>139059</v>
      </c>
      <c r="AA144" s="15" t="n">
        <f aca="false">IF(L144=0,0,Z144/L144)</f>
        <v>0.208200830054439</v>
      </c>
      <c r="AB144" s="12" t="n">
        <v>118622412</v>
      </c>
      <c r="AC144" s="16" t="n">
        <v>11.6</v>
      </c>
      <c r="AD144" s="16" t="n">
        <v>18.9</v>
      </c>
      <c r="AE144" s="13" t="n">
        <v>0.381</v>
      </c>
      <c r="AF144" s="13" t="n">
        <v>0.579</v>
      </c>
      <c r="AG144" s="13" t="n">
        <v>0.329</v>
      </c>
      <c r="AH144" s="13" t="n">
        <v>0.2</v>
      </c>
      <c r="AI144" s="17" t="n">
        <v>4.61</v>
      </c>
    </row>
    <row r="145" customFormat="false" ht="15" hidden="false" customHeight="false" outlineLevel="0" collapsed="false">
      <c r="A145" s="10" t="n">
        <v>45139</v>
      </c>
      <c r="B145" s="11" t="n">
        <f aca="false">YEAR(A145)</f>
        <v>2023</v>
      </c>
      <c r="C145" s="11" t="str">
        <f aca="false">"Q"&amp;ROUNDUP(MONTH(A145)/3,0)</f>
        <v>Q3</v>
      </c>
      <c r="D145" s="11" t="str">
        <f aca="false">B145&amp;"-"&amp;C145</f>
        <v>2023-Q3</v>
      </c>
      <c r="E145" s="11" t="n">
        <f aca="false">MONTH(A145)</f>
        <v>8</v>
      </c>
      <c r="F145" s="11" t="str">
        <f aca="false">TEXT(A145,"mmm")</f>
        <v>Aug</v>
      </c>
      <c r="G145" s="11" t="s">
        <v>210</v>
      </c>
      <c r="H145" s="11" t="s">
        <v>205</v>
      </c>
      <c r="I145" s="12" t="n">
        <v>1727837</v>
      </c>
      <c r="J145" s="12" t="n">
        <v>423089</v>
      </c>
      <c r="K145" s="13" t="n">
        <f aca="false">IF(I145=0,0,J145/I145)</f>
        <v>0.244866269214052</v>
      </c>
      <c r="L145" s="12" t="n">
        <v>159948</v>
      </c>
      <c r="M145" s="12" t="n">
        <v>21025</v>
      </c>
      <c r="N145" s="12" t="n">
        <v>1753</v>
      </c>
      <c r="O145" s="12" t="n">
        <v>81</v>
      </c>
      <c r="P145" s="12" t="n">
        <f aca="false">M145+N145+O145</f>
        <v>22859</v>
      </c>
      <c r="Q145" s="13" t="n">
        <f aca="false">IF(I145=0,0,P145/I145)</f>
        <v>0.0132298359162352</v>
      </c>
      <c r="R145" s="13" t="n">
        <v>0.0488</v>
      </c>
      <c r="S145" s="14" t="n">
        <v>137015</v>
      </c>
      <c r="T145" s="14" t="n">
        <v>12597</v>
      </c>
      <c r="U145" s="14" t="n">
        <v>4813</v>
      </c>
      <c r="V145" s="14" t="n">
        <v>10848</v>
      </c>
      <c r="W145" s="14" t="n">
        <f aca="false">S145+T145+U145+V145</f>
        <v>165273</v>
      </c>
      <c r="X145" s="15" t="n">
        <f aca="false">IF(P145=0,0,S145/P145)</f>
        <v>5.99391924406142</v>
      </c>
      <c r="Y145" s="15" t="n">
        <f aca="false">IF(J145=0,0,W145/J145)</f>
        <v>0.390634121898702</v>
      </c>
      <c r="Z145" s="14" t="n">
        <v>28416</v>
      </c>
      <c r="AA145" s="15" t="n">
        <f aca="false">IF(L145=0,0,Z145/L145)</f>
        <v>0.177657738765099</v>
      </c>
      <c r="AB145" s="12" t="n">
        <v>31898389</v>
      </c>
      <c r="AC145" s="16" t="n">
        <v>10.5</v>
      </c>
      <c r="AD145" s="16" t="n">
        <v>19.1</v>
      </c>
      <c r="AE145" s="13" t="n">
        <v>0.383</v>
      </c>
      <c r="AF145" s="13" t="n">
        <v>0.563</v>
      </c>
      <c r="AG145" s="13" t="n">
        <v>0.35</v>
      </c>
      <c r="AH145" s="13" t="n">
        <v>0.186</v>
      </c>
      <c r="AI145" s="17"/>
    </row>
    <row r="146" customFormat="false" ht="15" hidden="false" customHeight="false" outlineLevel="0" collapsed="false">
      <c r="A146" s="10" t="n">
        <v>45170</v>
      </c>
      <c r="B146" s="11" t="n">
        <f aca="false">YEAR(A146)</f>
        <v>2023</v>
      </c>
      <c r="C146" s="11" t="str">
        <f aca="false">"Q"&amp;ROUNDUP(MONTH(A146)/3,0)</f>
        <v>Q3</v>
      </c>
      <c r="D146" s="11" t="str">
        <f aca="false">B146&amp;"-"&amp;C146</f>
        <v>2023-Q3</v>
      </c>
      <c r="E146" s="11" t="n">
        <f aca="false">MONTH(A146)</f>
        <v>9</v>
      </c>
      <c r="F146" s="11" t="str">
        <f aca="false">TEXT(A146,"mmm")</f>
        <v>Sep</v>
      </c>
      <c r="G146" s="11" t="s">
        <v>202</v>
      </c>
      <c r="H146" s="11" t="s">
        <v>203</v>
      </c>
      <c r="I146" s="12" t="n">
        <v>6961067</v>
      </c>
      <c r="J146" s="12" t="n">
        <v>2218200</v>
      </c>
      <c r="K146" s="13" t="n">
        <f aca="false">IF(I146=0,0,J146/I146)</f>
        <v>0.318658044808361</v>
      </c>
      <c r="L146" s="12" t="n">
        <v>882245</v>
      </c>
      <c r="M146" s="12" t="n">
        <v>1377503</v>
      </c>
      <c r="N146" s="12" t="n">
        <v>125440</v>
      </c>
      <c r="O146" s="12" t="n">
        <v>50431</v>
      </c>
      <c r="P146" s="12" t="n">
        <f aca="false">M146+N146+O146</f>
        <v>1553374</v>
      </c>
      <c r="Q146" s="13" t="n">
        <f aca="false">IF(I146=0,0,P146/I146)</f>
        <v>0.223151709357201</v>
      </c>
      <c r="R146" s="13" t="n">
        <v>0.0458</v>
      </c>
      <c r="S146" s="14" t="n">
        <v>11104219</v>
      </c>
      <c r="T146" s="14" t="n">
        <v>1071889</v>
      </c>
      <c r="U146" s="14" t="n">
        <v>394322</v>
      </c>
      <c r="V146" s="14" t="n">
        <v>887505</v>
      </c>
      <c r="W146" s="14" t="n">
        <f aca="false">S146+T146+U146+V146</f>
        <v>13457935</v>
      </c>
      <c r="X146" s="15" t="n">
        <f aca="false">IF(P146=0,0,S146/P146)</f>
        <v>7.14845169289559</v>
      </c>
      <c r="Y146" s="15" t="n">
        <f aca="false">IF(J146=0,0,W146/J146)</f>
        <v>6.06705211432693</v>
      </c>
      <c r="Z146" s="14" t="n">
        <v>2280463</v>
      </c>
      <c r="AA146" s="15" t="n">
        <f aca="false">IF(L146=0,0,Z146/L146)</f>
        <v>2.58484094554234</v>
      </c>
      <c r="AB146" s="12" t="n">
        <v>168014177</v>
      </c>
      <c r="AC146" s="16" t="n">
        <v>12.2</v>
      </c>
      <c r="AD146" s="16" t="n">
        <v>19.5</v>
      </c>
      <c r="AE146" s="13" t="n">
        <v>0.373</v>
      </c>
      <c r="AF146" s="13" t="n">
        <v>0.573</v>
      </c>
      <c r="AG146" s="13" t="n">
        <v>0.335</v>
      </c>
      <c r="AH146" s="13" t="n">
        <v>0.196</v>
      </c>
      <c r="AI146" s="17" t="n">
        <v>4.65</v>
      </c>
    </row>
    <row r="147" customFormat="false" ht="15" hidden="false" customHeight="false" outlineLevel="0" collapsed="false">
      <c r="A147" s="10" t="n">
        <v>45170</v>
      </c>
      <c r="B147" s="11" t="n">
        <f aca="false">YEAR(A147)</f>
        <v>2023</v>
      </c>
      <c r="C147" s="11" t="str">
        <f aca="false">"Q"&amp;ROUNDUP(MONTH(A147)/3,0)</f>
        <v>Q3</v>
      </c>
      <c r="D147" s="11" t="str">
        <f aca="false">B147&amp;"-"&amp;C147</f>
        <v>2023-Q3</v>
      </c>
      <c r="E147" s="11" t="n">
        <f aca="false">MONTH(A147)</f>
        <v>9</v>
      </c>
      <c r="F147" s="11" t="str">
        <f aca="false">TEXT(A147,"mmm")</f>
        <v>Sep</v>
      </c>
      <c r="G147" s="11" t="s">
        <v>202</v>
      </c>
      <c r="H147" s="11" t="s">
        <v>204</v>
      </c>
      <c r="I147" s="12" t="n">
        <v>7391056</v>
      </c>
      <c r="J147" s="12" t="n">
        <v>2232038</v>
      </c>
      <c r="K147" s="13" t="n">
        <f aca="false">IF(I147=0,0,J147/I147)</f>
        <v>0.301991758687798</v>
      </c>
      <c r="L147" s="12" t="n">
        <v>1159008</v>
      </c>
      <c r="M147" s="12" t="n">
        <v>799141</v>
      </c>
      <c r="N147" s="12" t="n">
        <v>82058</v>
      </c>
      <c r="O147" s="12" t="n">
        <v>21992</v>
      </c>
      <c r="P147" s="12" t="n">
        <f aca="false">M147+N147+O147</f>
        <v>903191</v>
      </c>
      <c r="Q147" s="13" t="n">
        <f aca="false">IF(I147=0,0,P147/I147)</f>
        <v>0.122200535349752</v>
      </c>
      <c r="R147" s="13" t="n">
        <v>0.0458</v>
      </c>
      <c r="S147" s="14" t="n">
        <v>6030390</v>
      </c>
      <c r="T147" s="14" t="n">
        <v>561497</v>
      </c>
      <c r="U147" s="14" t="n">
        <v>270901</v>
      </c>
      <c r="V147" s="14" t="n">
        <v>462466</v>
      </c>
      <c r="W147" s="14" t="n">
        <f aca="false">S147+T147+U147+V147</f>
        <v>7325254</v>
      </c>
      <c r="X147" s="15" t="n">
        <f aca="false">IF(P147=0,0,S147/P147)</f>
        <v>6.67676050802101</v>
      </c>
      <c r="Y147" s="15" t="n">
        <f aca="false">IF(J147=0,0,W147/J147)</f>
        <v>3.28186796102934</v>
      </c>
      <c r="Z147" s="14" t="n">
        <v>1356064</v>
      </c>
      <c r="AA147" s="15" t="n">
        <f aca="false">IF(L147=0,0,Z147/L147)</f>
        <v>1.1700212595599</v>
      </c>
      <c r="AB147" s="12" t="n">
        <v>168033863</v>
      </c>
      <c r="AC147" s="16" t="n">
        <v>11.8</v>
      </c>
      <c r="AD147" s="16" t="n">
        <v>20.1</v>
      </c>
      <c r="AE147" s="13" t="n">
        <v>0.393</v>
      </c>
      <c r="AF147" s="13" t="n">
        <v>0.582</v>
      </c>
      <c r="AG147" s="13" t="n">
        <v>0.343</v>
      </c>
      <c r="AH147" s="13" t="n">
        <v>0.202</v>
      </c>
      <c r="AI147" s="17" t="n">
        <v>4.61</v>
      </c>
    </row>
    <row r="148" customFormat="false" ht="15" hidden="false" customHeight="false" outlineLevel="0" collapsed="false">
      <c r="A148" s="10" t="n">
        <v>45170</v>
      </c>
      <c r="B148" s="11" t="n">
        <f aca="false">YEAR(A148)</f>
        <v>2023</v>
      </c>
      <c r="C148" s="11" t="str">
        <f aca="false">"Q"&amp;ROUNDUP(MONTH(A148)/3,0)</f>
        <v>Q3</v>
      </c>
      <c r="D148" s="11" t="str">
        <f aca="false">B148&amp;"-"&amp;C148</f>
        <v>2023-Q3</v>
      </c>
      <c r="E148" s="11" t="n">
        <f aca="false">MONTH(A148)</f>
        <v>9</v>
      </c>
      <c r="F148" s="11" t="str">
        <f aca="false">TEXT(A148,"mmm")</f>
        <v>Sep</v>
      </c>
      <c r="G148" s="11" t="s">
        <v>202</v>
      </c>
      <c r="H148" s="11" t="s">
        <v>205</v>
      </c>
      <c r="I148" s="12" t="n">
        <v>2448377</v>
      </c>
      <c r="J148" s="12" t="n">
        <v>664954</v>
      </c>
      <c r="K148" s="13" t="n">
        <f aca="false">IF(I148=0,0,J148/I148)</f>
        <v>0.271589710244787</v>
      </c>
      <c r="L148" s="12" t="n">
        <v>293946</v>
      </c>
      <c r="M148" s="12" t="n">
        <v>209186</v>
      </c>
      <c r="N148" s="12" t="n">
        <v>20618</v>
      </c>
      <c r="O148" s="12" t="n">
        <v>3792</v>
      </c>
      <c r="P148" s="12" t="n">
        <f aca="false">M148+N148+O148</f>
        <v>233596</v>
      </c>
      <c r="Q148" s="13" t="n">
        <f aca="false">IF(I148=0,0,P148/I148)</f>
        <v>0.0954085093921402</v>
      </c>
      <c r="R148" s="13" t="n">
        <v>0.0462</v>
      </c>
      <c r="S148" s="14" t="n">
        <v>1705052</v>
      </c>
      <c r="T148" s="14" t="n">
        <v>151789</v>
      </c>
      <c r="U148" s="14" t="n">
        <v>61751</v>
      </c>
      <c r="V148" s="14" t="n">
        <v>125869</v>
      </c>
      <c r="W148" s="14" t="n">
        <f aca="false">S148+T148+U148+V148</f>
        <v>2044461</v>
      </c>
      <c r="X148" s="15" t="n">
        <f aca="false">IF(P148=0,0,S148/P148)</f>
        <v>7.2991489580301</v>
      </c>
      <c r="Y148" s="15" t="n">
        <f aca="false">IF(J148=0,0,W148/J148)</f>
        <v>3.07459012202348</v>
      </c>
      <c r="Z148" s="14" t="n">
        <v>346513</v>
      </c>
      <c r="AA148" s="15" t="n">
        <f aca="false">IF(L148=0,0,Z148/L148)</f>
        <v>1.17883216645234</v>
      </c>
      <c r="AB148" s="12" t="n">
        <v>47986502</v>
      </c>
      <c r="AC148" s="16" t="n">
        <v>10.3</v>
      </c>
      <c r="AD148" s="16" t="n">
        <v>19.6</v>
      </c>
      <c r="AE148" s="13" t="n">
        <v>0.383</v>
      </c>
      <c r="AF148" s="13" t="n">
        <v>0.557</v>
      </c>
      <c r="AG148" s="13" t="n">
        <v>0.337</v>
      </c>
      <c r="AH148" s="13" t="n">
        <v>0.192</v>
      </c>
      <c r="AI148" s="17"/>
    </row>
    <row r="149" customFormat="false" ht="15" hidden="false" customHeight="false" outlineLevel="0" collapsed="false">
      <c r="A149" s="10" t="n">
        <v>45170</v>
      </c>
      <c r="B149" s="11" t="n">
        <f aca="false">YEAR(A149)</f>
        <v>2023</v>
      </c>
      <c r="C149" s="11" t="str">
        <f aca="false">"Q"&amp;ROUNDUP(MONTH(A149)/3,0)</f>
        <v>Q3</v>
      </c>
      <c r="D149" s="11" t="str">
        <f aca="false">B149&amp;"-"&amp;C149</f>
        <v>2023-Q3</v>
      </c>
      <c r="E149" s="11" t="n">
        <f aca="false">MONTH(A149)</f>
        <v>9</v>
      </c>
      <c r="F149" s="11" t="str">
        <f aca="false">TEXT(A149,"mmm")</f>
        <v>Sep</v>
      </c>
      <c r="G149" s="11" t="s">
        <v>206</v>
      </c>
      <c r="H149" s="11" t="s">
        <v>203</v>
      </c>
      <c r="I149" s="12" t="n">
        <v>7550392</v>
      </c>
      <c r="J149" s="12" t="n">
        <v>2425646</v>
      </c>
      <c r="K149" s="13" t="n">
        <f aca="false">IF(I149=0,0,J149/I149)</f>
        <v>0.321260935856046</v>
      </c>
      <c r="L149" s="12" t="n">
        <v>1053920</v>
      </c>
      <c r="M149" s="12" t="n">
        <v>826141</v>
      </c>
      <c r="N149" s="12" t="n">
        <v>82612</v>
      </c>
      <c r="O149" s="12" t="n">
        <v>18821</v>
      </c>
      <c r="P149" s="12" t="n">
        <f aca="false">M149+N149+O149</f>
        <v>927574</v>
      </c>
      <c r="Q149" s="13" t="n">
        <f aca="false">IF(I149=0,0,P149/I149)</f>
        <v>0.122851104949253</v>
      </c>
      <c r="R149" s="13" t="n">
        <v>0.0454</v>
      </c>
      <c r="S149" s="14" t="n">
        <v>6174004</v>
      </c>
      <c r="T149" s="14" t="n">
        <v>607959</v>
      </c>
      <c r="U149" s="14" t="n">
        <v>239875</v>
      </c>
      <c r="V149" s="14" t="n">
        <v>434062</v>
      </c>
      <c r="W149" s="14" t="n">
        <f aca="false">S149+T149+U149+V149</f>
        <v>7455900</v>
      </c>
      <c r="X149" s="15" t="n">
        <f aca="false">IF(P149=0,0,S149/P149)</f>
        <v>6.65607703536322</v>
      </c>
      <c r="Y149" s="15" t="n">
        <f aca="false">IF(J149=0,0,W149/J149)</f>
        <v>3.07377910874052</v>
      </c>
      <c r="Z149" s="14" t="n">
        <v>1373350</v>
      </c>
      <c r="AA149" s="15" t="n">
        <f aca="false">IF(L149=0,0,Z149/L149)</f>
        <v>1.30308752087445</v>
      </c>
      <c r="AB149" s="12" t="n">
        <v>177328950</v>
      </c>
      <c r="AC149" s="16" t="n">
        <v>11.9</v>
      </c>
      <c r="AD149" s="16" t="n">
        <v>19.9</v>
      </c>
      <c r="AE149" s="13" t="n">
        <v>0.388</v>
      </c>
      <c r="AF149" s="13" t="n">
        <v>0.567</v>
      </c>
      <c r="AG149" s="13" t="n">
        <v>0.341</v>
      </c>
      <c r="AH149" s="13" t="n">
        <v>0.211</v>
      </c>
      <c r="AI149" s="17" t="n">
        <v>4.65</v>
      </c>
    </row>
    <row r="150" customFormat="false" ht="15" hidden="false" customHeight="false" outlineLevel="0" collapsed="false">
      <c r="A150" s="10" t="n">
        <v>45170</v>
      </c>
      <c r="B150" s="11" t="n">
        <f aca="false">YEAR(A150)</f>
        <v>2023</v>
      </c>
      <c r="C150" s="11" t="str">
        <f aca="false">"Q"&amp;ROUNDUP(MONTH(A150)/3,0)</f>
        <v>Q3</v>
      </c>
      <c r="D150" s="11" t="str">
        <f aca="false">B150&amp;"-"&amp;C150</f>
        <v>2023-Q3</v>
      </c>
      <c r="E150" s="11" t="n">
        <f aca="false">MONTH(A150)</f>
        <v>9</v>
      </c>
      <c r="F150" s="11" t="str">
        <f aca="false">TEXT(A150,"mmm")</f>
        <v>Sep</v>
      </c>
      <c r="G150" s="11" t="s">
        <v>206</v>
      </c>
      <c r="H150" s="11" t="s">
        <v>204</v>
      </c>
      <c r="I150" s="12" t="n">
        <v>9724803</v>
      </c>
      <c r="J150" s="12" t="n">
        <v>2822029</v>
      </c>
      <c r="K150" s="13" t="n">
        <f aca="false">IF(I150=0,0,J150/I150)</f>
        <v>0.290188808966105</v>
      </c>
      <c r="L150" s="12" t="n">
        <v>1206110</v>
      </c>
      <c r="M150" s="12" t="n">
        <v>502137</v>
      </c>
      <c r="N150" s="12" t="n">
        <v>48326</v>
      </c>
      <c r="O150" s="12" t="n">
        <v>8506</v>
      </c>
      <c r="P150" s="12" t="n">
        <f aca="false">M150+N150+O150</f>
        <v>558969</v>
      </c>
      <c r="Q150" s="13" t="n">
        <f aca="false">IF(I150=0,0,P150/I150)</f>
        <v>0.0574786964836203</v>
      </c>
      <c r="R150" s="13" t="n">
        <v>0.0466</v>
      </c>
      <c r="S150" s="14" t="n">
        <v>3579007</v>
      </c>
      <c r="T150" s="14" t="n">
        <v>334550</v>
      </c>
      <c r="U150" s="14" t="n">
        <v>129517</v>
      </c>
      <c r="V150" s="14" t="n">
        <v>284181</v>
      </c>
      <c r="W150" s="14" t="n">
        <f aca="false">S150+T150+U150+V150</f>
        <v>4327255</v>
      </c>
      <c r="X150" s="15" t="n">
        <f aca="false">IF(P150=0,0,S150/P150)</f>
        <v>6.40287207340658</v>
      </c>
      <c r="Y150" s="15" t="n">
        <f aca="false">IF(J150=0,0,W150/J150)</f>
        <v>1.5333843132016</v>
      </c>
      <c r="Z150" s="14" t="n">
        <v>822637</v>
      </c>
      <c r="AA150" s="15" t="n">
        <f aca="false">IF(L150=0,0,Z150/L150)</f>
        <v>0.682058021241844</v>
      </c>
      <c r="AB150" s="12" t="n">
        <v>210791401</v>
      </c>
      <c r="AC150" s="16" t="n">
        <v>11.8</v>
      </c>
      <c r="AD150" s="16" t="n">
        <v>19.3</v>
      </c>
      <c r="AE150" s="13" t="n">
        <v>0.394</v>
      </c>
      <c r="AF150" s="13" t="n">
        <v>0.576</v>
      </c>
      <c r="AG150" s="13" t="n">
        <v>0.341</v>
      </c>
      <c r="AH150" s="13" t="n">
        <v>0.186</v>
      </c>
      <c r="AI150" s="17" t="n">
        <v>4.62</v>
      </c>
    </row>
    <row r="151" customFormat="false" ht="15" hidden="false" customHeight="false" outlineLevel="0" collapsed="false">
      <c r="A151" s="10" t="n">
        <v>45170</v>
      </c>
      <c r="B151" s="11" t="n">
        <f aca="false">YEAR(A151)</f>
        <v>2023</v>
      </c>
      <c r="C151" s="11" t="str">
        <f aca="false">"Q"&amp;ROUNDUP(MONTH(A151)/3,0)</f>
        <v>Q3</v>
      </c>
      <c r="D151" s="11" t="str">
        <f aca="false">B151&amp;"-"&amp;C151</f>
        <v>2023-Q3</v>
      </c>
      <c r="E151" s="11" t="n">
        <f aca="false">MONTH(A151)</f>
        <v>9</v>
      </c>
      <c r="F151" s="11" t="str">
        <f aca="false">TEXT(A151,"mmm")</f>
        <v>Sep</v>
      </c>
      <c r="G151" s="11" t="s">
        <v>206</v>
      </c>
      <c r="H151" s="11" t="s">
        <v>205</v>
      </c>
      <c r="I151" s="12" t="n">
        <v>2894952</v>
      </c>
      <c r="J151" s="12" t="n">
        <v>796826</v>
      </c>
      <c r="K151" s="13" t="n">
        <f aca="false">IF(I151=0,0,J151/I151)</f>
        <v>0.275246705299432</v>
      </c>
      <c r="L151" s="12" t="n">
        <v>363137</v>
      </c>
      <c r="M151" s="12" t="n">
        <v>125952</v>
      </c>
      <c r="N151" s="12" t="n">
        <v>12153</v>
      </c>
      <c r="O151" s="12" t="n">
        <v>1416</v>
      </c>
      <c r="P151" s="12" t="n">
        <f aca="false">M151+N151+O151</f>
        <v>139521</v>
      </c>
      <c r="Q151" s="13" t="n">
        <f aca="false">IF(I151=0,0,P151/I151)</f>
        <v>0.0481945814645631</v>
      </c>
      <c r="R151" s="13" t="n">
        <v>0.0473</v>
      </c>
      <c r="S151" s="14" t="n">
        <v>985808</v>
      </c>
      <c r="T151" s="14" t="n">
        <v>98140</v>
      </c>
      <c r="U151" s="14" t="n">
        <v>37152</v>
      </c>
      <c r="V151" s="14" t="n">
        <v>76320</v>
      </c>
      <c r="W151" s="14" t="n">
        <f aca="false">S151+T151+U151+V151</f>
        <v>1197420</v>
      </c>
      <c r="X151" s="15" t="n">
        <f aca="false">IF(P151=0,0,S151/P151)</f>
        <v>7.0656603665398</v>
      </c>
      <c r="Y151" s="15" t="n">
        <f aca="false">IF(J151=0,0,W151/J151)</f>
        <v>1.50273710948187</v>
      </c>
      <c r="Z151" s="14" t="n">
        <v>189727</v>
      </c>
      <c r="AA151" s="15" t="n">
        <f aca="false">IF(L151=0,0,Z151/L151)</f>
        <v>0.522466727433448</v>
      </c>
      <c r="AB151" s="12" t="n">
        <v>60616258</v>
      </c>
      <c r="AC151" s="16" t="n">
        <v>10.7</v>
      </c>
      <c r="AD151" s="16" t="n">
        <v>20.1</v>
      </c>
      <c r="AE151" s="13" t="n">
        <v>0.395</v>
      </c>
      <c r="AF151" s="13" t="n">
        <v>0.564</v>
      </c>
      <c r="AG151" s="13" t="n">
        <v>0.338</v>
      </c>
      <c r="AH151" s="13" t="n">
        <v>0.2</v>
      </c>
      <c r="AI151" s="17"/>
    </row>
    <row r="152" customFormat="false" ht="15" hidden="false" customHeight="false" outlineLevel="0" collapsed="false">
      <c r="A152" s="10" t="n">
        <v>45170</v>
      </c>
      <c r="B152" s="11" t="n">
        <f aca="false">YEAR(A152)</f>
        <v>2023</v>
      </c>
      <c r="C152" s="11" t="str">
        <f aca="false">"Q"&amp;ROUNDUP(MONTH(A152)/3,0)</f>
        <v>Q3</v>
      </c>
      <c r="D152" s="11" t="str">
        <f aca="false">B152&amp;"-"&amp;C152</f>
        <v>2023-Q3</v>
      </c>
      <c r="E152" s="11" t="n">
        <f aca="false">MONTH(A152)</f>
        <v>9</v>
      </c>
      <c r="F152" s="11" t="str">
        <f aca="false">TEXT(A152,"mmm")</f>
        <v>Sep</v>
      </c>
      <c r="G152" s="11" t="s">
        <v>207</v>
      </c>
      <c r="H152" s="11" t="s">
        <v>203</v>
      </c>
      <c r="I152" s="12" t="n">
        <v>5792991</v>
      </c>
      <c r="J152" s="12" t="n">
        <v>1724538</v>
      </c>
      <c r="K152" s="13" t="n">
        <f aca="false">IF(I152=0,0,J152/I152)</f>
        <v>0.297693885593815</v>
      </c>
      <c r="L152" s="12" t="n">
        <v>870936</v>
      </c>
      <c r="M152" s="12" t="n">
        <v>396629</v>
      </c>
      <c r="N152" s="12" t="n">
        <v>35411</v>
      </c>
      <c r="O152" s="12" t="n">
        <v>6225</v>
      </c>
      <c r="P152" s="12" t="n">
        <f aca="false">M152+N152+O152</f>
        <v>438265</v>
      </c>
      <c r="Q152" s="13" t="n">
        <f aca="false">IF(I152=0,0,P152/I152)</f>
        <v>0.0756543554098392</v>
      </c>
      <c r="R152" s="13" t="n">
        <v>0.0481</v>
      </c>
      <c r="S152" s="14" t="n">
        <v>2847055</v>
      </c>
      <c r="T152" s="14" t="n">
        <v>253764</v>
      </c>
      <c r="U152" s="14" t="n">
        <v>110892</v>
      </c>
      <c r="V152" s="14" t="n">
        <v>231822</v>
      </c>
      <c r="W152" s="14" t="n">
        <f aca="false">S152+T152+U152+V152</f>
        <v>3443533</v>
      </c>
      <c r="X152" s="15" t="n">
        <f aca="false">IF(P152=0,0,S152/P152)</f>
        <v>6.49619522435056</v>
      </c>
      <c r="Y152" s="15" t="n">
        <f aca="false">IF(J152=0,0,W152/J152)</f>
        <v>1.99678580582162</v>
      </c>
      <c r="Z152" s="14" t="n">
        <v>606721</v>
      </c>
      <c r="AA152" s="15" t="n">
        <f aca="false">IF(L152=0,0,Z152/L152)</f>
        <v>0.696630980921675</v>
      </c>
      <c r="AB152" s="12" t="n">
        <v>132084181</v>
      </c>
      <c r="AC152" s="16" t="n">
        <v>11.8</v>
      </c>
      <c r="AD152" s="16" t="n">
        <v>19.8</v>
      </c>
      <c r="AE152" s="13" t="n">
        <v>0.388</v>
      </c>
      <c r="AF152" s="13" t="n">
        <v>0.566</v>
      </c>
      <c r="AG152" s="13" t="n">
        <v>0.345</v>
      </c>
      <c r="AH152" s="13" t="n">
        <v>0.204</v>
      </c>
      <c r="AI152" s="17" t="n">
        <v>4.68</v>
      </c>
    </row>
    <row r="153" customFormat="false" ht="15" hidden="false" customHeight="false" outlineLevel="0" collapsed="false">
      <c r="A153" s="10" t="n">
        <v>45170</v>
      </c>
      <c r="B153" s="11" t="n">
        <f aca="false">YEAR(A153)</f>
        <v>2023</v>
      </c>
      <c r="C153" s="11" t="str">
        <f aca="false">"Q"&amp;ROUNDUP(MONTH(A153)/3,0)</f>
        <v>Q3</v>
      </c>
      <c r="D153" s="11" t="str">
        <f aca="false">B153&amp;"-"&amp;C153</f>
        <v>2023-Q3</v>
      </c>
      <c r="E153" s="11" t="n">
        <f aca="false">MONTH(A153)</f>
        <v>9</v>
      </c>
      <c r="F153" s="11" t="str">
        <f aca="false">TEXT(A153,"mmm")</f>
        <v>Sep</v>
      </c>
      <c r="G153" s="11" t="s">
        <v>207</v>
      </c>
      <c r="H153" s="11" t="s">
        <v>204</v>
      </c>
      <c r="I153" s="12" t="n">
        <v>6933703</v>
      </c>
      <c r="J153" s="12" t="n">
        <v>1895791</v>
      </c>
      <c r="K153" s="13" t="n">
        <f aca="false">IF(I153=0,0,J153/I153)</f>
        <v>0.273416816382242</v>
      </c>
      <c r="L153" s="12" t="n">
        <v>858669</v>
      </c>
      <c r="M153" s="12" t="n">
        <v>209241</v>
      </c>
      <c r="N153" s="12" t="n">
        <v>21695</v>
      </c>
      <c r="O153" s="12" t="n">
        <v>2487</v>
      </c>
      <c r="P153" s="12" t="n">
        <f aca="false">M153+N153+O153</f>
        <v>233423</v>
      </c>
      <c r="Q153" s="13" t="n">
        <f aca="false">IF(I153=0,0,P153/I153)</f>
        <v>0.0336649839198477</v>
      </c>
      <c r="R153" s="13" t="n">
        <v>0.0465</v>
      </c>
      <c r="S153" s="14" t="n">
        <v>1704294</v>
      </c>
      <c r="T153" s="14" t="n">
        <v>176623</v>
      </c>
      <c r="U153" s="14" t="n">
        <v>55099</v>
      </c>
      <c r="V153" s="14" t="n">
        <v>138566</v>
      </c>
      <c r="W153" s="14" t="n">
        <f aca="false">S153+T153+U153+V153</f>
        <v>2074582</v>
      </c>
      <c r="X153" s="15" t="n">
        <f aca="false">IF(P153=0,0,S153/P153)</f>
        <v>7.30131135320855</v>
      </c>
      <c r="Y153" s="15" t="n">
        <f aca="false">IF(J153=0,0,W153/J153)</f>
        <v>1.09430944655819</v>
      </c>
      <c r="Z153" s="14" t="n">
        <v>357161</v>
      </c>
      <c r="AA153" s="15" t="n">
        <f aca="false">IF(L153=0,0,Z153/L153)</f>
        <v>0.415947239273806</v>
      </c>
      <c r="AB153" s="12" t="n">
        <v>145198032</v>
      </c>
      <c r="AC153" s="16" t="n">
        <v>12</v>
      </c>
      <c r="AD153" s="16" t="n">
        <v>19.4</v>
      </c>
      <c r="AE153" s="13" t="n">
        <v>0.377</v>
      </c>
      <c r="AF153" s="13" t="n">
        <v>0.568</v>
      </c>
      <c r="AG153" s="13" t="n">
        <v>0.342</v>
      </c>
      <c r="AH153" s="13" t="n">
        <v>0.204</v>
      </c>
      <c r="AI153" s="17" t="n">
        <v>4.63</v>
      </c>
    </row>
    <row r="154" customFormat="false" ht="15" hidden="false" customHeight="false" outlineLevel="0" collapsed="false">
      <c r="A154" s="10" t="n">
        <v>45170</v>
      </c>
      <c r="B154" s="11" t="n">
        <f aca="false">YEAR(A154)</f>
        <v>2023</v>
      </c>
      <c r="C154" s="11" t="str">
        <f aca="false">"Q"&amp;ROUNDUP(MONTH(A154)/3,0)</f>
        <v>Q3</v>
      </c>
      <c r="D154" s="11" t="str">
        <f aca="false">B154&amp;"-"&amp;C154</f>
        <v>2023-Q3</v>
      </c>
      <c r="E154" s="11" t="n">
        <f aca="false">MONTH(A154)</f>
        <v>9</v>
      </c>
      <c r="F154" s="11" t="str">
        <f aca="false">TEXT(A154,"mmm")</f>
        <v>Sep</v>
      </c>
      <c r="G154" s="11" t="s">
        <v>207</v>
      </c>
      <c r="H154" s="11" t="s">
        <v>205</v>
      </c>
      <c r="I154" s="12" t="n">
        <v>2158838</v>
      </c>
      <c r="J154" s="12" t="n">
        <v>555489</v>
      </c>
      <c r="K154" s="13" t="n">
        <f aca="false">IF(I154=0,0,J154/I154)</f>
        <v>0.257309256183187</v>
      </c>
      <c r="L154" s="12" t="n">
        <v>277109</v>
      </c>
      <c r="M154" s="12" t="n">
        <v>58548</v>
      </c>
      <c r="N154" s="12" t="n">
        <v>5135</v>
      </c>
      <c r="O154" s="12" t="n">
        <v>456</v>
      </c>
      <c r="P154" s="12" t="n">
        <f aca="false">M154+N154+O154</f>
        <v>64139</v>
      </c>
      <c r="Q154" s="13" t="n">
        <f aca="false">IF(I154=0,0,P154/I154)</f>
        <v>0.0297099643419284</v>
      </c>
      <c r="R154" s="13" t="n">
        <v>0.0464</v>
      </c>
      <c r="S154" s="14" t="n">
        <v>477366</v>
      </c>
      <c r="T154" s="14" t="n">
        <v>41667</v>
      </c>
      <c r="U154" s="14" t="n">
        <v>17214</v>
      </c>
      <c r="V154" s="14" t="n">
        <v>36129</v>
      </c>
      <c r="W154" s="14" t="n">
        <f aca="false">S154+T154+U154+V154</f>
        <v>572376</v>
      </c>
      <c r="X154" s="15" t="n">
        <f aca="false">IF(P154=0,0,S154/P154)</f>
        <v>7.44267918115343</v>
      </c>
      <c r="Y154" s="15" t="n">
        <f aca="false">IF(J154=0,0,W154/J154)</f>
        <v>1.03040024194899</v>
      </c>
      <c r="Z154" s="14" t="n">
        <v>111168</v>
      </c>
      <c r="AA154" s="15" t="n">
        <f aca="false">IF(L154=0,0,Z154/L154)</f>
        <v>0.40117065847735</v>
      </c>
      <c r="AB154" s="12" t="n">
        <v>41159224</v>
      </c>
      <c r="AC154" s="16" t="n">
        <v>10.8</v>
      </c>
      <c r="AD154" s="16" t="n">
        <v>19.8</v>
      </c>
      <c r="AE154" s="13" t="n">
        <v>0.367</v>
      </c>
      <c r="AF154" s="13" t="n">
        <v>0.572</v>
      </c>
      <c r="AG154" s="13" t="n">
        <v>0.339</v>
      </c>
      <c r="AH154" s="13" t="n">
        <v>0.201</v>
      </c>
      <c r="AI154" s="17"/>
    </row>
    <row r="155" customFormat="false" ht="15" hidden="false" customHeight="false" outlineLevel="0" collapsed="false">
      <c r="A155" s="10" t="n">
        <v>45170</v>
      </c>
      <c r="B155" s="11" t="n">
        <f aca="false">YEAR(A155)</f>
        <v>2023</v>
      </c>
      <c r="C155" s="11" t="str">
        <f aca="false">"Q"&amp;ROUNDUP(MONTH(A155)/3,0)</f>
        <v>Q3</v>
      </c>
      <c r="D155" s="11" t="str">
        <f aca="false">B155&amp;"-"&amp;C155</f>
        <v>2023-Q3</v>
      </c>
      <c r="E155" s="11" t="n">
        <f aca="false">MONTH(A155)</f>
        <v>9</v>
      </c>
      <c r="F155" s="11" t="str">
        <f aca="false">TEXT(A155,"mmm")</f>
        <v>Sep</v>
      </c>
      <c r="G155" s="11" t="s">
        <v>208</v>
      </c>
      <c r="H155" s="11" t="s">
        <v>203</v>
      </c>
      <c r="I155" s="12" t="n">
        <v>4785989</v>
      </c>
      <c r="J155" s="12" t="n">
        <v>1569950</v>
      </c>
      <c r="K155" s="13" t="n">
        <f aca="false">IF(I155=0,0,J155/I155)</f>
        <v>0.328030423805822</v>
      </c>
      <c r="L155" s="12" t="n">
        <v>774162</v>
      </c>
      <c r="M155" s="12" t="n">
        <v>183625</v>
      </c>
      <c r="N155" s="12" t="n">
        <v>17494</v>
      </c>
      <c r="O155" s="12" t="n">
        <v>2061</v>
      </c>
      <c r="P155" s="12" t="n">
        <f aca="false">M155+N155+O155</f>
        <v>203180</v>
      </c>
      <c r="Q155" s="13" t="n">
        <f aca="false">IF(I155=0,0,P155/I155)</f>
        <v>0.042453085454229</v>
      </c>
      <c r="R155" s="13" t="n">
        <v>0.0491</v>
      </c>
      <c r="S155" s="14" t="n">
        <v>1560490</v>
      </c>
      <c r="T155" s="14" t="n">
        <v>139512</v>
      </c>
      <c r="U155" s="14" t="n">
        <v>58587</v>
      </c>
      <c r="V155" s="14" t="n">
        <v>111856</v>
      </c>
      <c r="W155" s="14" t="n">
        <f aca="false">S155+T155+U155+V155</f>
        <v>1870445</v>
      </c>
      <c r="X155" s="15" t="n">
        <f aca="false">IF(P155=0,0,S155/P155)</f>
        <v>7.68033270991239</v>
      </c>
      <c r="Y155" s="15" t="n">
        <f aca="false">IF(J155=0,0,W155/J155)</f>
        <v>1.19140418484665</v>
      </c>
      <c r="Z155" s="14" t="n">
        <v>361163</v>
      </c>
      <c r="AA155" s="15" t="n">
        <f aca="false">IF(L155=0,0,Z155/L155)</f>
        <v>0.466521219073011</v>
      </c>
      <c r="AB155" s="12" t="n">
        <v>119719508</v>
      </c>
      <c r="AC155" s="16" t="n">
        <v>12.2</v>
      </c>
      <c r="AD155" s="16" t="n">
        <v>20.2</v>
      </c>
      <c r="AE155" s="13" t="n">
        <v>0.39</v>
      </c>
      <c r="AF155" s="13" t="n">
        <v>0.564</v>
      </c>
      <c r="AG155" s="13" t="n">
        <v>0.342</v>
      </c>
      <c r="AH155" s="13" t="n">
        <v>0.208</v>
      </c>
      <c r="AI155" s="17" t="n">
        <v>4.72</v>
      </c>
    </row>
    <row r="156" customFormat="false" ht="15" hidden="false" customHeight="false" outlineLevel="0" collapsed="false">
      <c r="A156" s="10" t="n">
        <v>45170</v>
      </c>
      <c r="B156" s="11" t="n">
        <f aca="false">YEAR(A156)</f>
        <v>2023</v>
      </c>
      <c r="C156" s="11" t="str">
        <f aca="false">"Q"&amp;ROUNDUP(MONTH(A156)/3,0)</f>
        <v>Q3</v>
      </c>
      <c r="D156" s="11" t="str">
        <f aca="false">B156&amp;"-"&amp;C156</f>
        <v>2023-Q3</v>
      </c>
      <c r="E156" s="11" t="n">
        <f aca="false">MONTH(A156)</f>
        <v>9</v>
      </c>
      <c r="F156" s="11" t="str">
        <f aca="false">TEXT(A156,"mmm")</f>
        <v>Sep</v>
      </c>
      <c r="G156" s="11" t="s">
        <v>208</v>
      </c>
      <c r="H156" s="11" t="s">
        <v>204</v>
      </c>
      <c r="I156" s="12" t="n">
        <v>6486082</v>
      </c>
      <c r="J156" s="12" t="n">
        <v>1877276</v>
      </c>
      <c r="K156" s="13" t="n">
        <f aca="false">IF(I156=0,0,J156/I156)</f>
        <v>0.289431431795034</v>
      </c>
      <c r="L156" s="12" t="n">
        <v>803656</v>
      </c>
      <c r="M156" s="12" t="n">
        <v>113150</v>
      </c>
      <c r="N156" s="12" t="n">
        <v>11523</v>
      </c>
      <c r="O156" s="12" t="n">
        <v>956</v>
      </c>
      <c r="P156" s="12" t="n">
        <f aca="false">M156+N156+O156</f>
        <v>125629</v>
      </c>
      <c r="Q156" s="13" t="n">
        <f aca="false">IF(I156=0,0,P156/I156)</f>
        <v>0.0193690119859724</v>
      </c>
      <c r="R156" s="13" t="n">
        <v>0.0452</v>
      </c>
      <c r="S156" s="14" t="n">
        <v>841740</v>
      </c>
      <c r="T156" s="14" t="n">
        <v>81190</v>
      </c>
      <c r="U156" s="14" t="n">
        <v>35087</v>
      </c>
      <c r="V156" s="14" t="n">
        <v>64813</v>
      </c>
      <c r="W156" s="14" t="n">
        <f aca="false">S156+T156+U156+V156</f>
        <v>1022830</v>
      </c>
      <c r="X156" s="15" t="n">
        <f aca="false">IF(P156=0,0,S156/P156)</f>
        <v>6.70020457060074</v>
      </c>
      <c r="Y156" s="15" t="n">
        <f aca="false">IF(J156=0,0,W156/J156)</f>
        <v>0.544847960555614</v>
      </c>
      <c r="Z156" s="14" t="n">
        <v>155544</v>
      </c>
      <c r="AA156" s="15" t="n">
        <f aca="false">IF(L156=0,0,Z156/L156)</f>
        <v>0.193545497078352</v>
      </c>
      <c r="AB156" s="12" t="n">
        <v>147324255</v>
      </c>
      <c r="AC156" s="16" t="n">
        <v>11.9</v>
      </c>
      <c r="AD156" s="16" t="n">
        <v>18.2</v>
      </c>
      <c r="AE156" s="13" t="n">
        <v>0.379</v>
      </c>
      <c r="AF156" s="13" t="n">
        <v>0.581</v>
      </c>
      <c r="AG156" s="13" t="n">
        <v>0.346</v>
      </c>
      <c r="AH156" s="13" t="n">
        <v>0.192</v>
      </c>
      <c r="AI156" s="17" t="n">
        <v>4.62</v>
      </c>
    </row>
    <row r="157" customFormat="false" ht="15" hidden="false" customHeight="false" outlineLevel="0" collapsed="false">
      <c r="A157" s="10" t="n">
        <v>45170</v>
      </c>
      <c r="B157" s="11" t="n">
        <f aca="false">YEAR(A157)</f>
        <v>2023</v>
      </c>
      <c r="C157" s="11" t="str">
        <f aca="false">"Q"&amp;ROUNDUP(MONTH(A157)/3,0)</f>
        <v>Q3</v>
      </c>
      <c r="D157" s="11" t="str">
        <f aca="false">B157&amp;"-"&amp;C157</f>
        <v>2023-Q3</v>
      </c>
      <c r="E157" s="11" t="n">
        <f aca="false">MONTH(A157)</f>
        <v>9</v>
      </c>
      <c r="F157" s="11" t="str">
        <f aca="false">TEXT(A157,"mmm")</f>
        <v>Sep</v>
      </c>
      <c r="G157" s="11" t="s">
        <v>208</v>
      </c>
      <c r="H157" s="11" t="s">
        <v>205</v>
      </c>
      <c r="I157" s="12" t="n">
        <v>1965301</v>
      </c>
      <c r="J157" s="12" t="n">
        <v>507515</v>
      </c>
      <c r="K157" s="13" t="n">
        <f aca="false">IF(I157=0,0,J157/I157)</f>
        <v>0.258237796653032</v>
      </c>
      <c r="L157" s="12" t="n">
        <v>235840</v>
      </c>
      <c r="M157" s="12" t="n">
        <v>29485</v>
      </c>
      <c r="N157" s="12" t="n">
        <v>2777</v>
      </c>
      <c r="O157" s="12" t="n">
        <v>164</v>
      </c>
      <c r="P157" s="12" t="n">
        <f aca="false">M157+N157+O157</f>
        <v>32426</v>
      </c>
      <c r="Q157" s="13" t="n">
        <f aca="false">IF(I157=0,0,P157/I157)</f>
        <v>0.0164992538038702</v>
      </c>
      <c r="R157" s="13" t="n">
        <v>0.0488</v>
      </c>
      <c r="S157" s="14" t="n">
        <v>254877</v>
      </c>
      <c r="T157" s="14" t="n">
        <v>24921</v>
      </c>
      <c r="U157" s="14" t="n">
        <v>9005</v>
      </c>
      <c r="V157" s="14" t="n">
        <v>19553</v>
      </c>
      <c r="W157" s="14" t="n">
        <f aca="false">S157+T157+U157+V157</f>
        <v>308356</v>
      </c>
      <c r="X157" s="15" t="n">
        <f aca="false">IF(P157=0,0,S157/P157)</f>
        <v>7.86026645284648</v>
      </c>
      <c r="Y157" s="15" t="n">
        <f aca="false">IF(J157=0,0,W157/J157)</f>
        <v>0.60758007152498</v>
      </c>
      <c r="Z157" s="14" t="n">
        <v>48978</v>
      </c>
      <c r="AA157" s="15" t="n">
        <f aca="false">IF(L157=0,0,Z157/L157)</f>
        <v>0.207674694708277</v>
      </c>
      <c r="AB157" s="12" t="n">
        <v>37911411</v>
      </c>
      <c r="AC157" s="16" t="n">
        <v>10.6</v>
      </c>
      <c r="AD157" s="16" t="n">
        <v>19.6</v>
      </c>
      <c r="AE157" s="13" t="n">
        <v>0.377</v>
      </c>
      <c r="AF157" s="13" t="n">
        <v>0.565</v>
      </c>
      <c r="AG157" s="13" t="n">
        <v>0.341</v>
      </c>
      <c r="AH157" s="13" t="n">
        <v>0.193</v>
      </c>
      <c r="AI157" s="17"/>
    </row>
    <row r="158" customFormat="false" ht="15" hidden="false" customHeight="false" outlineLevel="0" collapsed="false">
      <c r="A158" s="10" t="n">
        <v>45170</v>
      </c>
      <c r="B158" s="11" t="n">
        <f aca="false">YEAR(A158)</f>
        <v>2023</v>
      </c>
      <c r="C158" s="11" t="str">
        <f aca="false">"Q"&amp;ROUNDUP(MONTH(A158)/3,0)</f>
        <v>Q3</v>
      </c>
      <c r="D158" s="11" t="str">
        <f aca="false">B158&amp;"-"&amp;C158</f>
        <v>2023-Q3</v>
      </c>
      <c r="E158" s="11" t="n">
        <f aca="false">MONTH(A158)</f>
        <v>9</v>
      </c>
      <c r="F158" s="11" t="str">
        <f aca="false">TEXT(A158,"mmm")</f>
        <v>Sep</v>
      </c>
      <c r="G158" s="11" t="s">
        <v>209</v>
      </c>
      <c r="H158" s="11" t="s">
        <v>203</v>
      </c>
      <c r="I158" s="12" t="n">
        <v>3077072</v>
      </c>
      <c r="J158" s="12" t="n">
        <v>950907</v>
      </c>
      <c r="K158" s="13" t="n">
        <f aca="false">IF(I158=0,0,J158/I158)</f>
        <v>0.309029817956811</v>
      </c>
      <c r="L158" s="12" t="n">
        <v>471074</v>
      </c>
      <c r="M158" s="12" t="n">
        <v>66971</v>
      </c>
      <c r="N158" s="12" t="n">
        <v>6516</v>
      </c>
      <c r="O158" s="12" t="n">
        <v>601</v>
      </c>
      <c r="P158" s="12" t="n">
        <f aca="false">M158+N158+O158</f>
        <v>74088</v>
      </c>
      <c r="Q158" s="13" t="n">
        <f aca="false">IF(I158=0,0,P158/I158)</f>
        <v>0.0240774346521628</v>
      </c>
      <c r="R158" s="13" t="n">
        <v>0.044</v>
      </c>
      <c r="S158" s="14" t="n">
        <v>501554</v>
      </c>
      <c r="T158" s="14" t="n">
        <v>50036</v>
      </c>
      <c r="U158" s="14" t="n">
        <v>18003</v>
      </c>
      <c r="V158" s="14" t="n">
        <v>36662</v>
      </c>
      <c r="W158" s="14" t="n">
        <f aca="false">S158+T158+U158+V158</f>
        <v>606255</v>
      </c>
      <c r="X158" s="15" t="n">
        <f aca="false">IF(P158=0,0,S158/P158)</f>
        <v>6.7697062952165</v>
      </c>
      <c r="Y158" s="15" t="n">
        <f aca="false">IF(J158=0,0,W158/J158)</f>
        <v>0.637554461161817</v>
      </c>
      <c r="Z158" s="14" t="n">
        <v>99048</v>
      </c>
      <c r="AA158" s="15" t="n">
        <f aca="false">IF(L158=0,0,Z158/L158)</f>
        <v>0.21025995915716</v>
      </c>
      <c r="AB158" s="12" t="n">
        <v>67874082</v>
      </c>
      <c r="AC158" s="16" t="n">
        <v>12.1</v>
      </c>
      <c r="AD158" s="16" t="n">
        <v>20.6</v>
      </c>
      <c r="AE158" s="13" t="n">
        <v>0.384</v>
      </c>
      <c r="AF158" s="13" t="n">
        <v>0.569</v>
      </c>
      <c r="AG158" s="13" t="n">
        <v>0.335</v>
      </c>
      <c r="AH158" s="13" t="n">
        <v>0.202</v>
      </c>
      <c r="AI158" s="17" t="n">
        <v>4.66</v>
      </c>
    </row>
    <row r="159" customFormat="false" ht="15" hidden="false" customHeight="false" outlineLevel="0" collapsed="false">
      <c r="A159" s="10" t="n">
        <v>45170</v>
      </c>
      <c r="B159" s="11" t="n">
        <f aca="false">YEAR(A159)</f>
        <v>2023</v>
      </c>
      <c r="C159" s="11" t="str">
        <f aca="false">"Q"&amp;ROUNDUP(MONTH(A159)/3,0)</f>
        <v>Q3</v>
      </c>
      <c r="D159" s="11" t="str">
        <f aca="false">B159&amp;"-"&amp;C159</f>
        <v>2023-Q3</v>
      </c>
      <c r="E159" s="11" t="n">
        <f aca="false">MONTH(A159)</f>
        <v>9</v>
      </c>
      <c r="F159" s="11" t="str">
        <f aca="false">TEXT(A159,"mmm")</f>
        <v>Sep</v>
      </c>
      <c r="G159" s="11" t="s">
        <v>209</v>
      </c>
      <c r="H159" s="11" t="s">
        <v>204</v>
      </c>
      <c r="I159" s="12" t="n">
        <v>4078038</v>
      </c>
      <c r="J159" s="12" t="n">
        <v>1116288</v>
      </c>
      <c r="K159" s="13" t="n">
        <f aca="false">IF(I159=0,0,J159/I159)</f>
        <v>0.273731632711613</v>
      </c>
      <c r="L159" s="12" t="n">
        <v>465966</v>
      </c>
      <c r="M159" s="12" t="n">
        <v>40231</v>
      </c>
      <c r="N159" s="12" t="n">
        <v>3747</v>
      </c>
      <c r="O159" s="12" t="n">
        <v>269</v>
      </c>
      <c r="P159" s="12" t="n">
        <f aca="false">M159+N159+O159</f>
        <v>44247</v>
      </c>
      <c r="Q159" s="13" t="n">
        <f aca="false">IF(I159=0,0,P159/I159)</f>
        <v>0.0108500705486315</v>
      </c>
      <c r="R159" s="13" t="n">
        <v>0.0443</v>
      </c>
      <c r="S159" s="14" t="n">
        <v>310383</v>
      </c>
      <c r="T159" s="14" t="n">
        <v>27104</v>
      </c>
      <c r="U159" s="14" t="n">
        <v>12410</v>
      </c>
      <c r="V159" s="14" t="n">
        <v>23257</v>
      </c>
      <c r="W159" s="14" t="n">
        <f aca="false">S159+T159+U159+V159</f>
        <v>373154</v>
      </c>
      <c r="X159" s="15" t="n">
        <f aca="false">IF(P159=0,0,S159/P159)</f>
        <v>7.0147806630958</v>
      </c>
      <c r="Y159" s="15" t="n">
        <f aca="false">IF(J159=0,0,W159/J159)</f>
        <v>0.334281117417727</v>
      </c>
      <c r="Z159" s="14" t="n">
        <v>68037</v>
      </c>
      <c r="AA159" s="15" t="n">
        <f aca="false">IF(L159=0,0,Z159/L159)</f>
        <v>0.14601279921711</v>
      </c>
      <c r="AB159" s="12" t="n">
        <v>86829226</v>
      </c>
      <c r="AC159" s="16" t="n">
        <v>11.8</v>
      </c>
      <c r="AD159" s="16" t="n">
        <v>19.2</v>
      </c>
      <c r="AE159" s="13" t="n">
        <v>0.379</v>
      </c>
      <c r="AF159" s="13" t="n">
        <v>0.576</v>
      </c>
      <c r="AG159" s="13" t="n">
        <v>0.345</v>
      </c>
      <c r="AH159" s="13" t="n">
        <v>0.201</v>
      </c>
      <c r="AI159" s="17" t="n">
        <v>4.64</v>
      </c>
    </row>
    <row r="160" customFormat="false" ht="15" hidden="false" customHeight="false" outlineLevel="0" collapsed="false">
      <c r="A160" s="10" t="n">
        <v>45170</v>
      </c>
      <c r="B160" s="11" t="n">
        <f aca="false">YEAR(A160)</f>
        <v>2023</v>
      </c>
      <c r="C160" s="11" t="str">
        <f aca="false">"Q"&amp;ROUNDUP(MONTH(A160)/3,0)</f>
        <v>Q3</v>
      </c>
      <c r="D160" s="11" t="str">
        <f aca="false">B160&amp;"-"&amp;C160</f>
        <v>2023-Q3</v>
      </c>
      <c r="E160" s="11" t="n">
        <f aca="false">MONTH(A160)</f>
        <v>9</v>
      </c>
      <c r="F160" s="11" t="str">
        <f aca="false">TEXT(A160,"mmm")</f>
        <v>Sep</v>
      </c>
      <c r="G160" s="11" t="s">
        <v>209</v>
      </c>
      <c r="H160" s="11" t="s">
        <v>205</v>
      </c>
      <c r="I160" s="12" t="n">
        <v>1107325</v>
      </c>
      <c r="J160" s="12" t="n">
        <v>275955</v>
      </c>
      <c r="K160" s="13" t="n">
        <f aca="false">IF(I160=0,0,J160/I160)</f>
        <v>0.249208678572235</v>
      </c>
      <c r="L160" s="12" t="n">
        <v>124395</v>
      </c>
      <c r="M160" s="12" t="n">
        <v>9999</v>
      </c>
      <c r="N160" s="12" t="n">
        <v>1032</v>
      </c>
      <c r="O160" s="12" t="n">
        <v>45</v>
      </c>
      <c r="P160" s="12" t="n">
        <f aca="false">M160+N160+O160</f>
        <v>11076</v>
      </c>
      <c r="Q160" s="13" t="n">
        <f aca="false">IF(I160=0,0,P160/I160)</f>
        <v>0.0100024834623981</v>
      </c>
      <c r="R160" s="13" t="n">
        <v>0.051</v>
      </c>
      <c r="S160" s="14" t="n">
        <v>80879</v>
      </c>
      <c r="T160" s="14" t="n">
        <v>7958</v>
      </c>
      <c r="U160" s="14" t="n">
        <v>2796</v>
      </c>
      <c r="V160" s="14" t="n">
        <v>6235</v>
      </c>
      <c r="W160" s="14" t="n">
        <f aca="false">S160+T160+U160+V160</f>
        <v>97868</v>
      </c>
      <c r="X160" s="15" t="n">
        <f aca="false">IF(P160=0,0,S160/P160)</f>
        <v>7.30218490429758</v>
      </c>
      <c r="Y160" s="15" t="n">
        <f aca="false">IF(J160=0,0,W160/J160)</f>
        <v>0.35465202659854</v>
      </c>
      <c r="Z160" s="14" t="n">
        <v>19572</v>
      </c>
      <c r="AA160" s="15" t="n">
        <f aca="false">IF(L160=0,0,Z160/L160)</f>
        <v>0.157337513565658</v>
      </c>
      <c r="AB160" s="12" t="n">
        <v>21587574</v>
      </c>
      <c r="AC160" s="16" t="n">
        <v>10.5</v>
      </c>
      <c r="AD160" s="16" t="n">
        <v>19.6</v>
      </c>
      <c r="AE160" s="13" t="n">
        <v>0.386</v>
      </c>
      <c r="AF160" s="13" t="n">
        <v>0.569</v>
      </c>
      <c r="AG160" s="13" t="n">
        <v>0.344</v>
      </c>
      <c r="AH160" s="13" t="n">
        <v>0.2</v>
      </c>
      <c r="AI160" s="17"/>
    </row>
    <row r="161" customFormat="false" ht="15" hidden="false" customHeight="false" outlineLevel="0" collapsed="false">
      <c r="A161" s="10" t="n">
        <v>45170</v>
      </c>
      <c r="B161" s="11" t="n">
        <f aca="false">YEAR(A161)</f>
        <v>2023</v>
      </c>
      <c r="C161" s="11" t="str">
        <f aca="false">"Q"&amp;ROUNDUP(MONTH(A161)/3,0)</f>
        <v>Q3</v>
      </c>
      <c r="D161" s="11" t="str">
        <f aca="false">B161&amp;"-"&amp;C161</f>
        <v>2023-Q3</v>
      </c>
      <c r="E161" s="11" t="n">
        <f aca="false">MONTH(A161)</f>
        <v>9</v>
      </c>
      <c r="F161" s="11" t="str">
        <f aca="false">TEXT(A161,"mmm")</f>
        <v>Sep</v>
      </c>
      <c r="G161" s="11" t="s">
        <v>210</v>
      </c>
      <c r="H161" s="11" t="s">
        <v>203</v>
      </c>
      <c r="I161" s="12" t="n">
        <v>5042954</v>
      </c>
      <c r="J161" s="12" t="n">
        <v>1520332</v>
      </c>
      <c r="K161" s="13" t="n">
        <f aca="false">IF(I161=0,0,J161/I161)</f>
        <v>0.301476475890916</v>
      </c>
      <c r="L161" s="12" t="n">
        <v>564235</v>
      </c>
      <c r="M161" s="12" t="n">
        <v>136479</v>
      </c>
      <c r="N161" s="12" t="n">
        <v>12863</v>
      </c>
      <c r="O161" s="12" t="n">
        <v>1222</v>
      </c>
      <c r="P161" s="12" t="n">
        <f aca="false">M161+N161+O161</f>
        <v>150564</v>
      </c>
      <c r="Q161" s="13" t="n">
        <f aca="false">IF(I161=0,0,P161/I161)</f>
        <v>0.0298563104085423</v>
      </c>
      <c r="R161" s="13" t="n">
        <v>0.0476</v>
      </c>
      <c r="S161" s="14" t="n">
        <v>1030947</v>
      </c>
      <c r="T161" s="14" t="n">
        <v>104856</v>
      </c>
      <c r="U161" s="14" t="n">
        <v>43827</v>
      </c>
      <c r="V161" s="14" t="n">
        <v>82780</v>
      </c>
      <c r="W161" s="14" t="n">
        <f aca="false">S161+T161+U161+V161</f>
        <v>1262410</v>
      </c>
      <c r="X161" s="15" t="n">
        <f aca="false">IF(P161=0,0,S161/P161)</f>
        <v>6.84723439866103</v>
      </c>
      <c r="Y161" s="15" t="n">
        <f aca="false">IF(J161=0,0,W161/J161)</f>
        <v>0.830351528481937</v>
      </c>
      <c r="Z161" s="14" t="n">
        <v>246608</v>
      </c>
      <c r="AA161" s="15" t="n">
        <f aca="false">IF(L161=0,0,Z161/L161)</f>
        <v>0.437066116068659</v>
      </c>
      <c r="AB161" s="12" t="n">
        <v>115726282</v>
      </c>
      <c r="AC161" s="16" t="n">
        <v>12.1</v>
      </c>
      <c r="AD161" s="16" t="n">
        <v>19.8</v>
      </c>
      <c r="AE161" s="13" t="n">
        <v>0.377</v>
      </c>
      <c r="AF161" s="13" t="n">
        <v>0.576</v>
      </c>
      <c r="AG161" s="13" t="n">
        <v>0.332</v>
      </c>
      <c r="AH161" s="13" t="n">
        <v>0.197</v>
      </c>
      <c r="AI161" s="17" t="n">
        <v>4.71</v>
      </c>
    </row>
    <row r="162" customFormat="false" ht="15" hidden="false" customHeight="false" outlineLevel="0" collapsed="false">
      <c r="A162" s="10" t="n">
        <v>45170</v>
      </c>
      <c r="B162" s="11" t="n">
        <f aca="false">YEAR(A162)</f>
        <v>2023</v>
      </c>
      <c r="C162" s="11" t="str">
        <f aca="false">"Q"&amp;ROUNDUP(MONTH(A162)/3,0)</f>
        <v>Q3</v>
      </c>
      <c r="D162" s="11" t="str">
        <f aca="false">B162&amp;"-"&amp;C162</f>
        <v>2023-Q3</v>
      </c>
      <c r="E162" s="11" t="n">
        <f aca="false">MONTH(A162)</f>
        <v>9</v>
      </c>
      <c r="F162" s="11" t="str">
        <f aca="false">TEXT(A162,"mmm")</f>
        <v>Sep</v>
      </c>
      <c r="G162" s="11" t="s">
        <v>210</v>
      </c>
      <c r="H162" s="11" t="s">
        <v>204</v>
      </c>
      <c r="I162" s="12" t="n">
        <v>6069390</v>
      </c>
      <c r="J162" s="12" t="n">
        <v>1639740</v>
      </c>
      <c r="K162" s="13" t="n">
        <f aca="false">IF(I162=0,0,J162/I162)</f>
        <v>0.270165535581006</v>
      </c>
      <c r="L162" s="12" t="n">
        <v>795235</v>
      </c>
      <c r="M162" s="12" t="n">
        <v>75862</v>
      </c>
      <c r="N162" s="12" t="n">
        <v>7395</v>
      </c>
      <c r="O162" s="12" t="n">
        <v>510</v>
      </c>
      <c r="P162" s="12" t="n">
        <f aca="false">M162+N162+O162</f>
        <v>83767</v>
      </c>
      <c r="Q162" s="13" t="n">
        <f aca="false">IF(I162=0,0,P162/I162)</f>
        <v>0.0138015517210131</v>
      </c>
      <c r="R162" s="13" t="n">
        <v>0.0454</v>
      </c>
      <c r="S162" s="14" t="n">
        <v>582567</v>
      </c>
      <c r="T162" s="14" t="n">
        <v>50845</v>
      </c>
      <c r="U162" s="14" t="n">
        <v>21210</v>
      </c>
      <c r="V162" s="14" t="n">
        <v>44331</v>
      </c>
      <c r="W162" s="14" t="n">
        <f aca="false">S162+T162+U162+V162</f>
        <v>698953</v>
      </c>
      <c r="X162" s="15" t="n">
        <f aca="false">IF(P162=0,0,S162/P162)</f>
        <v>6.95461219812098</v>
      </c>
      <c r="Y162" s="15" t="n">
        <f aca="false">IF(J162=0,0,W162/J162)</f>
        <v>0.426258431214705</v>
      </c>
      <c r="Z162" s="14" t="n">
        <v>131120</v>
      </c>
      <c r="AA162" s="15" t="n">
        <f aca="false">IF(L162=0,0,Z162/L162)</f>
        <v>0.164882078882343</v>
      </c>
      <c r="AB162" s="12" t="n">
        <v>123446535</v>
      </c>
      <c r="AC162" s="16" t="n">
        <v>11.9</v>
      </c>
      <c r="AD162" s="16" t="n">
        <v>19.3</v>
      </c>
      <c r="AE162" s="13" t="n">
        <v>0.375</v>
      </c>
      <c r="AF162" s="13" t="n">
        <v>0.573</v>
      </c>
      <c r="AG162" s="13" t="n">
        <v>0.345</v>
      </c>
      <c r="AH162" s="13" t="n">
        <v>0.196</v>
      </c>
      <c r="AI162" s="17" t="n">
        <v>4.64</v>
      </c>
    </row>
    <row r="163" customFormat="false" ht="15" hidden="false" customHeight="false" outlineLevel="0" collapsed="false">
      <c r="A163" s="10" t="n">
        <v>45170</v>
      </c>
      <c r="B163" s="11" t="n">
        <f aca="false">YEAR(A163)</f>
        <v>2023</v>
      </c>
      <c r="C163" s="11" t="str">
        <f aca="false">"Q"&amp;ROUNDUP(MONTH(A163)/3,0)</f>
        <v>Q3</v>
      </c>
      <c r="D163" s="11" t="str">
        <f aca="false">B163&amp;"-"&amp;C163</f>
        <v>2023-Q3</v>
      </c>
      <c r="E163" s="11" t="n">
        <f aca="false">MONTH(A163)</f>
        <v>9</v>
      </c>
      <c r="F163" s="11" t="str">
        <f aca="false">TEXT(A163,"mmm")</f>
        <v>Sep</v>
      </c>
      <c r="G163" s="11" t="s">
        <v>210</v>
      </c>
      <c r="H163" s="11" t="s">
        <v>205</v>
      </c>
      <c r="I163" s="12" t="n">
        <v>1783727</v>
      </c>
      <c r="J163" s="12" t="n">
        <v>432027</v>
      </c>
      <c r="K163" s="13" t="n">
        <f aca="false">IF(I163=0,0,J163/I163)</f>
        <v>0.242204664727282</v>
      </c>
      <c r="L163" s="12" t="n">
        <v>215358</v>
      </c>
      <c r="M163" s="12" t="n">
        <v>20922</v>
      </c>
      <c r="N163" s="12" t="n">
        <v>1956</v>
      </c>
      <c r="O163" s="12" t="n">
        <v>93</v>
      </c>
      <c r="P163" s="12" t="n">
        <f aca="false">M163+N163+O163</f>
        <v>22971</v>
      </c>
      <c r="Q163" s="13" t="n">
        <f aca="false">IF(I163=0,0,P163/I163)</f>
        <v>0.0128780917707699</v>
      </c>
      <c r="R163" s="13" t="n">
        <v>0.0506</v>
      </c>
      <c r="S163" s="14" t="n">
        <v>156663</v>
      </c>
      <c r="T163" s="14" t="n">
        <v>14753</v>
      </c>
      <c r="U163" s="14" t="n">
        <v>5221</v>
      </c>
      <c r="V163" s="14" t="n">
        <v>12115</v>
      </c>
      <c r="W163" s="14" t="n">
        <f aca="false">S163+T163+U163+V163</f>
        <v>188752</v>
      </c>
      <c r="X163" s="15" t="n">
        <f aca="false">IF(P163=0,0,S163/P163)</f>
        <v>6.82003395585739</v>
      </c>
      <c r="Y163" s="15" t="n">
        <f aca="false">IF(J163=0,0,W163/J163)</f>
        <v>0.436898619762191</v>
      </c>
      <c r="Z163" s="14" t="n">
        <v>33572</v>
      </c>
      <c r="AA163" s="15" t="n">
        <f aca="false">IF(L163=0,0,Z163/L163)</f>
        <v>0.155889263458985</v>
      </c>
      <c r="AB163" s="12" t="n">
        <v>32210047</v>
      </c>
      <c r="AC163" s="16" t="n">
        <v>10.8</v>
      </c>
      <c r="AD163" s="16" t="n">
        <v>19.2</v>
      </c>
      <c r="AE163" s="13" t="n">
        <v>0.388</v>
      </c>
      <c r="AF163" s="13" t="n">
        <v>0.566</v>
      </c>
      <c r="AG163" s="13" t="n">
        <v>0.348</v>
      </c>
      <c r="AH163" s="13" t="n">
        <v>0.195</v>
      </c>
      <c r="AI163" s="17"/>
    </row>
    <row r="164" customFormat="false" ht="15" hidden="false" customHeight="false" outlineLevel="0" collapsed="false">
      <c r="A164" s="10" t="n">
        <v>45200</v>
      </c>
      <c r="B164" s="11" t="n">
        <f aca="false">YEAR(A164)</f>
        <v>2023</v>
      </c>
      <c r="C164" s="11" t="str">
        <f aca="false">"Q"&amp;ROUNDUP(MONTH(A164)/3,0)</f>
        <v>Q4</v>
      </c>
      <c r="D164" s="11" t="str">
        <f aca="false">B164&amp;"-"&amp;C164</f>
        <v>2023-Q4</v>
      </c>
      <c r="E164" s="11" t="n">
        <f aca="false">MONTH(A164)</f>
        <v>10</v>
      </c>
      <c r="F164" s="11" t="str">
        <f aca="false">TEXT(A164,"mmm")</f>
        <v>Oct</v>
      </c>
      <c r="G164" s="11" t="s">
        <v>202</v>
      </c>
      <c r="H164" s="11" t="s">
        <v>203</v>
      </c>
      <c r="I164" s="12" t="n">
        <v>6310268</v>
      </c>
      <c r="J164" s="12" t="n">
        <v>2120457</v>
      </c>
      <c r="K164" s="13" t="n">
        <f aca="false">IF(I164=0,0,J164/I164)</f>
        <v>0.336032796071419</v>
      </c>
      <c r="L164" s="12" t="n">
        <v>913580</v>
      </c>
      <c r="M164" s="12" t="n">
        <v>1500689</v>
      </c>
      <c r="N164" s="12" t="n">
        <v>154999</v>
      </c>
      <c r="O164" s="12" t="n">
        <v>62894</v>
      </c>
      <c r="P164" s="12" t="n">
        <f aca="false">M164+N164+O164</f>
        <v>1718582</v>
      </c>
      <c r="Q164" s="13" t="n">
        <f aca="false">IF(I164=0,0,P164/I164)</f>
        <v>0.272346911414856</v>
      </c>
      <c r="R164" s="13" t="n">
        <v>0.0436</v>
      </c>
      <c r="S164" s="14" t="n">
        <v>10651815</v>
      </c>
      <c r="T164" s="14" t="n">
        <v>905148</v>
      </c>
      <c r="U164" s="14" t="n">
        <v>379405</v>
      </c>
      <c r="V164" s="14" t="n">
        <v>771693</v>
      </c>
      <c r="W164" s="14" t="n">
        <f aca="false">S164+T164+U164+V164</f>
        <v>12708061</v>
      </c>
      <c r="X164" s="15" t="n">
        <f aca="false">IF(P164=0,0,S164/P164)</f>
        <v>6.19802546518002</v>
      </c>
      <c r="Y164" s="15" t="n">
        <f aca="false">IF(J164=0,0,W164/J164)</f>
        <v>5.99307649247309</v>
      </c>
      <c r="Z164" s="14" t="n">
        <v>2371531</v>
      </c>
      <c r="AA164" s="15" t="n">
        <f aca="false">IF(L164=0,0,Z164/L164)</f>
        <v>2.59586571509884</v>
      </c>
      <c r="AB164" s="12" t="n">
        <v>159601567</v>
      </c>
      <c r="AC164" s="16" t="n">
        <v>12.3</v>
      </c>
      <c r="AD164" s="16" t="n">
        <v>19.6</v>
      </c>
      <c r="AE164" s="13" t="n">
        <v>0.359</v>
      </c>
      <c r="AF164" s="13" t="n">
        <v>0.566</v>
      </c>
      <c r="AG164" s="13" t="n">
        <v>0.346</v>
      </c>
      <c r="AH164" s="13" t="n">
        <v>0.208</v>
      </c>
      <c r="AI164" s="17" t="n">
        <v>4.7</v>
      </c>
    </row>
    <row r="165" customFormat="false" ht="15" hidden="false" customHeight="false" outlineLevel="0" collapsed="false">
      <c r="A165" s="10" t="n">
        <v>45200</v>
      </c>
      <c r="B165" s="11" t="n">
        <f aca="false">YEAR(A165)</f>
        <v>2023</v>
      </c>
      <c r="C165" s="11" t="str">
        <f aca="false">"Q"&amp;ROUNDUP(MONTH(A165)/3,0)</f>
        <v>Q4</v>
      </c>
      <c r="D165" s="11" t="str">
        <f aca="false">B165&amp;"-"&amp;C165</f>
        <v>2023-Q4</v>
      </c>
      <c r="E165" s="11" t="n">
        <f aca="false">MONTH(A165)</f>
        <v>10</v>
      </c>
      <c r="F165" s="11" t="str">
        <f aca="false">TEXT(A165,"mmm")</f>
        <v>Oct</v>
      </c>
      <c r="G165" s="11" t="s">
        <v>202</v>
      </c>
      <c r="H165" s="11" t="s">
        <v>204</v>
      </c>
      <c r="I165" s="12" t="n">
        <v>8900740</v>
      </c>
      <c r="J165" s="12" t="n">
        <v>2613871</v>
      </c>
      <c r="K165" s="13" t="n">
        <f aca="false">IF(I165=0,0,J165/I165)</f>
        <v>0.293668953367922</v>
      </c>
      <c r="L165" s="12" t="n">
        <v>971512</v>
      </c>
      <c r="M165" s="12" t="n">
        <v>805369</v>
      </c>
      <c r="N165" s="12" t="n">
        <v>72781</v>
      </c>
      <c r="O165" s="12" t="n">
        <v>24783</v>
      </c>
      <c r="P165" s="12" t="n">
        <f aca="false">M165+N165+O165</f>
        <v>902933</v>
      </c>
      <c r="Q165" s="13" t="n">
        <f aca="false">IF(I165=0,0,P165/I165)</f>
        <v>0.101444711338608</v>
      </c>
      <c r="R165" s="13" t="n">
        <v>0.0462</v>
      </c>
      <c r="S165" s="14" t="n">
        <v>5821668</v>
      </c>
      <c r="T165" s="14" t="n">
        <v>531694</v>
      </c>
      <c r="U165" s="14" t="n">
        <v>212768</v>
      </c>
      <c r="V165" s="14" t="n">
        <v>430341</v>
      </c>
      <c r="W165" s="14" t="n">
        <f aca="false">S165+T165+U165+V165</f>
        <v>6996471</v>
      </c>
      <c r="X165" s="15" t="n">
        <f aca="false">IF(P165=0,0,S165/P165)</f>
        <v>6.44750828688286</v>
      </c>
      <c r="Y165" s="15" t="n">
        <f aca="false">IF(J165=0,0,W165/J165)</f>
        <v>2.67667034830717</v>
      </c>
      <c r="Z165" s="14" t="n">
        <v>1247019</v>
      </c>
      <c r="AA165" s="15" t="n">
        <f aca="false">IF(L165=0,0,Z165/L165)</f>
        <v>1.28358579204374</v>
      </c>
      <c r="AB165" s="12" t="n">
        <v>191450081</v>
      </c>
      <c r="AC165" s="16" t="n">
        <v>12.1</v>
      </c>
      <c r="AD165" s="16" t="n">
        <v>19.8</v>
      </c>
      <c r="AE165" s="13" t="n">
        <v>0.377</v>
      </c>
      <c r="AF165" s="13" t="n">
        <v>0.574</v>
      </c>
      <c r="AG165" s="13" t="n">
        <v>0.351</v>
      </c>
      <c r="AH165" s="13" t="n">
        <v>0.196</v>
      </c>
      <c r="AI165" s="17" t="n">
        <v>4.64</v>
      </c>
    </row>
    <row r="166" customFormat="false" ht="15" hidden="false" customHeight="false" outlineLevel="0" collapsed="false">
      <c r="A166" s="10" t="n">
        <v>45200</v>
      </c>
      <c r="B166" s="11" t="n">
        <f aca="false">YEAR(A166)</f>
        <v>2023</v>
      </c>
      <c r="C166" s="11" t="str">
        <f aca="false">"Q"&amp;ROUNDUP(MONTH(A166)/3,0)</f>
        <v>Q4</v>
      </c>
      <c r="D166" s="11" t="str">
        <f aca="false">B166&amp;"-"&amp;C166</f>
        <v>2023-Q4</v>
      </c>
      <c r="E166" s="11" t="n">
        <f aca="false">MONTH(A166)</f>
        <v>10</v>
      </c>
      <c r="F166" s="11" t="str">
        <f aca="false">TEXT(A166,"mmm")</f>
        <v>Oct</v>
      </c>
      <c r="G166" s="11" t="s">
        <v>202</v>
      </c>
      <c r="H166" s="11" t="s">
        <v>205</v>
      </c>
      <c r="I166" s="12" t="n">
        <v>2846915</v>
      </c>
      <c r="J166" s="12" t="n">
        <v>755959</v>
      </c>
      <c r="K166" s="13" t="n">
        <f aca="false">IF(I166=0,0,J166/I166)</f>
        <v>0.265536203223489</v>
      </c>
      <c r="L166" s="12" t="n">
        <v>285620</v>
      </c>
      <c r="M166" s="12" t="n">
        <v>232242</v>
      </c>
      <c r="N166" s="12" t="n">
        <v>22410</v>
      </c>
      <c r="O166" s="12" t="n">
        <v>4747</v>
      </c>
      <c r="P166" s="12" t="n">
        <f aca="false">M166+N166+O166</f>
        <v>259399</v>
      </c>
      <c r="Q166" s="13" t="n">
        <f aca="false">IF(I166=0,0,P166/I166)</f>
        <v>0.0911158218633152</v>
      </c>
      <c r="R166" s="13" t="n">
        <v>0.0491</v>
      </c>
      <c r="S166" s="14" t="n">
        <v>1661820</v>
      </c>
      <c r="T166" s="14" t="n">
        <v>162713</v>
      </c>
      <c r="U166" s="14" t="n">
        <v>65256</v>
      </c>
      <c r="V166" s="14" t="n">
        <v>130780</v>
      </c>
      <c r="W166" s="14" t="n">
        <f aca="false">S166+T166+U166+V166</f>
        <v>2020569</v>
      </c>
      <c r="X166" s="15" t="n">
        <f aca="false">IF(P166=0,0,S166/P166)</f>
        <v>6.40642408027787</v>
      </c>
      <c r="Y166" s="15" t="n">
        <f aca="false">IF(J166=0,0,W166/J166)</f>
        <v>2.67285527389713</v>
      </c>
      <c r="Z166" s="14" t="n">
        <v>333536</v>
      </c>
      <c r="AA166" s="15" t="n">
        <f aca="false">IF(L166=0,0,Z166/L166)</f>
        <v>1.16776136124921</v>
      </c>
      <c r="AB166" s="12" t="n">
        <v>58752682</v>
      </c>
      <c r="AC166" s="16" t="n">
        <v>11</v>
      </c>
      <c r="AD166" s="16" t="n">
        <v>19.7</v>
      </c>
      <c r="AE166" s="13" t="n">
        <v>0.382</v>
      </c>
      <c r="AF166" s="13" t="n">
        <v>0.559</v>
      </c>
      <c r="AG166" s="13" t="n">
        <v>0.345</v>
      </c>
      <c r="AH166" s="13" t="n">
        <v>0.193</v>
      </c>
      <c r="AI166" s="17"/>
    </row>
    <row r="167" customFormat="false" ht="15" hidden="false" customHeight="false" outlineLevel="0" collapsed="false">
      <c r="A167" s="10" t="n">
        <v>45200</v>
      </c>
      <c r="B167" s="11" t="n">
        <f aca="false">YEAR(A167)</f>
        <v>2023</v>
      </c>
      <c r="C167" s="11" t="str">
        <f aca="false">"Q"&amp;ROUNDUP(MONTH(A167)/3,0)</f>
        <v>Q4</v>
      </c>
      <c r="D167" s="11" t="str">
        <f aca="false">B167&amp;"-"&amp;C167</f>
        <v>2023-Q4</v>
      </c>
      <c r="E167" s="11" t="n">
        <f aca="false">MONTH(A167)</f>
        <v>10</v>
      </c>
      <c r="F167" s="11" t="str">
        <f aca="false">TEXT(A167,"mmm")</f>
        <v>Oct</v>
      </c>
      <c r="G167" s="11" t="s">
        <v>206</v>
      </c>
      <c r="H167" s="11" t="s">
        <v>203</v>
      </c>
      <c r="I167" s="12" t="n">
        <v>8247786</v>
      </c>
      <c r="J167" s="12" t="n">
        <v>2716185</v>
      </c>
      <c r="K167" s="13" t="n">
        <f aca="false">IF(I167=0,0,J167/I167)</f>
        <v>0.329322923751901</v>
      </c>
      <c r="L167" s="12" t="n">
        <v>1159246</v>
      </c>
      <c r="M167" s="12" t="n">
        <v>893913</v>
      </c>
      <c r="N167" s="12" t="n">
        <v>83915</v>
      </c>
      <c r="O167" s="12" t="n">
        <v>22889</v>
      </c>
      <c r="P167" s="12" t="n">
        <f aca="false">M167+N167+O167</f>
        <v>1000717</v>
      </c>
      <c r="Q167" s="13" t="n">
        <f aca="false">IF(I167=0,0,P167/I167)</f>
        <v>0.121331591290075</v>
      </c>
      <c r="R167" s="13" t="n">
        <v>0.0462</v>
      </c>
      <c r="S167" s="14" t="n">
        <v>6135466</v>
      </c>
      <c r="T167" s="14" t="n">
        <v>570756</v>
      </c>
      <c r="U167" s="14" t="n">
        <v>228586</v>
      </c>
      <c r="V167" s="14" t="n">
        <v>447644</v>
      </c>
      <c r="W167" s="14" t="n">
        <f aca="false">S167+T167+U167+V167</f>
        <v>7382452</v>
      </c>
      <c r="X167" s="15" t="n">
        <f aca="false">IF(P167=0,0,S167/P167)</f>
        <v>6.13107002279366</v>
      </c>
      <c r="Y167" s="15" t="n">
        <f aca="false">IF(J167=0,0,W167/J167)</f>
        <v>2.7179488878703</v>
      </c>
      <c r="Z167" s="14" t="n">
        <v>1374436</v>
      </c>
      <c r="AA167" s="15" t="n">
        <f aca="false">IF(L167=0,0,Z167/L167)</f>
        <v>1.18562927972147</v>
      </c>
      <c r="AB167" s="12" t="n">
        <v>206519123</v>
      </c>
      <c r="AC167" s="16" t="n">
        <v>12.3</v>
      </c>
      <c r="AD167" s="16" t="n">
        <v>20.3</v>
      </c>
      <c r="AE167" s="13" t="n">
        <v>0.371</v>
      </c>
      <c r="AF167" s="13" t="n">
        <v>0.579</v>
      </c>
      <c r="AG167" s="13" t="n">
        <v>0.339</v>
      </c>
      <c r="AH167" s="13" t="n">
        <v>0.203</v>
      </c>
      <c r="AI167" s="17" t="n">
        <v>4.66</v>
      </c>
    </row>
    <row r="168" customFormat="false" ht="15" hidden="false" customHeight="false" outlineLevel="0" collapsed="false">
      <c r="A168" s="10" t="n">
        <v>45200</v>
      </c>
      <c r="B168" s="11" t="n">
        <f aca="false">YEAR(A168)</f>
        <v>2023</v>
      </c>
      <c r="C168" s="11" t="str">
        <f aca="false">"Q"&amp;ROUNDUP(MONTH(A168)/3,0)</f>
        <v>Q4</v>
      </c>
      <c r="D168" s="11" t="str">
        <f aca="false">B168&amp;"-"&amp;C168</f>
        <v>2023-Q4</v>
      </c>
      <c r="E168" s="11" t="n">
        <f aca="false">MONTH(A168)</f>
        <v>10</v>
      </c>
      <c r="F168" s="11" t="str">
        <f aca="false">TEXT(A168,"mmm")</f>
        <v>Oct</v>
      </c>
      <c r="G168" s="11" t="s">
        <v>206</v>
      </c>
      <c r="H168" s="11" t="s">
        <v>204</v>
      </c>
      <c r="I168" s="12" t="n">
        <v>9386533</v>
      </c>
      <c r="J168" s="12" t="n">
        <v>2925621</v>
      </c>
      <c r="K168" s="13" t="n">
        <f aca="false">IF(I168=0,0,J168/I168)</f>
        <v>0.311682811960497</v>
      </c>
      <c r="L168" s="12" t="n">
        <v>1281229</v>
      </c>
      <c r="M168" s="12" t="n">
        <v>479270</v>
      </c>
      <c r="N168" s="12" t="n">
        <v>43906</v>
      </c>
      <c r="O168" s="12" t="n">
        <v>9132</v>
      </c>
      <c r="P168" s="12" t="n">
        <f aca="false">M168+N168+O168</f>
        <v>532308</v>
      </c>
      <c r="Q168" s="13" t="n">
        <f aca="false">IF(I168=0,0,P168/I168)</f>
        <v>0.0567097564137898</v>
      </c>
      <c r="R168" s="13" t="n">
        <v>0.0432</v>
      </c>
      <c r="S168" s="14" t="n">
        <v>3530921</v>
      </c>
      <c r="T168" s="14" t="n">
        <v>339477</v>
      </c>
      <c r="U168" s="14" t="n">
        <v>131819</v>
      </c>
      <c r="V168" s="14" t="n">
        <v>283398</v>
      </c>
      <c r="W168" s="14" t="n">
        <f aca="false">S168+T168+U168+V168</f>
        <v>4285615</v>
      </c>
      <c r="X168" s="15" t="n">
        <f aca="false">IF(P168=0,0,S168/P168)</f>
        <v>6.63322925824898</v>
      </c>
      <c r="Y168" s="15" t="n">
        <f aca="false">IF(J168=0,0,W168/J168)</f>
        <v>1.46485652105997</v>
      </c>
      <c r="Z168" s="14" t="n">
        <v>713744</v>
      </c>
      <c r="AA168" s="15" t="n">
        <f aca="false">IF(L168=0,0,Z168/L168)</f>
        <v>0.557077618442917</v>
      </c>
      <c r="AB168" s="12" t="n">
        <v>223106182</v>
      </c>
      <c r="AC168" s="16" t="n">
        <v>11.8</v>
      </c>
      <c r="AD168" s="16" t="n">
        <v>20</v>
      </c>
      <c r="AE168" s="13" t="n">
        <v>0.382</v>
      </c>
      <c r="AF168" s="13" t="n">
        <v>0.566</v>
      </c>
      <c r="AG168" s="13" t="n">
        <v>0.336</v>
      </c>
      <c r="AH168" s="13" t="n">
        <v>0.194</v>
      </c>
      <c r="AI168" s="17" t="n">
        <v>4.63</v>
      </c>
    </row>
    <row r="169" customFormat="false" ht="15" hidden="false" customHeight="false" outlineLevel="0" collapsed="false">
      <c r="A169" s="10" t="n">
        <v>45200</v>
      </c>
      <c r="B169" s="11" t="n">
        <f aca="false">YEAR(A169)</f>
        <v>2023</v>
      </c>
      <c r="C169" s="11" t="str">
        <f aca="false">"Q"&amp;ROUNDUP(MONTH(A169)/3,0)</f>
        <v>Q4</v>
      </c>
      <c r="D169" s="11" t="str">
        <f aca="false">B169&amp;"-"&amp;C169</f>
        <v>2023-Q4</v>
      </c>
      <c r="E169" s="11" t="n">
        <f aca="false">MONTH(A169)</f>
        <v>10</v>
      </c>
      <c r="F169" s="11" t="str">
        <f aca="false">TEXT(A169,"mmm")</f>
        <v>Oct</v>
      </c>
      <c r="G169" s="11" t="s">
        <v>206</v>
      </c>
      <c r="H169" s="11" t="s">
        <v>205</v>
      </c>
      <c r="I169" s="12" t="n">
        <v>3093827</v>
      </c>
      <c r="J169" s="12" t="n">
        <v>825285</v>
      </c>
      <c r="K169" s="13" t="n">
        <f aca="false">IF(I169=0,0,J169/I169)</f>
        <v>0.266752148714198</v>
      </c>
      <c r="L169" s="12" t="n">
        <v>328348</v>
      </c>
      <c r="M169" s="12" t="n">
        <v>128005</v>
      </c>
      <c r="N169" s="12" t="n">
        <v>11180</v>
      </c>
      <c r="O169" s="12" t="n">
        <v>1610</v>
      </c>
      <c r="P169" s="12" t="n">
        <f aca="false">M169+N169+O169</f>
        <v>140795</v>
      </c>
      <c r="Q169" s="13" t="n">
        <f aca="false">IF(I169=0,0,P169/I169)</f>
        <v>0.0455083622969222</v>
      </c>
      <c r="R169" s="13" t="n">
        <v>0.0473</v>
      </c>
      <c r="S169" s="14" t="n">
        <v>986252</v>
      </c>
      <c r="T169" s="14" t="n">
        <v>81337</v>
      </c>
      <c r="U169" s="14" t="n">
        <v>36653</v>
      </c>
      <c r="V169" s="14" t="n">
        <v>74718</v>
      </c>
      <c r="W169" s="14" t="n">
        <f aca="false">S169+T169+U169+V169</f>
        <v>1178960</v>
      </c>
      <c r="X169" s="15" t="n">
        <f aca="false">IF(P169=0,0,S169/P169)</f>
        <v>7.00487943463901</v>
      </c>
      <c r="Y169" s="15" t="n">
        <f aca="false">IF(J169=0,0,W169/J169)</f>
        <v>1.4285489255227</v>
      </c>
      <c r="Z169" s="14" t="n">
        <v>189498</v>
      </c>
      <c r="AA169" s="15" t="n">
        <f aca="false">IF(L169=0,0,Z169/L169)</f>
        <v>0.577125488810652</v>
      </c>
      <c r="AB169" s="12" t="n">
        <v>61077253</v>
      </c>
      <c r="AC169" s="16" t="n">
        <v>10.5</v>
      </c>
      <c r="AD169" s="16" t="n">
        <v>20.5</v>
      </c>
      <c r="AE169" s="13" t="n">
        <v>0.38</v>
      </c>
      <c r="AF169" s="13" t="n">
        <v>0.58</v>
      </c>
      <c r="AG169" s="13" t="n">
        <v>0.337</v>
      </c>
      <c r="AH169" s="13" t="n">
        <v>0.198</v>
      </c>
      <c r="AI169" s="17"/>
    </row>
    <row r="170" customFormat="false" ht="15" hidden="false" customHeight="false" outlineLevel="0" collapsed="false">
      <c r="A170" s="10" t="n">
        <v>45200</v>
      </c>
      <c r="B170" s="11" t="n">
        <f aca="false">YEAR(A170)</f>
        <v>2023</v>
      </c>
      <c r="C170" s="11" t="str">
        <f aca="false">"Q"&amp;ROUNDUP(MONTH(A170)/3,0)</f>
        <v>Q4</v>
      </c>
      <c r="D170" s="11" t="str">
        <f aca="false">B170&amp;"-"&amp;C170</f>
        <v>2023-Q4</v>
      </c>
      <c r="E170" s="11" t="n">
        <f aca="false">MONTH(A170)</f>
        <v>10</v>
      </c>
      <c r="F170" s="11" t="str">
        <f aca="false">TEXT(A170,"mmm")</f>
        <v>Oct</v>
      </c>
      <c r="G170" s="11" t="s">
        <v>207</v>
      </c>
      <c r="H170" s="11" t="s">
        <v>203</v>
      </c>
      <c r="I170" s="12" t="n">
        <v>6279973</v>
      </c>
      <c r="J170" s="12" t="n">
        <v>1848216</v>
      </c>
      <c r="K170" s="13" t="n">
        <f aca="false">IF(I170=0,0,J170/I170)</f>
        <v>0.294303176144229</v>
      </c>
      <c r="L170" s="12" t="n">
        <v>705699</v>
      </c>
      <c r="M170" s="12" t="n">
        <v>386571</v>
      </c>
      <c r="N170" s="12" t="n">
        <v>38009</v>
      </c>
      <c r="O170" s="12" t="n">
        <v>6909</v>
      </c>
      <c r="P170" s="12" t="n">
        <f aca="false">M170+N170+O170</f>
        <v>431489</v>
      </c>
      <c r="Q170" s="13" t="n">
        <f aca="false">IF(I170=0,0,P170/I170)</f>
        <v>0.0687087348942424</v>
      </c>
      <c r="R170" s="13" t="n">
        <v>0.043</v>
      </c>
      <c r="S170" s="14" t="n">
        <v>2891446</v>
      </c>
      <c r="T170" s="14" t="n">
        <v>263208</v>
      </c>
      <c r="U170" s="14" t="n">
        <v>110414</v>
      </c>
      <c r="V170" s="14" t="n">
        <v>210944</v>
      </c>
      <c r="W170" s="14" t="n">
        <f aca="false">S170+T170+U170+V170</f>
        <v>3476012</v>
      </c>
      <c r="X170" s="15" t="n">
        <f aca="false">IF(P170=0,0,S170/P170)</f>
        <v>6.70108855613932</v>
      </c>
      <c r="Y170" s="15" t="n">
        <f aca="false">IF(J170=0,0,W170/J170)</f>
        <v>1.88073904781692</v>
      </c>
      <c r="Z170" s="14" t="n">
        <v>577811</v>
      </c>
      <c r="AA170" s="15" t="n">
        <f aca="false">IF(L170=0,0,Z170/L170)</f>
        <v>0.818778260986625</v>
      </c>
      <c r="AB170" s="12" t="n">
        <v>134271152</v>
      </c>
      <c r="AC170" s="16" t="n">
        <v>12.2</v>
      </c>
      <c r="AD170" s="16" t="n">
        <v>20.2</v>
      </c>
      <c r="AE170" s="13" t="n">
        <v>0.385</v>
      </c>
      <c r="AF170" s="13" t="n">
        <v>0.567</v>
      </c>
      <c r="AG170" s="13" t="n">
        <v>0.331</v>
      </c>
      <c r="AH170" s="13" t="n">
        <v>0.202</v>
      </c>
      <c r="AI170" s="17" t="n">
        <v>4.66</v>
      </c>
    </row>
    <row r="171" customFormat="false" ht="15" hidden="false" customHeight="false" outlineLevel="0" collapsed="false">
      <c r="A171" s="10" t="n">
        <v>45200</v>
      </c>
      <c r="B171" s="11" t="n">
        <f aca="false">YEAR(A171)</f>
        <v>2023</v>
      </c>
      <c r="C171" s="11" t="str">
        <f aca="false">"Q"&amp;ROUNDUP(MONTH(A171)/3,0)</f>
        <v>Q4</v>
      </c>
      <c r="D171" s="11" t="str">
        <f aca="false">B171&amp;"-"&amp;C171</f>
        <v>2023-Q4</v>
      </c>
      <c r="E171" s="11" t="n">
        <f aca="false">MONTH(A171)</f>
        <v>10</v>
      </c>
      <c r="F171" s="11" t="str">
        <f aca="false">TEXT(A171,"mmm")</f>
        <v>Oct</v>
      </c>
      <c r="G171" s="11" t="s">
        <v>207</v>
      </c>
      <c r="H171" s="11" t="s">
        <v>204</v>
      </c>
      <c r="I171" s="12" t="n">
        <v>7294501</v>
      </c>
      <c r="J171" s="12" t="n">
        <v>2018338</v>
      </c>
      <c r="K171" s="13" t="n">
        <f aca="false">IF(I171=0,0,J171/I171)</f>
        <v>0.276693087025418</v>
      </c>
      <c r="L171" s="12" t="n">
        <v>873907</v>
      </c>
      <c r="M171" s="12" t="n">
        <v>230441</v>
      </c>
      <c r="N171" s="12" t="n">
        <v>22121</v>
      </c>
      <c r="O171" s="12" t="n">
        <v>3070</v>
      </c>
      <c r="P171" s="12" t="n">
        <f aca="false">M171+N171+O171</f>
        <v>255632</v>
      </c>
      <c r="Q171" s="13" t="n">
        <f aca="false">IF(I171=0,0,P171/I171)</f>
        <v>0.0350444807670874</v>
      </c>
      <c r="R171" s="13" t="n">
        <v>0.0464</v>
      </c>
      <c r="S171" s="14" t="n">
        <v>1604661</v>
      </c>
      <c r="T171" s="14" t="n">
        <v>154279</v>
      </c>
      <c r="U171" s="14" t="n">
        <v>61192</v>
      </c>
      <c r="V171" s="14" t="n">
        <v>125932</v>
      </c>
      <c r="W171" s="14" t="n">
        <f aca="false">S171+T171+U171+V171</f>
        <v>1946064</v>
      </c>
      <c r="X171" s="15" t="n">
        <f aca="false">IF(P171=0,0,S171/P171)</f>
        <v>6.27723055016586</v>
      </c>
      <c r="Y171" s="15" t="n">
        <f aca="false">IF(J171=0,0,W171/J171)</f>
        <v>0.964191329697999</v>
      </c>
      <c r="Z171" s="14" t="n">
        <v>343293</v>
      </c>
      <c r="AA171" s="15" t="n">
        <f aca="false">IF(L171=0,0,Z171/L171)</f>
        <v>0.392825552375711</v>
      </c>
      <c r="AB171" s="12" t="n">
        <v>157598694</v>
      </c>
      <c r="AC171" s="16" t="n">
        <v>11.6</v>
      </c>
      <c r="AD171" s="16" t="n">
        <v>19.9</v>
      </c>
      <c r="AE171" s="13" t="n">
        <v>0.393</v>
      </c>
      <c r="AF171" s="13" t="n">
        <v>0.577</v>
      </c>
      <c r="AG171" s="13" t="n">
        <v>0.339</v>
      </c>
      <c r="AH171" s="13" t="n">
        <v>0.195</v>
      </c>
      <c r="AI171" s="17" t="n">
        <v>4.59</v>
      </c>
    </row>
    <row r="172" customFormat="false" ht="15" hidden="false" customHeight="false" outlineLevel="0" collapsed="false">
      <c r="A172" s="10" t="n">
        <v>45200</v>
      </c>
      <c r="B172" s="11" t="n">
        <f aca="false">YEAR(A172)</f>
        <v>2023</v>
      </c>
      <c r="C172" s="11" t="str">
        <f aca="false">"Q"&amp;ROUNDUP(MONTH(A172)/3,0)</f>
        <v>Q4</v>
      </c>
      <c r="D172" s="11" t="str">
        <f aca="false">B172&amp;"-"&amp;C172</f>
        <v>2023-Q4</v>
      </c>
      <c r="E172" s="11" t="n">
        <f aca="false">MONTH(A172)</f>
        <v>10</v>
      </c>
      <c r="F172" s="11" t="str">
        <f aca="false">TEXT(A172,"mmm")</f>
        <v>Oct</v>
      </c>
      <c r="G172" s="11" t="s">
        <v>207</v>
      </c>
      <c r="H172" s="11" t="s">
        <v>205</v>
      </c>
      <c r="I172" s="12" t="n">
        <v>2414552</v>
      </c>
      <c r="J172" s="12" t="n">
        <v>604228</v>
      </c>
      <c r="K172" s="13" t="n">
        <f aca="false">IF(I172=0,0,J172/I172)</f>
        <v>0.250244351747239</v>
      </c>
      <c r="L172" s="12" t="n">
        <v>251251</v>
      </c>
      <c r="M172" s="12" t="n">
        <v>59708</v>
      </c>
      <c r="N172" s="12" t="n">
        <v>6842</v>
      </c>
      <c r="O172" s="12" t="n">
        <v>537</v>
      </c>
      <c r="P172" s="12" t="n">
        <f aca="false">M172+N172+O172</f>
        <v>67087</v>
      </c>
      <c r="Q172" s="13" t="n">
        <f aca="false">IF(I172=0,0,P172/I172)</f>
        <v>0.0277844502831167</v>
      </c>
      <c r="R172" s="13" t="n">
        <v>0.0472</v>
      </c>
      <c r="S172" s="14" t="n">
        <v>436004</v>
      </c>
      <c r="T172" s="14" t="n">
        <v>41638</v>
      </c>
      <c r="U172" s="14" t="n">
        <v>16776</v>
      </c>
      <c r="V172" s="14" t="n">
        <v>34093</v>
      </c>
      <c r="W172" s="14" t="n">
        <f aca="false">S172+T172+U172+V172</f>
        <v>528511</v>
      </c>
      <c r="X172" s="15" t="n">
        <f aca="false">IF(P172=0,0,S172/P172)</f>
        <v>6.4990832799201</v>
      </c>
      <c r="Y172" s="15" t="n">
        <f aca="false">IF(J172=0,0,W172/J172)</f>
        <v>0.874688031670164</v>
      </c>
      <c r="Z172" s="14" t="n">
        <v>97030</v>
      </c>
      <c r="AA172" s="15" t="n">
        <f aca="false">IF(L172=0,0,Z172/L172)</f>
        <v>0.386187517661621</v>
      </c>
      <c r="AB172" s="12" t="n">
        <v>45789289</v>
      </c>
      <c r="AC172" s="16" t="n">
        <v>10.3</v>
      </c>
      <c r="AD172" s="16" t="n">
        <v>20.2</v>
      </c>
      <c r="AE172" s="13" t="n">
        <v>0.388</v>
      </c>
      <c r="AF172" s="13" t="n">
        <v>0.546</v>
      </c>
      <c r="AG172" s="13" t="n">
        <v>0.349</v>
      </c>
      <c r="AH172" s="13" t="n">
        <v>0.198</v>
      </c>
      <c r="AI172" s="17"/>
    </row>
    <row r="173" customFormat="false" ht="15" hidden="false" customHeight="false" outlineLevel="0" collapsed="false">
      <c r="A173" s="10" t="n">
        <v>45200</v>
      </c>
      <c r="B173" s="11" t="n">
        <f aca="false">YEAR(A173)</f>
        <v>2023</v>
      </c>
      <c r="C173" s="11" t="str">
        <f aca="false">"Q"&amp;ROUNDUP(MONTH(A173)/3,0)</f>
        <v>Q4</v>
      </c>
      <c r="D173" s="11" t="str">
        <f aca="false">B173&amp;"-"&amp;C173</f>
        <v>2023-Q4</v>
      </c>
      <c r="E173" s="11" t="n">
        <f aca="false">MONTH(A173)</f>
        <v>10</v>
      </c>
      <c r="F173" s="11" t="str">
        <f aca="false">TEXT(A173,"mmm")</f>
        <v>Oct</v>
      </c>
      <c r="G173" s="11" t="s">
        <v>208</v>
      </c>
      <c r="H173" s="11" t="s">
        <v>203</v>
      </c>
      <c r="I173" s="12" t="n">
        <v>4622548</v>
      </c>
      <c r="J173" s="12" t="n">
        <v>1486420</v>
      </c>
      <c r="K173" s="13" t="n">
        <f aca="false">IF(I173=0,0,J173/I173)</f>
        <v>0.321558586303485</v>
      </c>
      <c r="L173" s="12" t="n">
        <v>758471</v>
      </c>
      <c r="M173" s="12" t="n">
        <v>184835</v>
      </c>
      <c r="N173" s="12" t="n">
        <v>18242</v>
      </c>
      <c r="O173" s="12" t="n">
        <v>2349</v>
      </c>
      <c r="P173" s="12" t="n">
        <f aca="false">M173+N173+O173</f>
        <v>205426</v>
      </c>
      <c r="Q173" s="13" t="n">
        <f aca="false">IF(I173=0,0,P173/I173)</f>
        <v>0.0444399928351204</v>
      </c>
      <c r="R173" s="13" t="n">
        <v>0.0395</v>
      </c>
      <c r="S173" s="14" t="n">
        <v>1455712</v>
      </c>
      <c r="T173" s="14" t="n">
        <v>137843</v>
      </c>
      <c r="U173" s="14" t="n">
        <v>55146</v>
      </c>
      <c r="V173" s="14" t="n">
        <v>102987</v>
      </c>
      <c r="W173" s="14" t="n">
        <f aca="false">S173+T173+U173+V173</f>
        <v>1751688</v>
      </c>
      <c r="X173" s="15" t="n">
        <f aca="false">IF(P173=0,0,S173/P173)</f>
        <v>7.08630845170524</v>
      </c>
      <c r="Y173" s="15" t="n">
        <f aca="false">IF(J173=0,0,W173/J173)</f>
        <v>1.17846100025565</v>
      </c>
      <c r="Z173" s="14" t="n">
        <v>372949</v>
      </c>
      <c r="AA173" s="15" t="n">
        <f aca="false">IF(L173=0,0,Z173/L173)</f>
        <v>0.491711614550853</v>
      </c>
      <c r="AB173" s="12" t="n">
        <v>119959038</v>
      </c>
      <c r="AC173" s="16" t="n">
        <v>12.2</v>
      </c>
      <c r="AD173" s="16" t="n">
        <v>19.7</v>
      </c>
      <c r="AE173" s="13" t="n">
        <v>0.386</v>
      </c>
      <c r="AF173" s="13" t="n">
        <v>0.579</v>
      </c>
      <c r="AG173" s="13" t="n">
        <v>0.346</v>
      </c>
      <c r="AH173" s="13" t="n">
        <v>0.207</v>
      </c>
      <c r="AI173" s="17" t="n">
        <v>4.66</v>
      </c>
    </row>
    <row r="174" customFormat="false" ht="15" hidden="false" customHeight="false" outlineLevel="0" collapsed="false">
      <c r="A174" s="10" t="n">
        <v>45200</v>
      </c>
      <c r="B174" s="11" t="n">
        <f aca="false">YEAR(A174)</f>
        <v>2023</v>
      </c>
      <c r="C174" s="11" t="str">
        <f aca="false">"Q"&amp;ROUNDUP(MONTH(A174)/3,0)</f>
        <v>Q4</v>
      </c>
      <c r="D174" s="11" t="str">
        <f aca="false">B174&amp;"-"&amp;C174</f>
        <v>2023-Q4</v>
      </c>
      <c r="E174" s="11" t="n">
        <f aca="false">MONTH(A174)</f>
        <v>10</v>
      </c>
      <c r="F174" s="11" t="str">
        <f aca="false">TEXT(A174,"mmm")</f>
        <v>Oct</v>
      </c>
      <c r="G174" s="11" t="s">
        <v>208</v>
      </c>
      <c r="H174" s="11" t="s">
        <v>204</v>
      </c>
      <c r="I174" s="12" t="n">
        <v>6753984</v>
      </c>
      <c r="J174" s="12" t="n">
        <v>2004914</v>
      </c>
      <c r="K174" s="13" t="n">
        <f aca="false">IF(I174=0,0,J174/I174)</f>
        <v>0.296849089367105</v>
      </c>
      <c r="L174" s="12" t="n">
        <v>857178</v>
      </c>
      <c r="M174" s="12" t="n">
        <v>108665</v>
      </c>
      <c r="N174" s="12" t="n">
        <v>9911</v>
      </c>
      <c r="O174" s="12" t="n">
        <v>1026</v>
      </c>
      <c r="P174" s="12" t="n">
        <f aca="false">M174+N174+O174</f>
        <v>119602</v>
      </c>
      <c r="Q174" s="13" t="n">
        <f aca="false">IF(I174=0,0,P174/I174)</f>
        <v>0.0177083629454852</v>
      </c>
      <c r="R174" s="13" t="n">
        <v>0.046</v>
      </c>
      <c r="S174" s="14" t="n">
        <v>861473</v>
      </c>
      <c r="T174" s="14" t="n">
        <v>69835</v>
      </c>
      <c r="U174" s="14" t="n">
        <v>31475</v>
      </c>
      <c r="V174" s="14" t="n">
        <v>66732</v>
      </c>
      <c r="W174" s="14" t="n">
        <f aca="false">S174+T174+U174+V174</f>
        <v>1029515</v>
      </c>
      <c r="X174" s="15" t="n">
        <f aca="false">IF(P174=0,0,S174/P174)</f>
        <v>7.20283105633685</v>
      </c>
      <c r="Y174" s="15" t="n">
        <f aca="false">IF(J174=0,0,W174/J174)</f>
        <v>0.513495840719353</v>
      </c>
      <c r="Z174" s="14" t="n">
        <v>210776</v>
      </c>
      <c r="AA174" s="15" t="n">
        <f aca="false">IF(L174=0,0,Z174/L174)</f>
        <v>0.245895251628017</v>
      </c>
      <c r="AB174" s="12" t="n">
        <v>156748208</v>
      </c>
      <c r="AC174" s="16" t="n">
        <v>11.7</v>
      </c>
      <c r="AD174" s="16" t="n">
        <v>19.3</v>
      </c>
      <c r="AE174" s="13" t="n">
        <v>0.391</v>
      </c>
      <c r="AF174" s="13" t="n">
        <v>0.568</v>
      </c>
      <c r="AG174" s="13" t="n">
        <v>0.339</v>
      </c>
      <c r="AH174" s="13" t="n">
        <v>0.203</v>
      </c>
      <c r="AI174" s="17" t="n">
        <v>4.62</v>
      </c>
    </row>
    <row r="175" customFormat="false" ht="15" hidden="false" customHeight="false" outlineLevel="0" collapsed="false">
      <c r="A175" s="10" t="n">
        <v>45200</v>
      </c>
      <c r="B175" s="11" t="n">
        <f aca="false">YEAR(A175)</f>
        <v>2023</v>
      </c>
      <c r="C175" s="11" t="str">
        <f aca="false">"Q"&amp;ROUNDUP(MONTH(A175)/3,0)</f>
        <v>Q4</v>
      </c>
      <c r="D175" s="11" t="str">
        <f aca="false">B175&amp;"-"&amp;C175</f>
        <v>2023-Q4</v>
      </c>
      <c r="E175" s="11" t="n">
        <f aca="false">MONTH(A175)</f>
        <v>10</v>
      </c>
      <c r="F175" s="11" t="str">
        <f aca="false">TEXT(A175,"mmm")</f>
        <v>Oct</v>
      </c>
      <c r="G175" s="11" t="s">
        <v>208</v>
      </c>
      <c r="H175" s="11" t="s">
        <v>205</v>
      </c>
      <c r="I175" s="12" t="n">
        <v>1925605</v>
      </c>
      <c r="J175" s="12" t="n">
        <v>511777</v>
      </c>
      <c r="K175" s="13" t="n">
        <f aca="false">IF(I175=0,0,J175/I175)</f>
        <v>0.265774652641637</v>
      </c>
      <c r="L175" s="12" t="n">
        <v>206257</v>
      </c>
      <c r="M175" s="12" t="n">
        <v>28292</v>
      </c>
      <c r="N175" s="12" t="n">
        <v>2805</v>
      </c>
      <c r="O175" s="12" t="n">
        <v>179</v>
      </c>
      <c r="P175" s="12" t="n">
        <f aca="false">M175+N175+O175</f>
        <v>31276</v>
      </c>
      <c r="Q175" s="13" t="n">
        <f aca="false">IF(I175=0,0,P175/I175)</f>
        <v>0.0162421680458869</v>
      </c>
      <c r="R175" s="13" t="n">
        <v>0.0485</v>
      </c>
      <c r="S175" s="14" t="n">
        <v>218186</v>
      </c>
      <c r="T175" s="14" t="n">
        <v>20720</v>
      </c>
      <c r="U175" s="14" t="n">
        <v>7913</v>
      </c>
      <c r="V175" s="14" t="n">
        <v>15892</v>
      </c>
      <c r="W175" s="14" t="n">
        <f aca="false">S175+T175+U175+V175</f>
        <v>262711</v>
      </c>
      <c r="X175" s="15" t="n">
        <f aca="false">IF(P175=0,0,S175/P175)</f>
        <v>6.97614784499297</v>
      </c>
      <c r="Y175" s="15" t="n">
        <f aca="false">IF(J175=0,0,W175/J175)</f>
        <v>0.513331001588583</v>
      </c>
      <c r="Z175" s="14" t="n">
        <v>43112</v>
      </c>
      <c r="AA175" s="15" t="n">
        <f aca="false">IF(L175=0,0,Z175/L175)</f>
        <v>0.209020784749124</v>
      </c>
      <c r="AB175" s="12" t="n">
        <v>37339926</v>
      </c>
      <c r="AC175" s="16" t="n">
        <v>10.7</v>
      </c>
      <c r="AD175" s="16" t="n">
        <v>20.2</v>
      </c>
      <c r="AE175" s="13" t="n">
        <v>0.382</v>
      </c>
      <c r="AF175" s="13" t="n">
        <v>0.574</v>
      </c>
      <c r="AG175" s="13" t="n">
        <v>0.348</v>
      </c>
      <c r="AH175" s="13" t="n">
        <v>0.209</v>
      </c>
      <c r="AI175" s="17"/>
    </row>
    <row r="176" customFormat="false" ht="15" hidden="false" customHeight="false" outlineLevel="0" collapsed="false">
      <c r="A176" s="10" t="n">
        <v>45200</v>
      </c>
      <c r="B176" s="11" t="n">
        <f aca="false">YEAR(A176)</f>
        <v>2023</v>
      </c>
      <c r="C176" s="11" t="str">
        <f aca="false">"Q"&amp;ROUNDUP(MONTH(A176)/3,0)</f>
        <v>Q4</v>
      </c>
      <c r="D176" s="11" t="str">
        <f aca="false">B176&amp;"-"&amp;C176</f>
        <v>2023-Q4</v>
      </c>
      <c r="E176" s="11" t="n">
        <f aca="false">MONTH(A176)</f>
        <v>10</v>
      </c>
      <c r="F176" s="11" t="str">
        <f aca="false">TEXT(A176,"mmm")</f>
        <v>Oct</v>
      </c>
      <c r="G176" s="11" t="s">
        <v>209</v>
      </c>
      <c r="H176" s="11" t="s">
        <v>203</v>
      </c>
      <c r="I176" s="12" t="n">
        <v>2884728</v>
      </c>
      <c r="J176" s="12" t="n">
        <v>909124</v>
      </c>
      <c r="K176" s="13" t="n">
        <f aca="false">IF(I176=0,0,J176/I176)</f>
        <v>0.315150683183995</v>
      </c>
      <c r="L176" s="12" t="n">
        <v>382210</v>
      </c>
      <c r="M176" s="12" t="n">
        <v>73179</v>
      </c>
      <c r="N176" s="12" t="n">
        <v>6401</v>
      </c>
      <c r="O176" s="12" t="n">
        <v>735</v>
      </c>
      <c r="P176" s="12" t="n">
        <f aca="false">M176+N176+O176</f>
        <v>80315</v>
      </c>
      <c r="Q176" s="13" t="n">
        <f aca="false">IF(I176=0,0,P176/I176)</f>
        <v>0.0278414464032658</v>
      </c>
      <c r="R176" s="13" t="n">
        <v>0.0445</v>
      </c>
      <c r="S176" s="14" t="n">
        <v>529114</v>
      </c>
      <c r="T176" s="14" t="n">
        <v>49620</v>
      </c>
      <c r="U176" s="14" t="n">
        <v>21433</v>
      </c>
      <c r="V176" s="14" t="n">
        <v>41438</v>
      </c>
      <c r="W176" s="14" t="n">
        <f aca="false">S176+T176+U176+V176</f>
        <v>641605</v>
      </c>
      <c r="X176" s="15" t="n">
        <f aca="false">IF(P176=0,0,S176/P176)</f>
        <v>6.58798480981137</v>
      </c>
      <c r="Y176" s="15" t="n">
        <f aca="false">IF(J176=0,0,W176/J176)</f>
        <v>0.705739811070877</v>
      </c>
      <c r="Z176" s="14" t="n">
        <v>125249</v>
      </c>
      <c r="AA176" s="15" t="n">
        <f aca="false">IF(L176=0,0,Z176/L176)</f>
        <v>0.327696815886555</v>
      </c>
      <c r="AB176" s="12" t="n">
        <v>69705852</v>
      </c>
      <c r="AC176" s="16" t="n">
        <v>12</v>
      </c>
      <c r="AD176" s="16" t="n">
        <v>19.8</v>
      </c>
      <c r="AE176" s="13" t="n">
        <v>0.392</v>
      </c>
      <c r="AF176" s="13" t="n">
        <v>0.576</v>
      </c>
      <c r="AG176" s="13" t="n">
        <v>0.341</v>
      </c>
      <c r="AH176" s="13" t="n">
        <v>0.204</v>
      </c>
      <c r="AI176" s="17" t="n">
        <v>4.69</v>
      </c>
    </row>
    <row r="177" customFormat="false" ht="15" hidden="false" customHeight="false" outlineLevel="0" collapsed="false">
      <c r="A177" s="10" t="n">
        <v>45200</v>
      </c>
      <c r="B177" s="11" t="n">
        <f aca="false">YEAR(A177)</f>
        <v>2023</v>
      </c>
      <c r="C177" s="11" t="str">
        <f aca="false">"Q"&amp;ROUNDUP(MONTH(A177)/3,0)</f>
        <v>Q4</v>
      </c>
      <c r="D177" s="11" t="str">
        <f aca="false">B177&amp;"-"&amp;C177</f>
        <v>2023-Q4</v>
      </c>
      <c r="E177" s="11" t="n">
        <f aca="false">MONTH(A177)</f>
        <v>10</v>
      </c>
      <c r="F177" s="11" t="str">
        <f aca="false">TEXT(A177,"mmm")</f>
        <v>Oct</v>
      </c>
      <c r="G177" s="11" t="s">
        <v>209</v>
      </c>
      <c r="H177" s="11" t="s">
        <v>204</v>
      </c>
      <c r="I177" s="12" t="n">
        <v>3693639</v>
      </c>
      <c r="J177" s="12" t="n">
        <v>1041989</v>
      </c>
      <c r="K177" s="13" t="n">
        <f aca="false">IF(I177=0,0,J177/I177)</f>
        <v>0.282103638173628</v>
      </c>
      <c r="L177" s="12" t="n">
        <v>532916</v>
      </c>
      <c r="M177" s="12" t="n">
        <v>38707</v>
      </c>
      <c r="N177" s="12" t="n">
        <v>3973</v>
      </c>
      <c r="O177" s="12" t="n">
        <v>295</v>
      </c>
      <c r="P177" s="12" t="n">
        <f aca="false">M177+N177+O177</f>
        <v>42975</v>
      </c>
      <c r="Q177" s="13" t="n">
        <f aca="false">IF(I177=0,0,P177/I177)</f>
        <v>0.011634867403122</v>
      </c>
      <c r="R177" s="13" t="n">
        <v>0.0421</v>
      </c>
      <c r="S177" s="14" t="n">
        <v>298958</v>
      </c>
      <c r="T177" s="14" t="n">
        <v>30333</v>
      </c>
      <c r="U177" s="14" t="n">
        <v>11654</v>
      </c>
      <c r="V177" s="14" t="n">
        <v>23797</v>
      </c>
      <c r="W177" s="14" t="n">
        <f aca="false">S177+T177+U177+V177</f>
        <v>364742</v>
      </c>
      <c r="X177" s="15" t="n">
        <f aca="false">IF(P177=0,0,S177/P177)</f>
        <v>6.95655613728912</v>
      </c>
      <c r="Y177" s="15" t="n">
        <f aca="false">IF(J177=0,0,W177/J177)</f>
        <v>0.350044002383902</v>
      </c>
      <c r="Z177" s="14" t="n">
        <v>61097</v>
      </c>
      <c r="AA177" s="15" t="n">
        <f aca="false">IF(L177=0,0,Z177/L177)</f>
        <v>0.114646585953509</v>
      </c>
      <c r="AB177" s="12" t="n">
        <v>78072455</v>
      </c>
      <c r="AC177" s="16" t="n">
        <v>11.6</v>
      </c>
      <c r="AD177" s="16" t="n">
        <v>20.5</v>
      </c>
      <c r="AE177" s="13" t="n">
        <v>0.38</v>
      </c>
      <c r="AF177" s="13" t="n">
        <v>0.587</v>
      </c>
      <c r="AG177" s="13" t="n">
        <v>0.352</v>
      </c>
      <c r="AH177" s="13" t="n">
        <v>0.185</v>
      </c>
      <c r="AI177" s="17" t="n">
        <v>4.64</v>
      </c>
    </row>
    <row r="178" customFormat="false" ht="15" hidden="false" customHeight="false" outlineLevel="0" collapsed="false">
      <c r="A178" s="10" t="n">
        <v>45200</v>
      </c>
      <c r="B178" s="11" t="n">
        <f aca="false">YEAR(A178)</f>
        <v>2023</v>
      </c>
      <c r="C178" s="11" t="str">
        <f aca="false">"Q"&amp;ROUNDUP(MONTH(A178)/3,0)</f>
        <v>Q4</v>
      </c>
      <c r="D178" s="11" t="str">
        <f aca="false">B178&amp;"-"&amp;C178</f>
        <v>2023-Q4</v>
      </c>
      <c r="E178" s="11" t="n">
        <f aca="false">MONTH(A178)</f>
        <v>10</v>
      </c>
      <c r="F178" s="11" t="str">
        <f aca="false">TEXT(A178,"mmm")</f>
        <v>Oct</v>
      </c>
      <c r="G178" s="11" t="s">
        <v>209</v>
      </c>
      <c r="H178" s="11" t="s">
        <v>205</v>
      </c>
      <c r="I178" s="12" t="n">
        <v>1193035</v>
      </c>
      <c r="J178" s="12" t="n">
        <v>293315</v>
      </c>
      <c r="K178" s="13" t="n">
        <f aca="false">IF(I178=0,0,J178/I178)</f>
        <v>0.245856156776624</v>
      </c>
      <c r="L178" s="12" t="n">
        <v>130590</v>
      </c>
      <c r="M178" s="12" t="n">
        <v>10548</v>
      </c>
      <c r="N178" s="12" t="n">
        <v>988</v>
      </c>
      <c r="O178" s="12" t="n">
        <v>53</v>
      </c>
      <c r="P178" s="12" t="n">
        <f aca="false">M178+N178+O178</f>
        <v>11589</v>
      </c>
      <c r="Q178" s="13" t="n">
        <f aca="false">IF(I178=0,0,P178/I178)</f>
        <v>0.00971388098421253</v>
      </c>
      <c r="R178" s="13" t="n">
        <v>0.0474</v>
      </c>
      <c r="S178" s="14" t="n">
        <v>82814</v>
      </c>
      <c r="T178" s="14" t="n">
        <v>8009</v>
      </c>
      <c r="U178" s="14" t="n">
        <v>3421</v>
      </c>
      <c r="V178" s="14" t="n">
        <v>6042</v>
      </c>
      <c r="W178" s="14" t="n">
        <f aca="false">S178+T178+U178+V178</f>
        <v>100286</v>
      </c>
      <c r="X178" s="15" t="n">
        <f aca="false">IF(P178=0,0,S178/P178)</f>
        <v>7.14591422901027</v>
      </c>
      <c r="Y178" s="15" t="n">
        <f aca="false">IF(J178=0,0,W178/J178)</f>
        <v>0.341905460000341</v>
      </c>
      <c r="Z178" s="14" t="n">
        <v>18133</v>
      </c>
      <c r="AA178" s="15" t="n">
        <f aca="false">IF(L178=0,0,Z178/L178)</f>
        <v>0.138854429895092</v>
      </c>
      <c r="AB178" s="12" t="n">
        <v>22053237</v>
      </c>
      <c r="AC178" s="16" t="n">
        <v>10.6</v>
      </c>
      <c r="AD178" s="16" t="n">
        <v>20.2</v>
      </c>
      <c r="AE178" s="13" t="n">
        <v>0.391</v>
      </c>
      <c r="AF178" s="13" t="n">
        <v>0.558</v>
      </c>
      <c r="AG178" s="13" t="n">
        <v>0.332</v>
      </c>
      <c r="AH178" s="13" t="n">
        <v>0.199</v>
      </c>
      <c r="AI178" s="17"/>
    </row>
    <row r="179" customFormat="false" ht="15" hidden="false" customHeight="false" outlineLevel="0" collapsed="false">
      <c r="A179" s="10" t="n">
        <v>45200</v>
      </c>
      <c r="B179" s="11" t="n">
        <f aca="false">YEAR(A179)</f>
        <v>2023</v>
      </c>
      <c r="C179" s="11" t="str">
        <f aca="false">"Q"&amp;ROUNDUP(MONTH(A179)/3,0)</f>
        <v>Q4</v>
      </c>
      <c r="D179" s="11" t="str">
        <f aca="false">B179&amp;"-"&amp;C179</f>
        <v>2023-Q4</v>
      </c>
      <c r="E179" s="11" t="n">
        <f aca="false">MONTH(A179)</f>
        <v>10</v>
      </c>
      <c r="F179" s="11" t="str">
        <f aca="false">TEXT(A179,"mmm")</f>
        <v>Oct</v>
      </c>
      <c r="G179" s="11" t="s">
        <v>210</v>
      </c>
      <c r="H179" s="11" t="s">
        <v>203</v>
      </c>
      <c r="I179" s="12" t="n">
        <v>4359378</v>
      </c>
      <c r="J179" s="12" t="n">
        <v>1288335</v>
      </c>
      <c r="K179" s="13" t="n">
        <f aca="false">IF(I179=0,0,J179/I179)</f>
        <v>0.295531839634003</v>
      </c>
      <c r="L179" s="12" t="n">
        <v>606550</v>
      </c>
      <c r="M179" s="12" t="n">
        <v>137274</v>
      </c>
      <c r="N179" s="12" t="n">
        <v>13588</v>
      </c>
      <c r="O179" s="12" t="n">
        <v>1393</v>
      </c>
      <c r="P179" s="12" t="n">
        <f aca="false">M179+N179+O179</f>
        <v>152255</v>
      </c>
      <c r="Q179" s="13" t="n">
        <f aca="false">IF(I179=0,0,P179/I179)</f>
        <v>0.0349258541012043</v>
      </c>
      <c r="R179" s="13" t="n">
        <v>0.0411</v>
      </c>
      <c r="S179" s="14" t="n">
        <v>1018332</v>
      </c>
      <c r="T179" s="14" t="n">
        <v>93792</v>
      </c>
      <c r="U179" s="14" t="n">
        <v>40650</v>
      </c>
      <c r="V179" s="14" t="n">
        <v>76101</v>
      </c>
      <c r="W179" s="14" t="n">
        <f aca="false">S179+T179+U179+V179</f>
        <v>1228875</v>
      </c>
      <c r="X179" s="15" t="n">
        <f aca="false">IF(P179=0,0,S179/P179)</f>
        <v>6.68833207448031</v>
      </c>
      <c r="Y179" s="15" t="n">
        <f aca="false">IF(J179=0,0,W179/J179)</f>
        <v>0.953847407700637</v>
      </c>
      <c r="Z179" s="14" t="n">
        <v>221798</v>
      </c>
      <c r="AA179" s="15" t="n">
        <f aca="false">IF(L179=0,0,Z179/L179)</f>
        <v>0.365671420328085</v>
      </c>
      <c r="AB179" s="12" t="n">
        <v>97942172</v>
      </c>
      <c r="AC179" s="16" t="n">
        <v>12.3</v>
      </c>
      <c r="AD179" s="16" t="n">
        <v>20.1</v>
      </c>
      <c r="AE179" s="13" t="n">
        <v>0.388</v>
      </c>
      <c r="AF179" s="13" t="n">
        <v>0.587</v>
      </c>
      <c r="AG179" s="13" t="n">
        <v>0.346</v>
      </c>
      <c r="AH179" s="13" t="n">
        <v>0.196</v>
      </c>
      <c r="AI179" s="17" t="n">
        <v>4.68</v>
      </c>
    </row>
    <row r="180" customFormat="false" ht="15" hidden="false" customHeight="false" outlineLevel="0" collapsed="false">
      <c r="A180" s="10" t="n">
        <v>45200</v>
      </c>
      <c r="B180" s="11" t="n">
        <f aca="false">YEAR(A180)</f>
        <v>2023</v>
      </c>
      <c r="C180" s="11" t="str">
        <f aca="false">"Q"&amp;ROUNDUP(MONTH(A180)/3,0)</f>
        <v>Q4</v>
      </c>
      <c r="D180" s="11" t="str">
        <f aca="false">B180&amp;"-"&amp;C180</f>
        <v>2023-Q4</v>
      </c>
      <c r="E180" s="11" t="n">
        <f aca="false">MONTH(A180)</f>
        <v>10</v>
      </c>
      <c r="F180" s="11" t="str">
        <f aca="false">TEXT(A180,"mmm")</f>
        <v>Oct</v>
      </c>
      <c r="G180" s="11" t="s">
        <v>210</v>
      </c>
      <c r="H180" s="11" t="s">
        <v>204</v>
      </c>
      <c r="I180" s="12" t="n">
        <v>5805850</v>
      </c>
      <c r="J180" s="12" t="n">
        <v>1585347</v>
      </c>
      <c r="K180" s="13" t="n">
        <f aca="false">IF(I180=0,0,J180/I180)</f>
        <v>0.273060275411869</v>
      </c>
      <c r="L180" s="12" t="n">
        <v>618113</v>
      </c>
      <c r="M180" s="12" t="n">
        <v>80125</v>
      </c>
      <c r="N180" s="12" t="n">
        <v>8526</v>
      </c>
      <c r="O180" s="12" t="n">
        <v>613</v>
      </c>
      <c r="P180" s="12" t="n">
        <f aca="false">M180+N180+O180</f>
        <v>89264</v>
      </c>
      <c r="Q180" s="13" t="n">
        <f aca="false">IF(I180=0,0,P180/I180)</f>
        <v>0.0153748374484356</v>
      </c>
      <c r="R180" s="13" t="n">
        <v>0.0429</v>
      </c>
      <c r="S180" s="14" t="n">
        <v>604121</v>
      </c>
      <c r="T180" s="14" t="n">
        <v>51670</v>
      </c>
      <c r="U180" s="14" t="n">
        <v>23606</v>
      </c>
      <c r="V180" s="14" t="n">
        <v>43248</v>
      </c>
      <c r="W180" s="14" t="n">
        <f aca="false">S180+T180+U180+V180</f>
        <v>722645</v>
      </c>
      <c r="X180" s="15" t="n">
        <f aca="false">IF(P180=0,0,S180/P180)</f>
        <v>6.76780112923463</v>
      </c>
      <c r="Y180" s="15" t="n">
        <f aca="false">IF(J180=0,0,W180/J180)</f>
        <v>0.455827651611918</v>
      </c>
      <c r="Z180" s="14" t="n">
        <v>133788</v>
      </c>
      <c r="AA180" s="15" t="n">
        <f aca="false">IF(L180=0,0,Z180/L180)</f>
        <v>0.216445860222969</v>
      </c>
      <c r="AB180" s="12" t="n">
        <v>120102469</v>
      </c>
      <c r="AC180" s="16" t="n">
        <v>12</v>
      </c>
      <c r="AD180" s="16" t="n">
        <v>20.8</v>
      </c>
      <c r="AE180" s="13" t="n">
        <v>0.392</v>
      </c>
      <c r="AF180" s="13" t="n">
        <v>0.567</v>
      </c>
      <c r="AG180" s="13" t="n">
        <v>0.337</v>
      </c>
      <c r="AH180" s="13" t="n">
        <v>0.2</v>
      </c>
      <c r="AI180" s="17" t="n">
        <v>4.64</v>
      </c>
    </row>
    <row r="181" customFormat="false" ht="15" hidden="false" customHeight="false" outlineLevel="0" collapsed="false">
      <c r="A181" s="10" t="n">
        <v>45200</v>
      </c>
      <c r="B181" s="11" t="n">
        <f aca="false">YEAR(A181)</f>
        <v>2023</v>
      </c>
      <c r="C181" s="11" t="str">
        <f aca="false">"Q"&amp;ROUNDUP(MONTH(A181)/3,0)</f>
        <v>Q4</v>
      </c>
      <c r="D181" s="11" t="str">
        <f aca="false">B181&amp;"-"&amp;C181</f>
        <v>2023-Q4</v>
      </c>
      <c r="E181" s="11" t="n">
        <f aca="false">MONTH(A181)</f>
        <v>10</v>
      </c>
      <c r="F181" s="11" t="str">
        <f aca="false">TEXT(A181,"mmm")</f>
        <v>Oct</v>
      </c>
      <c r="G181" s="11" t="s">
        <v>210</v>
      </c>
      <c r="H181" s="11" t="s">
        <v>205</v>
      </c>
      <c r="I181" s="12" t="n">
        <v>1796830</v>
      </c>
      <c r="J181" s="12" t="n">
        <v>450616</v>
      </c>
      <c r="K181" s="13" t="n">
        <f aca="false">IF(I181=0,0,J181/I181)</f>
        <v>0.25078388050066</v>
      </c>
      <c r="L181" s="12" t="n">
        <v>180182</v>
      </c>
      <c r="M181" s="12" t="n">
        <v>22538</v>
      </c>
      <c r="N181" s="12" t="n">
        <v>2372</v>
      </c>
      <c r="O181" s="12" t="n">
        <v>114</v>
      </c>
      <c r="P181" s="12" t="n">
        <f aca="false">M181+N181+O181</f>
        <v>25024</v>
      </c>
      <c r="Q181" s="13" t="n">
        <f aca="false">IF(I181=0,0,P181/I181)</f>
        <v>0.0139267487742302</v>
      </c>
      <c r="R181" s="13" t="n">
        <v>0.0466</v>
      </c>
      <c r="S181" s="14" t="n">
        <v>162972</v>
      </c>
      <c r="T181" s="14" t="n">
        <v>15719</v>
      </c>
      <c r="U181" s="14" t="n">
        <v>6573</v>
      </c>
      <c r="V181" s="14" t="n">
        <v>12466</v>
      </c>
      <c r="W181" s="14" t="n">
        <f aca="false">S181+T181+U181+V181</f>
        <v>197730</v>
      </c>
      <c r="X181" s="15" t="n">
        <f aca="false">IF(P181=0,0,S181/P181)</f>
        <v>6.51262787723785</v>
      </c>
      <c r="Y181" s="15" t="n">
        <f aca="false">IF(J181=0,0,W181/J181)</f>
        <v>0.438799332469331</v>
      </c>
      <c r="Z181" s="14" t="n">
        <v>32373</v>
      </c>
      <c r="AA181" s="15" t="n">
        <f aca="false">IF(L181=0,0,Z181/L181)</f>
        <v>0.179668335349813</v>
      </c>
      <c r="AB181" s="12" t="n">
        <v>34157918</v>
      </c>
      <c r="AC181" s="16" t="n">
        <v>10.7</v>
      </c>
      <c r="AD181" s="16" t="n">
        <v>19.7</v>
      </c>
      <c r="AE181" s="13" t="n">
        <v>0.388</v>
      </c>
      <c r="AF181" s="13" t="n">
        <v>0.583</v>
      </c>
      <c r="AG181" s="13" t="n">
        <v>0.349</v>
      </c>
      <c r="AH181" s="13" t="n">
        <v>0.205</v>
      </c>
      <c r="AI181" s="17"/>
    </row>
    <row r="182" customFormat="false" ht="15" hidden="false" customHeight="false" outlineLevel="0" collapsed="false">
      <c r="A182" s="10" t="n">
        <v>45231</v>
      </c>
      <c r="B182" s="11" t="n">
        <f aca="false">YEAR(A182)</f>
        <v>2023</v>
      </c>
      <c r="C182" s="11" t="str">
        <f aca="false">"Q"&amp;ROUNDUP(MONTH(A182)/3,0)</f>
        <v>Q4</v>
      </c>
      <c r="D182" s="11" t="str">
        <f aca="false">B182&amp;"-"&amp;C182</f>
        <v>2023-Q4</v>
      </c>
      <c r="E182" s="11" t="n">
        <f aca="false">MONTH(A182)</f>
        <v>11</v>
      </c>
      <c r="F182" s="11" t="str">
        <f aca="false">TEXT(A182,"mmm")</f>
        <v>Nov</v>
      </c>
      <c r="G182" s="11" t="s">
        <v>202</v>
      </c>
      <c r="H182" s="11" t="s">
        <v>203</v>
      </c>
      <c r="I182" s="12" t="n">
        <v>6762444</v>
      </c>
      <c r="J182" s="12" t="n">
        <v>2196829</v>
      </c>
      <c r="K182" s="13" t="n">
        <f aca="false">IF(I182=0,0,J182/I182)</f>
        <v>0.324857255749549</v>
      </c>
      <c r="L182" s="12" t="n">
        <v>869506</v>
      </c>
      <c r="M182" s="12" t="n">
        <v>1490051</v>
      </c>
      <c r="N182" s="12" t="n">
        <v>168665</v>
      </c>
      <c r="O182" s="12" t="n">
        <v>70423</v>
      </c>
      <c r="P182" s="12" t="n">
        <f aca="false">M182+N182+O182</f>
        <v>1729139</v>
      </c>
      <c r="Q182" s="13" t="n">
        <f aca="false">IF(I182=0,0,P182/I182)</f>
        <v>0.255697348473422</v>
      </c>
      <c r="R182" s="13" t="n">
        <v>0.0444</v>
      </c>
      <c r="S182" s="14" t="n">
        <v>11415431</v>
      </c>
      <c r="T182" s="14" t="n">
        <v>995155</v>
      </c>
      <c r="U182" s="14" t="n">
        <v>430733</v>
      </c>
      <c r="V182" s="14" t="n">
        <v>749465</v>
      </c>
      <c r="W182" s="14" t="n">
        <f aca="false">S182+T182+U182+V182</f>
        <v>13590784</v>
      </c>
      <c r="X182" s="15" t="n">
        <f aca="false">IF(P182=0,0,S182/P182)</f>
        <v>6.60180066495522</v>
      </c>
      <c r="Y182" s="15" t="n">
        <f aca="false">IF(J182=0,0,W182/J182)</f>
        <v>6.18654615356953</v>
      </c>
      <c r="Z182" s="14" t="n">
        <v>2196487</v>
      </c>
      <c r="AA182" s="15" t="n">
        <f aca="false">IF(L182=0,0,Z182/L182)</f>
        <v>2.52613207959462</v>
      </c>
      <c r="AB182" s="12" t="n">
        <v>164959373</v>
      </c>
      <c r="AC182" s="16" t="n">
        <v>12</v>
      </c>
      <c r="AD182" s="16" t="n">
        <v>20.2</v>
      </c>
      <c r="AE182" s="13" t="n">
        <v>0.398</v>
      </c>
      <c r="AF182" s="13" t="n">
        <v>0.57</v>
      </c>
      <c r="AG182" s="13" t="n">
        <v>0.354</v>
      </c>
      <c r="AH182" s="13" t="n">
        <v>0.195</v>
      </c>
      <c r="AI182" s="17" t="n">
        <v>4.67</v>
      </c>
    </row>
    <row r="183" customFormat="false" ht="15" hidden="false" customHeight="false" outlineLevel="0" collapsed="false">
      <c r="A183" s="10" t="n">
        <v>45231</v>
      </c>
      <c r="B183" s="11" t="n">
        <f aca="false">YEAR(A183)</f>
        <v>2023</v>
      </c>
      <c r="C183" s="11" t="str">
        <f aca="false">"Q"&amp;ROUNDUP(MONTH(A183)/3,0)</f>
        <v>Q4</v>
      </c>
      <c r="D183" s="11" t="str">
        <f aca="false">B183&amp;"-"&amp;C183</f>
        <v>2023-Q4</v>
      </c>
      <c r="E183" s="11" t="n">
        <f aca="false">MONTH(A183)</f>
        <v>11</v>
      </c>
      <c r="F183" s="11" t="str">
        <f aca="false">TEXT(A183,"mmm")</f>
        <v>Nov</v>
      </c>
      <c r="G183" s="11" t="s">
        <v>202</v>
      </c>
      <c r="H183" s="11" t="s">
        <v>204</v>
      </c>
      <c r="I183" s="12" t="n">
        <v>8676934</v>
      </c>
      <c r="J183" s="12" t="n">
        <v>2569506</v>
      </c>
      <c r="K183" s="13" t="n">
        <f aca="false">IF(I183=0,0,J183/I183)</f>
        <v>0.296130637849729</v>
      </c>
      <c r="L183" s="12" t="n">
        <v>1051778</v>
      </c>
      <c r="M183" s="12" t="n">
        <v>871424</v>
      </c>
      <c r="N183" s="12" t="n">
        <v>85291</v>
      </c>
      <c r="O183" s="12" t="n">
        <v>30144</v>
      </c>
      <c r="P183" s="12" t="n">
        <f aca="false">M183+N183+O183</f>
        <v>986859</v>
      </c>
      <c r="Q183" s="13" t="n">
        <f aca="false">IF(I183=0,0,P183/I183)</f>
        <v>0.113733606824715</v>
      </c>
      <c r="R183" s="13" t="n">
        <v>0.041</v>
      </c>
      <c r="S183" s="14" t="n">
        <v>6441459</v>
      </c>
      <c r="T183" s="14" t="n">
        <v>591652</v>
      </c>
      <c r="U183" s="14" t="n">
        <v>261393</v>
      </c>
      <c r="V183" s="14" t="n">
        <v>505094</v>
      </c>
      <c r="W183" s="14" t="n">
        <f aca="false">S183+T183+U183+V183</f>
        <v>7799598</v>
      </c>
      <c r="X183" s="15" t="n">
        <f aca="false">IF(P183=0,0,S183/P183)</f>
        <v>6.52723337376464</v>
      </c>
      <c r="Y183" s="15" t="n">
        <f aca="false">IF(J183=0,0,W183/J183)</f>
        <v>3.03544650216812</v>
      </c>
      <c r="Z183" s="14" t="n">
        <v>1465182</v>
      </c>
      <c r="AA183" s="15" t="n">
        <f aca="false">IF(L183=0,0,Z183/L183)</f>
        <v>1.39305252629357</v>
      </c>
      <c r="AB183" s="12" t="n">
        <v>204549830</v>
      </c>
      <c r="AC183" s="16" t="n">
        <v>11.9</v>
      </c>
      <c r="AD183" s="16" t="n">
        <v>20.2</v>
      </c>
      <c r="AE183" s="13" t="n">
        <v>0.38</v>
      </c>
      <c r="AF183" s="13" t="n">
        <v>0.579</v>
      </c>
      <c r="AG183" s="13" t="n">
        <v>0.345</v>
      </c>
      <c r="AH183" s="13" t="n">
        <v>0.207</v>
      </c>
      <c r="AI183" s="17" t="n">
        <v>4.62</v>
      </c>
    </row>
    <row r="184" customFormat="false" ht="15" hidden="false" customHeight="false" outlineLevel="0" collapsed="false">
      <c r="A184" s="10" t="n">
        <v>45231</v>
      </c>
      <c r="B184" s="11" t="n">
        <f aca="false">YEAR(A184)</f>
        <v>2023</v>
      </c>
      <c r="C184" s="11" t="str">
        <f aca="false">"Q"&amp;ROUNDUP(MONTH(A184)/3,0)</f>
        <v>Q4</v>
      </c>
      <c r="D184" s="11" t="str">
        <f aca="false">B184&amp;"-"&amp;C184</f>
        <v>2023-Q4</v>
      </c>
      <c r="E184" s="11" t="n">
        <f aca="false">MONTH(A184)</f>
        <v>11</v>
      </c>
      <c r="F184" s="11" t="str">
        <f aca="false">TEXT(A184,"mmm")</f>
        <v>Nov</v>
      </c>
      <c r="G184" s="11" t="s">
        <v>202</v>
      </c>
      <c r="H184" s="11" t="s">
        <v>205</v>
      </c>
      <c r="I184" s="12" t="n">
        <v>2680041</v>
      </c>
      <c r="J184" s="12" t="n">
        <v>729812</v>
      </c>
      <c r="K184" s="13" t="n">
        <f aca="false">IF(I184=0,0,J184/I184)</f>
        <v>0.27231374445391</v>
      </c>
      <c r="L184" s="12" t="n">
        <v>287866</v>
      </c>
      <c r="M184" s="12" t="n">
        <v>231986</v>
      </c>
      <c r="N184" s="12" t="n">
        <v>23274</v>
      </c>
      <c r="O184" s="12" t="n">
        <v>5306</v>
      </c>
      <c r="P184" s="12" t="n">
        <f aca="false">M184+N184+O184</f>
        <v>260566</v>
      </c>
      <c r="Q184" s="13" t="n">
        <f aca="false">IF(I184=0,0,P184/I184)</f>
        <v>0.0972246320112267</v>
      </c>
      <c r="R184" s="13" t="n">
        <v>0.0461</v>
      </c>
      <c r="S184" s="14" t="n">
        <v>1706168</v>
      </c>
      <c r="T184" s="14" t="n">
        <v>148425</v>
      </c>
      <c r="U184" s="14" t="n">
        <v>69055</v>
      </c>
      <c r="V184" s="14" t="n">
        <v>120974</v>
      </c>
      <c r="W184" s="14" t="n">
        <f aca="false">S184+T184+U184+V184</f>
        <v>2044622</v>
      </c>
      <c r="X184" s="15" t="n">
        <f aca="false">IF(P184=0,0,S184/P184)</f>
        <v>6.54793027486318</v>
      </c>
      <c r="Y184" s="15" t="n">
        <f aca="false">IF(J184=0,0,W184/J184)</f>
        <v>2.80157355592947</v>
      </c>
      <c r="Z184" s="14" t="n">
        <v>347773</v>
      </c>
      <c r="AA184" s="15" t="n">
        <f aca="false">IF(L184=0,0,Z184/L184)</f>
        <v>1.20810724434285</v>
      </c>
      <c r="AB184" s="12" t="n">
        <v>54866266</v>
      </c>
      <c r="AC184" s="16" t="n">
        <v>10.9</v>
      </c>
      <c r="AD184" s="16" t="n">
        <v>19.7</v>
      </c>
      <c r="AE184" s="13" t="n">
        <v>0.382</v>
      </c>
      <c r="AF184" s="13" t="n">
        <v>0.553</v>
      </c>
      <c r="AG184" s="13" t="n">
        <v>0.345</v>
      </c>
      <c r="AH184" s="13" t="n">
        <v>0.195</v>
      </c>
      <c r="AI184" s="17"/>
    </row>
    <row r="185" customFormat="false" ht="15" hidden="false" customHeight="false" outlineLevel="0" collapsed="false">
      <c r="A185" s="10" t="n">
        <v>45231</v>
      </c>
      <c r="B185" s="11" t="n">
        <f aca="false">YEAR(A185)</f>
        <v>2023</v>
      </c>
      <c r="C185" s="11" t="str">
        <f aca="false">"Q"&amp;ROUNDUP(MONTH(A185)/3,0)</f>
        <v>Q4</v>
      </c>
      <c r="D185" s="11" t="str">
        <f aca="false">B185&amp;"-"&amp;C185</f>
        <v>2023-Q4</v>
      </c>
      <c r="E185" s="11" t="n">
        <f aca="false">MONTH(A185)</f>
        <v>11</v>
      </c>
      <c r="F185" s="11" t="str">
        <f aca="false">TEXT(A185,"mmm")</f>
        <v>Nov</v>
      </c>
      <c r="G185" s="11" t="s">
        <v>206</v>
      </c>
      <c r="H185" s="11" t="s">
        <v>203</v>
      </c>
      <c r="I185" s="12" t="n">
        <v>7439750</v>
      </c>
      <c r="J185" s="12" t="n">
        <v>2509586</v>
      </c>
      <c r="K185" s="13" t="n">
        <f aca="false">IF(I185=0,0,J185/I185)</f>
        <v>0.337321280957021</v>
      </c>
      <c r="L185" s="12" t="n">
        <v>1079217</v>
      </c>
      <c r="M185" s="12" t="n">
        <v>888536</v>
      </c>
      <c r="N185" s="12" t="n">
        <v>82988</v>
      </c>
      <c r="O185" s="12" t="n">
        <v>25376</v>
      </c>
      <c r="P185" s="12" t="n">
        <f aca="false">M185+N185+O185</f>
        <v>996900</v>
      </c>
      <c r="Q185" s="13" t="n">
        <f aca="false">IF(I185=0,0,P185/I185)</f>
        <v>0.133996438052354</v>
      </c>
      <c r="R185" s="13" t="n">
        <v>0.0424</v>
      </c>
      <c r="S185" s="14" t="n">
        <v>6427182</v>
      </c>
      <c r="T185" s="14" t="n">
        <v>609559</v>
      </c>
      <c r="U185" s="14" t="n">
        <v>248426</v>
      </c>
      <c r="V185" s="14" t="n">
        <v>483987</v>
      </c>
      <c r="W185" s="14" t="n">
        <f aca="false">S185+T185+U185+V185</f>
        <v>7769154</v>
      </c>
      <c r="X185" s="15" t="n">
        <f aca="false">IF(P185=0,0,S185/P185)</f>
        <v>6.44716822148661</v>
      </c>
      <c r="Y185" s="15" t="n">
        <f aca="false">IF(J185=0,0,W185/J185)</f>
        <v>3.09579109861148</v>
      </c>
      <c r="Z185" s="14" t="n">
        <v>1361272</v>
      </c>
      <c r="AA185" s="15" t="n">
        <f aca="false">IF(L185=0,0,Z185/L185)</f>
        <v>1.26135151688678</v>
      </c>
      <c r="AB185" s="12" t="n">
        <v>185104578</v>
      </c>
      <c r="AC185" s="16" t="n">
        <v>12.2</v>
      </c>
      <c r="AD185" s="16" t="n">
        <v>19.8</v>
      </c>
      <c r="AE185" s="13" t="n">
        <v>0.389</v>
      </c>
      <c r="AF185" s="13" t="n">
        <v>0.573</v>
      </c>
      <c r="AG185" s="13" t="n">
        <v>0.344</v>
      </c>
      <c r="AH185" s="13" t="n">
        <v>0.208</v>
      </c>
      <c r="AI185" s="17" t="n">
        <v>4.69</v>
      </c>
    </row>
    <row r="186" customFormat="false" ht="15" hidden="false" customHeight="false" outlineLevel="0" collapsed="false">
      <c r="A186" s="10" t="n">
        <v>45231</v>
      </c>
      <c r="B186" s="11" t="n">
        <f aca="false">YEAR(A186)</f>
        <v>2023</v>
      </c>
      <c r="C186" s="11" t="str">
        <f aca="false">"Q"&amp;ROUNDUP(MONTH(A186)/3,0)</f>
        <v>Q4</v>
      </c>
      <c r="D186" s="11" t="str">
        <f aca="false">B186&amp;"-"&amp;C186</f>
        <v>2023-Q4</v>
      </c>
      <c r="E186" s="11" t="n">
        <f aca="false">MONTH(A186)</f>
        <v>11</v>
      </c>
      <c r="F186" s="11" t="str">
        <f aca="false">TEXT(A186,"mmm")</f>
        <v>Nov</v>
      </c>
      <c r="G186" s="11" t="s">
        <v>206</v>
      </c>
      <c r="H186" s="11" t="s">
        <v>204</v>
      </c>
      <c r="I186" s="12" t="n">
        <v>9545259</v>
      </c>
      <c r="J186" s="12" t="n">
        <v>2909880</v>
      </c>
      <c r="K186" s="13" t="n">
        <f aca="false">IF(I186=0,0,J186/I186)</f>
        <v>0.304850816515298</v>
      </c>
      <c r="L186" s="12" t="n">
        <v>1172199</v>
      </c>
      <c r="M186" s="12" t="n">
        <v>499859</v>
      </c>
      <c r="N186" s="12" t="n">
        <v>50677</v>
      </c>
      <c r="O186" s="12" t="n">
        <v>10715</v>
      </c>
      <c r="P186" s="12" t="n">
        <f aca="false">M186+N186+O186</f>
        <v>561251</v>
      </c>
      <c r="Q186" s="13" t="n">
        <f aca="false">IF(I186=0,0,P186/I186)</f>
        <v>0.0587989283475702</v>
      </c>
      <c r="R186" s="13" t="n">
        <v>0.0495</v>
      </c>
      <c r="S186" s="14" t="n">
        <v>3771103</v>
      </c>
      <c r="T186" s="14" t="n">
        <v>353411</v>
      </c>
      <c r="U186" s="14" t="n">
        <v>152371</v>
      </c>
      <c r="V186" s="14" t="n">
        <v>263280</v>
      </c>
      <c r="W186" s="14" t="n">
        <f aca="false">S186+T186+U186+V186</f>
        <v>4540165</v>
      </c>
      <c r="X186" s="15" t="n">
        <f aca="false">IF(P186=0,0,S186/P186)</f>
        <v>6.71910250493986</v>
      </c>
      <c r="Y186" s="15" t="n">
        <f aca="false">IF(J186=0,0,W186/J186)</f>
        <v>1.56025849863225</v>
      </c>
      <c r="Z186" s="14" t="n">
        <v>855524</v>
      </c>
      <c r="AA186" s="15" t="n">
        <f aca="false">IF(L186=0,0,Z186/L186)</f>
        <v>0.729845359021804</v>
      </c>
      <c r="AB186" s="12" t="n">
        <v>212559040</v>
      </c>
      <c r="AC186" s="16" t="n">
        <v>11.9</v>
      </c>
      <c r="AD186" s="16" t="n">
        <v>20.9</v>
      </c>
      <c r="AE186" s="13" t="n">
        <v>0.383</v>
      </c>
      <c r="AF186" s="13" t="n">
        <v>0.574</v>
      </c>
      <c r="AG186" s="13" t="n">
        <v>0.345</v>
      </c>
      <c r="AH186" s="13" t="n">
        <v>0.205</v>
      </c>
      <c r="AI186" s="17" t="n">
        <v>4.63</v>
      </c>
    </row>
    <row r="187" customFormat="false" ht="15" hidden="false" customHeight="false" outlineLevel="0" collapsed="false">
      <c r="A187" s="10" t="n">
        <v>45231</v>
      </c>
      <c r="B187" s="11" t="n">
        <f aca="false">YEAR(A187)</f>
        <v>2023</v>
      </c>
      <c r="C187" s="11" t="str">
        <f aca="false">"Q"&amp;ROUNDUP(MONTH(A187)/3,0)</f>
        <v>Q4</v>
      </c>
      <c r="D187" s="11" t="str">
        <f aca="false">B187&amp;"-"&amp;C187</f>
        <v>2023-Q4</v>
      </c>
      <c r="E187" s="11" t="n">
        <f aca="false">MONTH(A187)</f>
        <v>11</v>
      </c>
      <c r="F187" s="11" t="str">
        <f aca="false">TEXT(A187,"mmm")</f>
        <v>Nov</v>
      </c>
      <c r="G187" s="11" t="s">
        <v>206</v>
      </c>
      <c r="H187" s="11" t="s">
        <v>205</v>
      </c>
      <c r="I187" s="12" t="n">
        <v>2752427</v>
      </c>
      <c r="J187" s="12" t="n">
        <v>765480</v>
      </c>
      <c r="K187" s="13" t="n">
        <f aca="false">IF(I187=0,0,J187/I187)</f>
        <v>0.278110918109726</v>
      </c>
      <c r="L187" s="12" t="n">
        <v>313779</v>
      </c>
      <c r="M187" s="12" t="n">
        <v>140231</v>
      </c>
      <c r="N187" s="12" t="n">
        <v>14244</v>
      </c>
      <c r="O187" s="12" t="n">
        <v>1991</v>
      </c>
      <c r="P187" s="12" t="n">
        <f aca="false">M187+N187+O187</f>
        <v>156466</v>
      </c>
      <c r="Q187" s="13" t="n">
        <f aca="false">IF(I187=0,0,P187/I187)</f>
        <v>0.0568465576017093</v>
      </c>
      <c r="R187" s="13" t="n">
        <v>0.0449</v>
      </c>
      <c r="S187" s="14" t="n">
        <v>990617</v>
      </c>
      <c r="T187" s="14" t="n">
        <v>93690</v>
      </c>
      <c r="U187" s="14" t="n">
        <v>38942</v>
      </c>
      <c r="V187" s="14" t="n">
        <v>73399</v>
      </c>
      <c r="W187" s="14" t="n">
        <f aca="false">S187+T187+U187+V187</f>
        <v>1196648</v>
      </c>
      <c r="X187" s="15" t="n">
        <f aca="false">IF(P187=0,0,S187/P187)</f>
        <v>6.33119655388391</v>
      </c>
      <c r="Y187" s="15" t="n">
        <f aca="false">IF(J187=0,0,W187/J187)</f>
        <v>1.5632648795527</v>
      </c>
      <c r="Z187" s="14" t="n">
        <v>219048</v>
      </c>
      <c r="AA187" s="15" t="n">
        <f aca="false">IF(L187=0,0,Z187/L187)</f>
        <v>0.6980964309275</v>
      </c>
      <c r="AB187" s="12" t="n">
        <v>58463970</v>
      </c>
      <c r="AC187" s="16" t="n">
        <v>10.7</v>
      </c>
      <c r="AD187" s="16" t="n">
        <v>20.5</v>
      </c>
      <c r="AE187" s="13" t="n">
        <v>0.393</v>
      </c>
      <c r="AF187" s="13" t="n">
        <v>0.577</v>
      </c>
      <c r="AG187" s="13" t="n">
        <v>0.354</v>
      </c>
      <c r="AH187" s="13" t="n">
        <v>0.184</v>
      </c>
      <c r="AI187" s="17"/>
    </row>
    <row r="188" customFormat="false" ht="15" hidden="false" customHeight="false" outlineLevel="0" collapsed="false">
      <c r="A188" s="10" t="n">
        <v>45231</v>
      </c>
      <c r="B188" s="11" t="n">
        <f aca="false">YEAR(A188)</f>
        <v>2023</v>
      </c>
      <c r="C188" s="11" t="str">
        <f aca="false">"Q"&amp;ROUNDUP(MONTH(A188)/3,0)</f>
        <v>Q4</v>
      </c>
      <c r="D188" s="11" t="str">
        <f aca="false">B188&amp;"-"&amp;C188</f>
        <v>2023-Q4</v>
      </c>
      <c r="E188" s="11" t="n">
        <f aca="false">MONTH(A188)</f>
        <v>11</v>
      </c>
      <c r="F188" s="11" t="str">
        <f aca="false">TEXT(A188,"mmm")</f>
        <v>Nov</v>
      </c>
      <c r="G188" s="11" t="s">
        <v>207</v>
      </c>
      <c r="H188" s="11" t="s">
        <v>203</v>
      </c>
      <c r="I188" s="12" t="n">
        <v>6141765</v>
      </c>
      <c r="J188" s="12" t="n">
        <v>1887806</v>
      </c>
      <c r="K188" s="13" t="n">
        <f aca="false">IF(I188=0,0,J188/I188)</f>
        <v>0.307371903679154</v>
      </c>
      <c r="L188" s="12" t="n">
        <v>765408</v>
      </c>
      <c r="M188" s="12" t="n">
        <v>423494</v>
      </c>
      <c r="N188" s="12" t="n">
        <v>40242</v>
      </c>
      <c r="O188" s="12" t="n">
        <v>8413</v>
      </c>
      <c r="P188" s="12" t="n">
        <f aca="false">M188+N188+O188</f>
        <v>472149</v>
      </c>
      <c r="Q188" s="13" t="n">
        <f aca="false">IF(I188=0,0,P188/I188)</f>
        <v>0.0768751327997734</v>
      </c>
      <c r="R188" s="13" t="n">
        <v>0.0439</v>
      </c>
      <c r="S188" s="14" t="n">
        <v>3161901</v>
      </c>
      <c r="T188" s="14" t="n">
        <v>288482</v>
      </c>
      <c r="U188" s="14" t="n">
        <v>123603</v>
      </c>
      <c r="V188" s="14" t="n">
        <v>256878</v>
      </c>
      <c r="W188" s="14" t="n">
        <f aca="false">S188+T188+U188+V188</f>
        <v>3830864</v>
      </c>
      <c r="X188" s="15" t="n">
        <f aca="false">IF(P188=0,0,S188/P188)</f>
        <v>6.69682875532936</v>
      </c>
      <c r="Y188" s="15" t="n">
        <f aca="false">IF(J188=0,0,W188/J188)</f>
        <v>2.02926783790284</v>
      </c>
      <c r="Z188" s="14" t="n">
        <v>604255</v>
      </c>
      <c r="AA188" s="15" t="n">
        <f aca="false">IF(L188=0,0,Z188/L188)</f>
        <v>0.789454774447092</v>
      </c>
      <c r="AB188" s="12" t="n">
        <v>141592207</v>
      </c>
      <c r="AC188" s="16" t="n">
        <v>12.2</v>
      </c>
      <c r="AD188" s="16" t="n">
        <v>19.7</v>
      </c>
      <c r="AE188" s="13" t="n">
        <v>0.393</v>
      </c>
      <c r="AF188" s="13" t="n">
        <v>0.58</v>
      </c>
      <c r="AG188" s="13" t="n">
        <v>0.351</v>
      </c>
      <c r="AH188" s="13" t="n">
        <v>0.2</v>
      </c>
      <c r="AI188" s="17" t="n">
        <v>4.69</v>
      </c>
    </row>
    <row r="189" customFormat="false" ht="15" hidden="false" customHeight="false" outlineLevel="0" collapsed="false">
      <c r="A189" s="10" t="n">
        <v>45231</v>
      </c>
      <c r="B189" s="11" t="n">
        <f aca="false">YEAR(A189)</f>
        <v>2023</v>
      </c>
      <c r="C189" s="11" t="str">
        <f aca="false">"Q"&amp;ROUNDUP(MONTH(A189)/3,0)</f>
        <v>Q4</v>
      </c>
      <c r="D189" s="11" t="str">
        <f aca="false">B189&amp;"-"&amp;C189</f>
        <v>2023-Q4</v>
      </c>
      <c r="E189" s="11" t="n">
        <f aca="false">MONTH(A189)</f>
        <v>11</v>
      </c>
      <c r="F189" s="11" t="str">
        <f aca="false">TEXT(A189,"mmm")</f>
        <v>Nov</v>
      </c>
      <c r="G189" s="11" t="s">
        <v>207</v>
      </c>
      <c r="H189" s="11" t="s">
        <v>204</v>
      </c>
      <c r="I189" s="12" t="n">
        <v>8398604</v>
      </c>
      <c r="J189" s="12" t="n">
        <v>2373311</v>
      </c>
      <c r="K189" s="13" t="n">
        <f aca="false">IF(I189=0,0,J189/I189)</f>
        <v>0.282583986576817</v>
      </c>
      <c r="L189" s="12" t="n">
        <v>919838</v>
      </c>
      <c r="M189" s="12" t="n">
        <v>232525</v>
      </c>
      <c r="N189" s="12" t="n">
        <v>22766</v>
      </c>
      <c r="O189" s="12" t="n">
        <v>3458</v>
      </c>
      <c r="P189" s="12" t="n">
        <f aca="false">M189+N189+O189</f>
        <v>258749</v>
      </c>
      <c r="Q189" s="13" t="n">
        <f aca="false">IF(I189=0,0,P189/I189)</f>
        <v>0.0308085724722823</v>
      </c>
      <c r="R189" s="13" t="n">
        <v>0.0422</v>
      </c>
      <c r="S189" s="14" t="n">
        <v>1799752</v>
      </c>
      <c r="T189" s="14" t="n">
        <v>166431</v>
      </c>
      <c r="U189" s="14" t="n">
        <v>68069</v>
      </c>
      <c r="V189" s="14" t="n">
        <v>125883</v>
      </c>
      <c r="W189" s="14" t="n">
        <f aca="false">S189+T189+U189+V189</f>
        <v>2160135</v>
      </c>
      <c r="X189" s="15" t="n">
        <f aca="false">IF(P189=0,0,S189/P189)</f>
        <v>6.95559016653205</v>
      </c>
      <c r="Y189" s="15" t="n">
        <f aca="false">IF(J189=0,0,W189/J189)</f>
        <v>0.91017780644846</v>
      </c>
      <c r="Z189" s="14" t="n">
        <v>360987</v>
      </c>
      <c r="AA189" s="15" t="n">
        <f aca="false">IF(L189=0,0,Z189/L189)</f>
        <v>0.392446278583838</v>
      </c>
      <c r="AB189" s="12" t="n">
        <v>164164941</v>
      </c>
      <c r="AC189" s="16" t="n">
        <v>11.7</v>
      </c>
      <c r="AD189" s="16" t="n">
        <v>20.4</v>
      </c>
      <c r="AE189" s="13" t="n">
        <v>0.397</v>
      </c>
      <c r="AF189" s="13" t="n">
        <v>0.573</v>
      </c>
      <c r="AG189" s="13" t="n">
        <v>0.336</v>
      </c>
      <c r="AH189" s="13" t="n">
        <v>0.201</v>
      </c>
      <c r="AI189" s="17" t="n">
        <v>4.61</v>
      </c>
    </row>
    <row r="190" customFormat="false" ht="15" hidden="false" customHeight="false" outlineLevel="0" collapsed="false">
      <c r="A190" s="10" t="n">
        <v>45231</v>
      </c>
      <c r="B190" s="11" t="n">
        <f aca="false">YEAR(A190)</f>
        <v>2023</v>
      </c>
      <c r="C190" s="11" t="str">
        <f aca="false">"Q"&amp;ROUNDUP(MONTH(A190)/3,0)</f>
        <v>Q4</v>
      </c>
      <c r="D190" s="11" t="str">
        <f aca="false">B190&amp;"-"&amp;C190</f>
        <v>2023-Q4</v>
      </c>
      <c r="E190" s="11" t="n">
        <f aca="false">MONTH(A190)</f>
        <v>11</v>
      </c>
      <c r="F190" s="11" t="str">
        <f aca="false">TEXT(A190,"mmm")</f>
        <v>Nov</v>
      </c>
      <c r="G190" s="11" t="s">
        <v>207</v>
      </c>
      <c r="H190" s="11" t="s">
        <v>205</v>
      </c>
      <c r="I190" s="12" t="n">
        <v>2441239</v>
      </c>
      <c r="J190" s="12" t="n">
        <v>622369</v>
      </c>
      <c r="K190" s="13" t="n">
        <f aca="false">IF(I190=0,0,J190/I190)</f>
        <v>0.254939807204456</v>
      </c>
      <c r="L190" s="12" t="n">
        <v>263907</v>
      </c>
      <c r="M190" s="12" t="n">
        <v>63785</v>
      </c>
      <c r="N190" s="12" t="n">
        <v>6474</v>
      </c>
      <c r="O190" s="12" t="n">
        <v>632</v>
      </c>
      <c r="P190" s="12" t="n">
        <f aca="false">M190+N190+O190</f>
        <v>70891</v>
      </c>
      <c r="Q190" s="13" t="n">
        <f aca="false">IF(I190=0,0,P190/I190)</f>
        <v>0.0290389429302088</v>
      </c>
      <c r="R190" s="13" t="n">
        <v>0.0474</v>
      </c>
      <c r="S190" s="14" t="n">
        <v>483894</v>
      </c>
      <c r="T190" s="14" t="n">
        <v>46742</v>
      </c>
      <c r="U190" s="14" t="n">
        <v>20879</v>
      </c>
      <c r="V190" s="14" t="n">
        <v>37416</v>
      </c>
      <c r="W190" s="14" t="n">
        <f aca="false">S190+T190+U190+V190</f>
        <v>588931</v>
      </c>
      <c r="X190" s="15" t="n">
        <f aca="false">IF(P190=0,0,S190/P190)</f>
        <v>6.82588763030568</v>
      </c>
      <c r="Y190" s="15" t="n">
        <f aca="false">IF(J190=0,0,W190/J190)</f>
        <v>0.946273030951092</v>
      </c>
      <c r="Z190" s="14" t="n">
        <v>111776</v>
      </c>
      <c r="AA190" s="15" t="n">
        <f aca="false">IF(L190=0,0,Z190/L190)</f>
        <v>0.423543142091722</v>
      </c>
      <c r="AB190" s="12" t="n">
        <v>46184592</v>
      </c>
      <c r="AC190" s="16" t="n">
        <v>10.8</v>
      </c>
      <c r="AD190" s="16" t="n">
        <v>19.9</v>
      </c>
      <c r="AE190" s="13" t="n">
        <v>0.38</v>
      </c>
      <c r="AF190" s="13" t="n">
        <v>0.566</v>
      </c>
      <c r="AG190" s="13" t="n">
        <v>0.349</v>
      </c>
      <c r="AH190" s="13" t="n">
        <v>0.217</v>
      </c>
      <c r="AI190" s="17"/>
    </row>
    <row r="191" customFormat="false" ht="15" hidden="false" customHeight="false" outlineLevel="0" collapsed="false">
      <c r="A191" s="10" t="n">
        <v>45231</v>
      </c>
      <c r="B191" s="11" t="n">
        <f aca="false">YEAR(A191)</f>
        <v>2023</v>
      </c>
      <c r="C191" s="11" t="str">
        <f aca="false">"Q"&amp;ROUNDUP(MONTH(A191)/3,0)</f>
        <v>Q4</v>
      </c>
      <c r="D191" s="11" t="str">
        <f aca="false">B191&amp;"-"&amp;C191</f>
        <v>2023-Q4</v>
      </c>
      <c r="E191" s="11" t="n">
        <f aca="false">MONTH(A191)</f>
        <v>11</v>
      </c>
      <c r="F191" s="11" t="str">
        <f aca="false">TEXT(A191,"mmm")</f>
        <v>Nov</v>
      </c>
      <c r="G191" s="11" t="s">
        <v>208</v>
      </c>
      <c r="H191" s="11" t="s">
        <v>203</v>
      </c>
      <c r="I191" s="12" t="n">
        <v>4991197</v>
      </c>
      <c r="J191" s="12" t="n">
        <v>1621226</v>
      </c>
      <c r="K191" s="13" t="n">
        <f aca="false">IF(I191=0,0,J191/I191)</f>
        <v>0.324817072938616</v>
      </c>
      <c r="L191" s="12" t="n">
        <v>664619</v>
      </c>
      <c r="M191" s="12" t="n">
        <v>211490</v>
      </c>
      <c r="N191" s="12" t="n">
        <v>20294</v>
      </c>
      <c r="O191" s="12" t="n">
        <v>2988</v>
      </c>
      <c r="P191" s="12" t="n">
        <f aca="false">M191+N191+O191</f>
        <v>234772</v>
      </c>
      <c r="Q191" s="13" t="n">
        <f aca="false">IF(I191=0,0,P191/I191)</f>
        <v>0.0470372137184727</v>
      </c>
      <c r="R191" s="13" t="n">
        <v>0.0413</v>
      </c>
      <c r="S191" s="14" t="n">
        <v>1603878</v>
      </c>
      <c r="T191" s="14" t="n">
        <v>130227</v>
      </c>
      <c r="U191" s="14" t="n">
        <v>65584</v>
      </c>
      <c r="V191" s="14" t="n">
        <v>107210</v>
      </c>
      <c r="W191" s="14" t="n">
        <f aca="false">S191+T191+U191+V191</f>
        <v>1906899</v>
      </c>
      <c r="X191" s="15" t="n">
        <f aca="false">IF(P191=0,0,S191/P191)</f>
        <v>6.83164091118191</v>
      </c>
      <c r="Y191" s="15" t="n">
        <f aca="false">IF(J191=0,0,W191/J191)</f>
        <v>1.17620800554642</v>
      </c>
      <c r="Z191" s="14" t="n">
        <v>339657</v>
      </c>
      <c r="AA191" s="15" t="n">
        <f aca="false">IF(L191=0,0,Z191/L191)</f>
        <v>0.51105520606543</v>
      </c>
      <c r="AB191" s="12" t="n">
        <v>127637630</v>
      </c>
      <c r="AC191" s="16" t="n">
        <v>12.3</v>
      </c>
      <c r="AD191" s="16" t="n">
        <v>20.9</v>
      </c>
      <c r="AE191" s="13" t="n">
        <v>0.387</v>
      </c>
      <c r="AF191" s="13" t="n">
        <v>0.579</v>
      </c>
      <c r="AG191" s="13" t="n">
        <v>0.334</v>
      </c>
      <c r="AH191" s="13" t="n">
        <v>0.201</v>
      </c>
      <c r="AI191" s="17" t="n">
        <v>4.66</v>
      </c>
    </row>
    <row r="192" customFormat="false" ht="15" hidden="false" customHeight="false" outlineLevel="0" collapsed="false">
      <c r="A192" s="10" t="n">
        <v>45231</v>
      </c>
      <c r="B192" s="11" t="n">
        <f aca="false">YEAR(A192)</f>
        <v>2023</v>
      </c>
      <c r="C192" s="11" t="str">
        <f aca="false">"Q"&amp;ROUNDUP(MONTH(A192)/3,0)</f>
        <v>Q4</v>
      </c>
      <c r="D192" s="11" t="str">
        <f aca="false">B192&amp;"-"&amp;C192</f>
        <v>2023-Q4</v>
      </c>
      <c r="E192" s="11" t="n">
        <f aca="false">MONTH(A192)</f>
        <v>11</v>
      </c>
      <c r="F192" s="11" t="str">
        <f aca="false">TEXT(A192,"mmm")</f>
        <v>Nov</v>
      </c>
      <c r="G192" s="11" t="s">
        <v>208</v>
      </c>
      <c r="H192" s="11" t="s">
        <v>204</v>
      </c>
      <c r="I192" s="12" t="n">
        <v>6308641</v>
      </c>
      <c r="J192" s="12" t="n">
        <v>1921634</v>
      </c>
      <c r="K192" s="13" t="n">
        <f aca="false">IF(I192=0,0,J192/I192)</f>
        <v>0.304603479576663</v>
      </c>
      <c r="L192" s="12" t="n">
        <v>823504</v>
      </c>
      <c r="M192" s="12" t="n">
        <v>122696</v>
      </c>
      <c r="N192" s="12" t="n">
        <v>11291</v>
      </c>
      <c r="O192" s="12" t="n">
        <v>1291</v>
      </c>
      <c r="P192" s="12" t="n">
        <f aca="false">M192+N192+O192</f>
        <v>135278</v>
      </c>
      <c r="Q192" s="13" t="n">
        <f aca="false">IF(I192=0,0,P192/I192)</f>
        <v>0.0214432870724456</v>
      </c>
      <c r="R192" s="13" t="n">
        <v>0.0411</v>
      </c>
      <c r="S192" s="14" t="n">
        <v>856406</v>
      </c>
      <c r="T192" s="14" t="n">
        <v>81326</v>
      </c>
      <c r="U192" s="14" t="n">
        <v>32779</v>
      </c>
      <c r="V192" s="14" t="n">
        <v>62975</v>
      </c>
      <c r="W192" s="14" t="n">
        <f aca="false">S192+T192+U192+V192</f>
        <v>1033486</v>
      </c>
      <c r="X192" s="15" t="n">
        <f aca="false">IF(P192=0,0,S192/P192)</f>
        <v>6.33071157172637</v>
      </c>
      <c r="Y192" s="15" t="n">
        <f aca="false">IF(J192=0,0,W192/J192)</f>
        <v>0.53781625429192</v>
      </c>
      <c r="Z192" s="14" t="n">
        <v>171891</v>
      </c>
      <c r="AA192" s="15" t="n">
        <f aca="false">IF(L192=0,0,Z192/L192)</f>
        <v>0.208731226563563</v>
      </c>
      <c r="AB192" s="12" t="n">
        <v>143632945</v>
      </c>
      <c r="AC192" s="16" t="n">
        <v>11.8</v>
      </c>
      <c r="AD192" s="16" t="n">
        <v>20.4</v>
      </c>
      <c r="AE192" s="13" t="n">
        <v>0.38</v>
      </c>
      <c r="AF192" s="13" t="n">
        <v>0.562</v>
      </c>
      <c r="AG192" s="13" t="n">
        <v>0.335</v>
      </c>
      <c r="AH192" s="13" t="n">
        <v>0.192</v>
      </c>
      <c r="AI192" s="17" t="n">
        <v>4.66</v>
      </c>
    </row>
    <row r="193" customFormat="false" ht="15" hidden="false" customHeight="false" outlineLevel="0" collapsed="false">
      <c r="A193" s="10" t="n">
        <v>45231</v>
      </c>
      <c r="B193" s="11" t="n">
        <f aca="false">YEAR(A193)</f>
        <v>2023</v>
      </c>
      <c r="C193" s="11" t="str">
        <f aca="false">"Q"&amp;ROUNDUP(MONTH(A193)/3,0)</f>
        <v>Q4</v>
      </c>
      <c r="D193" s="11" t="str">
        <f aca="false">B193&amp;"-"&amp;C193</f>
        <v>2023-Q4</v>
      </c>
      <c r="E193" s="11" t="n">
        <f aca="false">MONTH(A193)</f>
        <v>11</v>
      </c>
      <c r="F193" s="11" t="str">
        <f aca="false">TEXT(A193,"mmm")</f>
        <v>Nov</v>
      </c>
      <c r="G193" s="11" t="s">
        <v>208</v>
      </c>
      <c r="H193" s="11" t="s">
        <v>205</v>
      </c>
      <c r="I193" s="12" t="n">
        <v>2008652</v>
      </c>
      <c r="J193" s="12" t="n">
        <v>541929</v>
      </c>
      <c r="K193" s="13" t="n">
        <f aca="false">IF(I193=0,0,J193/I193)</f>
        <v>0.269797356635196</v>
      </c>
      <c r="L193" s="12" t="n">
        <v>206427</v>
      </c>
      <c r="M193" s="12" t="n">
        <v>33985</v>
      </c>
      <c r="N193" s="12" t="n">
        <v>3348</v>
      </c>
      <c r="O193" s="12" t="n">
        <v>239</v>
      </c>
      <c r="P193" s="12" t="n">
        <f aca="false">M193+N193+O193</f>
        <v>37572</v>
      </c>
      <c r="Q193" s="13" t="n">
        <f aca="false">IF(I193=0,0,P193/I193)</f>
        <v>0.0187050818160637</v>
      </c>
      <c r="R193" s="13" t="n">
        <v>0.0465</v>
      </c>
      <c r="S193" s="14" t="n">
        <v>238826</v>
      </c>
      <c r="T193" s="14" t="n">
        <v>21517</v>
      </c>
      <c r="U193" s="14" t="n">
        <v>8678</v>
      </c>
      <c r="V193" s="14" t="n">
        <v>17202</v>
      </c>
      <c r="W193" s="14" t="n">
        <f aca="false">S193+T193+U193+V193</f>
        <v>286223</v>
      </c>
      <c r="X193" s="15" t="n">
        <f aca="false">IF(P193=0,0,S193/P193)</f>
        <v>6.35648887469392</v>
      </c>
      <c r="Y193" s="15" t="n">
        <f aca="false">IF(J193=0,0,W193/J193)</f>
        <v>0.528155902341451</v>
      </c>
      <c r="Z193" s="14" t="n">
        <v>56053</v>
      </c>
      <c r="AA193" s="15" t="n">
        <f aca="false">IF(L193=0,0,Z193/L193)</f>
        <v>0.271539091301041</v>
      </c>
      <c r="AB193" s="12" t="n">
        <v>40863197</v>
      </c>
      <c r="AC193" s="16" t="n">
        <v>10.5</v>
      </c>
      <c r="AD193" s="16" t="n">
        <v>19.8</v>
      </c>
      <c r="AE193" s="13" t="n">
        <v>0.397</v>
      </c>
      <c r="AF193" s="13" t="n">
        <v>0.582</v>
      </c>
      <c r="AG193" s="13" t="n">
        <v>0.348</v>
      </c>
      <c r="AH193" s="13" t="n">
        <v>0.202</v>
      </c>
      <c r="AI193" s="17"/>
    </row>
    <row r="194" customFormat="false" ht="15" hidden="false" customHeight="false" outlineLevel="0" collapsed="false">
      <c r="A194" s="10" t="n">
        <v>45231</v>
      </c>
      <c r="B194" s="11" t="n">
        <f aca="false">YEAR(A194)</f>
        <v>2023</v>
      </c>
      <c r="C194" s="11" t="str">
        <f aca="false">"Q"&amp;ROUNDUP(MONTH(A194)/3,0)</f>
        <v>Q4</v>
      </c>
      <c r="D194" s="11" t="str">
        <f aca="false">B194&amp;"-"&amp;C194</f>
        <v>2023-Q4</v>
      </c>
      <c r="E194" s="11" t="n">
        <f aca="false">MONTH(A194)</f>
        <v>11</v>
      </c>
      <c r="F194" s="11" t="str">
        <f aca="false">TEXT(A194,"mmm")</f>
        <v>Nov</v>
      </c>
      <c r="G194" s="11" t="s">
        <v>209</v>
      </c>
      <c r="H194" s="11" t="s">
        <v>203</v>
      </c>
      <c r="I194" s="12" t="n">
        <v>3074428</v>
      </c>
      <c r="J194" s="12" t="n">
        <v>948328</v>
      </c>
      <c r="K194" s="13" t="n">
        <f aca="false">IF(I194=0,0,J194/I194)</f>
        <v>0.308456727560379</v>
      </c>
      <c r="L194" s="12" t="n">
        <v>364490</v>
      </c>
      <c r="M194" s="12" t="n">
        <v>74413</v>
      </c>
      <c r="N194" s="12" t="n">
        <v>7371</v>
      </c>
      <c r="O194" s="12" t="n">
        <v>841</v>
      </c>
      <c r="P194" s="12" t="n">
        <f aca="false">M194+N194+O194</f>
        <v>82625</v>
      </c>
      <c r="Q194" s="13" t="n">
        <f aca="false">IF(I194=0,0,P194/I194)</f>
        <v>0.0268749178709015</v>
      </c>
      <c r="R194" s="13" t="n">
        <v>0.0411</v>
      </c>
      <c r="S194" s="14" t="n">
        <v>533507</v>
      </c>
      <c r="T194" s="14" t="n">
        <v>47295</v>
      </c>
      <c r="U194" s="14" t="n">
        <v>21366</v>
      </c>
      <c r="V194" s="14" t="n">
        <v>40283</v>
      </c>
      <c r="W194" s="14" t="n">
        <f aca="false">S194+T194+U194+V194</f>
        <v>642451</v>
      </c>
      <c r="X194" s="15" t="n">
        <f aca="false">IF(P194=0,0,S194/P194)</f>
        <v>6.45696822995461</v>
      </c>
      <c r="Y194" s="15" t="n">
        <f aca="false">IF(J194=0,0,W194/J194)</f>
        <v>0.677456534026202</v>
      </c>
      <c r="Z194" s="14" t="n">
        <v>118107</v>
      </c>
      <c r="AA194" s="15" t="n">
        <f aca="false">IF(L194=0,0,Z194/L194)</f>
        <v>0.324033581168208</v>
      </c>
      <c r="AB194" s="12" t="n">
        <v>71255404</v>
      </c>
      <c r="AC194" s="16" t="n">
        <v>12.3</v>
      </c>
      <c r="AD194" s="16" t="n">
        <v>18.9</v>
      </c>
      <c r="AE194" s="13" t="n">
        <v>0.383</v>
      </c>
      <c r="AF194" s="13" t="n">
        <v>0.576</v>
      </c>
      <c r="AG194" s="13" t="n">
        <v>0.33</v>
      </c>
      <c r="AH194" s="13" t="n">
        <v>0.193</v>
      </c>
      <c r="AI194" s="17" t="n">
        <v>4.67</v>
      </c>
    </row>
    <row r="195" customFormat="false" ht="15" hidden="false" customHeight="false" outlineLevel="0" collapsed="false">
      <c r="A195" s="10" t="n">
        <v>45231</v>
      </c>
      <c r="B195" s="11" t="n">
        <f aca="false">YEAR(A195)</f>
        <v>2023</v>
      </c>
      <c r="C195" s="11" t="str">
        <f aca="false">"Q"&amp;ROUNDUP(MONTH(A195)/3,0)</f>
        <v>Q4</v>
      </c>
      <c r="D195" s="11" t="str">
        <f aca="false">B195&amp;"-"&amp;C195</f>
        <v>2023-Q4</v>
      </c>
      <c r="E195" s="11" t="n">
        <f aca="false">MONTH(A195)</f>
        <v>11</v>
      </c>
      <c r="F195" s="11" t="str">
        <f aca="false">TEXT(A195,"mmm")</f>
        <v>Nov</v>
      </c>
      <c r="G195" s="11" t="s">
        <v>209</v>
      </c>
      <c r="H195" s="11" t="s">
        <v>204</v>
      </c>
      <c r="I195" s="12" t="n">
        <v>4048188</v>
      </c>
      <c r="J195" s="12" t="n">
        <v>1123191</v>
      </c>
      <c r="K195" s="13" t="n">
        <f aca="false">IF(I195=0,0,J195/I195)</f>
        <v>0.277455246643684</v>
      </c>
      <c r="L195" s="12" t="n">
        <v>483172</v>
      </c>
      <c r="M195" s="12" t="n">
        <v>41941</v>
      </c>
      <c r="N195" s="12" t="n">
        <v>4358</v>
      </c>
      <c r="O195" s="12" t="n">
        <v>356</v>
      </c>
      <c r="P195" s="12" t="n">
        <f aca="false">M195+N195+O195</f>
        <v>46655</v>
      </c>
      <c r="Q195" s="13" t="n">
        <f aca="false">IF(I195=0,0,P195/I195)</f>
        <v>0.0115249094162623</v>
      </c>
      <c r="R195" s="13" t="n">
        <v>0.0459</v>
      </c>
      <c r="S195" s="14" t="n">
        <v>331151</v>
      </c>
      <c r="T195" s="14" t="n">
        <v>30722</v>
      </c>
      <c r="U195" s="14" t="n">
        <v>12942</v>
      </c>
      <c r="V195" s="14" t="n">
        <v>26392</v>
      </c>
      <c r="W195" s="14" t="n">
        <f aca="false">S195+T195+U195+V195</f>
        <v>401207</v>
      </c>
      <c r="X195" s="15" t="n">
        <f aca="false">IF(P195=0,0,S195/P195)</f>
        <v>7.09786732397385</v>
      </c>
      <c r="Y195" s="15" t="n">
        <f aca="false">IF(J195=0,0,W195/J195)</f>
        <v>0.357202826589601</v>
      </c>
      <c r="Z195" s="14" t="n">
        <v>78115</v>
      </c>
      <c r="AA195" s="15" t="n">
        <f aca="false">IF(L195=0,0,Z195/L195)</f>
        <v>0.161671206112937</v>
      </c>
      <c r="AB195" s="12" t="n">
        <v>86998315</v>
      </c>
      <c r="AC195" s="16" t="n">
        <v>12</v>
      </c>
      <c r="AD195" s="16" t="n">
        <v>19.6</v>
      </c>
      <c r="AE195" s="13" t="n">
        <v>0.386</v>
      </c>
      <c r="AF195" s="13" t="n">
        <v>0.568</v>
      </c>
      <c r="AG195" s="13" t="n">
        <v>0.339</v>
      </c>
      <c r="AH195" s="13" t="n">
        <v>0.183</v>
      </c>
      <c r="AI195" s="17" t="n">
        <v>4.62</v>
      </c>
    </row>
    <row r="196" customFormat="false" ht="15" hidden="false" customHeight="false" outlineLevel="0" collapsed="false">
      <c r="A196" s="10" t="n">
        <v>45231</v>
      </c>
      <c r="B196" s="11" t="n">
        <f aca="false">YEAR(A196)</f>
        <v>2023</v>
      </c>
      <c r="C196" s="11" t="str">
        <f aca="false">"Q"&amp;ROUNDUP(MONTH(A196)/3,0)</f>
        <v>Q4</v>
      </c>
      <c r="D196" s="11" t="str">
        <f aca="false">B196&amp;"-"&amp;C196</f>
        <v>2023-Q4</v>
      </c>
      <c r="E196" s="11" t="n">
        <f aca="false">MONTH(A196)</f>
        <v>11</v>
      </c>
      <c r="F196" s="11" t="str">
        <f aca="false">TEXT(A196,"mmm")</f>
        <v>Nov</v>
      </c>
      <c r="G196" s="11" t="s">
        <v>209</v>
      </c>
      <c r="H196" s="11" t="s">
        <v>205</v>
      </c>
      <c r="I196" s="12" t="n">
        <v>1183539</v>
      </c>
      <c r="J196" s="12" t="n">
        <v>304322</v>
      </c>
      <c r="K196" s="13" t="n">
        <f aca="false">IF(I196=0,0,J196/I196)</f>
        <v>0.257128831411555</v>
      </c>
      <c r="L196" s="12" t="n">
        <v>137233</v>
      </c>
      <c r="M196" s="12" t="n">
        <v>11712</v>
      </c>
      <c r="N196" s="12" t="n">
        <v>1139</v>
      </c>
      <c r="O196" s="12" t="n">
        <v>66</v>
      </c>
      <c r="P196" s="12" t="n">
        <f aca="false">M196+N196+O196</f>
        <v>12917</v>
      </c>
      <c r="Q196" s="13" t="n">
        <f aca="false">IF(I196=0,0,P196/I196)</f>
        <v>0.0109138777851849</v>
      </c>
      <c r="R196" s="13" t="n">
        <v>0.0469</v>
      </c>
      <c r="S196" s="14" t="n">
        <v>88847</v>
      </c>
      <c r="T196" s="14" t="n">
        <v>7526</v>
      </c>
      <c r="U196" s="14" t="n">
        <v>3559</v>
      </c>
      <c r="V196" s="14" t="n">
        <v>6184</v>
      </c>
      <c r="W196" s="14" t="n">
        <f aca="false">S196+T196+U196+V196</f>
        <v>106116</v>
      </c>
      <c r="X196" s="15" t="n">
        <f aca="false">IF(P196=0,0,S196/P196)</f>
        <v>6.87829991484091</v>
      </c>
      <c r="Y196" s="15" t="n">
        <f aca="false">IF(J196=0,0,W196/J196)</f>
        <v>0.348696446527034</v>
      </c>
      <c r="Z196" s="14" t="n">
        <v>21503</v>
      </c>
      <c r="AA196" s="15" t="n">
        <f aca="false">IF(L196=0,0,Z196/L196)</f>
        <v>0.156689717487776</v>
      </c>
      <c r="AB196" s="12" t="n">
        <v>22556800</v>
      </c>
      <c r="AC196" s="16" t="n">
        <v>10.5</v>
      </c>
      <c r="AD196" s="16" t="n">
        <v>20.3</v>
      </c>
      <c r="AE196" s="13" t="n">
        <v>0.387</v>
      </c>
      <c r="AF196" s="13" t="n">
        <v>0.586</v>
      </c>
      <c r="AG196" s="13" t="n">
        <v>0.344</v>
      </c>
      <c r="AH196" s="13" t="n">
        <v>0.205</v>
      </c>
      <c r="AI196" s="17"/>
    </row>
    <row r="197" customFormat="false" ht="15" hidden="false" customHeight="false" outlineLevel="0" collapsed="false">
      <c r="A197" s="10" t="n">
        <v>45231</v>
      </c>
      <c r="B197" s="11" t="n">
        <f aca="false">YEAR(A197)</f>
        <v>2023</v>
      </c>
      <c r="C197" s="11" t="str">
        <f aca="false">"Q"&amp;ROUNDUP(MONTH(A197)/3,0)</f>
        <v>Q4</v>
      </c>
      <c r="D197" s="11" t="str">
        <f aca="false">B197&amp;"-"&amp;C197</f>
        <v>2023-Q4</v>
      </c>
      <c r="E197" s="11" t="n">
        <f aca="false">MONTH(A197)</f>
        <v>11</v>
      </c>
      <c r="F197" s="11" t="str">
        <f aca="false">TEXT(A197,"mmm")</f>
        <v>Nov</v>
      </c>
      <c r="G197" s="11" t="s">
        <v>210</v>
      </c>
      <c r="H197" s="11" t="s">
        <v>203</v>
      </c>
      <c r="I197" s="12" t="n">
        <v>5043671</v>
      </c>
      <c r="J197" s="12" t="n">
        <v>1514773</v>
      </c>
      <c r="K197" s="13" t="n">
        <f aca="false">IF(I197=0,0,J197/I197)</f>
        <v>0.300331445092275</v>
      </c>
      <c r="L197" s="12" t="n">
        <v>609750</v>
      </c>
      <c r="M197" s="12" t="n">
        <v>148763</v>
      </c>
      <c r="N197" s="12" t="n">
        <v>15053</v>
      </c>
      <c r="O197" s="12" t="n">
        <v>1685</v>
      </c>
      <c r="P197" s="12" t="n">
        <f aca="false">M197+N197+O197</f>
        <v>165501</v>
      </c>
      <c r="Q197" s="13" t="n">
        <f aca="false">IF(I197=0,0,P197/I197)</f>
        <v>0.0328135994596</v>
      </c>
      <c r="R197" s="13" t="n">
        <v>0.041</v>
      </c>
      <c r="S197" s="14" t="n">
        <v>1105764</v>
      </c>
      <c r="T197" s="14" t="n">
        <v>104401</v>
      </c>
      <c r="U197" s="14" t="n">
        <v>45641</v>
      </c>
      <c r="V197" s="14" t="n">
        <v>86299</v>
      </c>
      <c r="W197" s="14" t="n">
        <f aca="false">S197+T197+U197+V197</f>
        <v>1342105</v>
      </c>
      <c r="X197" s="15" t="n">
        <f aca="false">IF(P197=0,0,S197/P197)</f>
        <v>6.68131310384832</v>
      </c>
      <c r="Y197" s="15" t="n">
        <f aca="false">IF(J197=0,0,W197/J197)</f>
        <v>0.886010643178879</v>
      </c>
      <c r="Z197" s="14" t="n">
        <v>222189</v>
      </c>
      <c r="AA197" s="15" t="n">
        <f aca="false">IF(L197=0,0,Z197/L197)</f>
        <v>0.364393603936039</v>
      </c>
      <c r="AB197" s="12" t="n">
        <v>118525484</v>
      </c>
      <c r="AC197" s="16" t="n">
        <v>12.3</v>
      </c>
      <c r="AD197" s="16" t="n">
        <v>19.8</v>
      </c>
      <c r="AE197" s="13" t="n">
        <v>0.392</v>
      </c>
      <c r="AF197" s="13" t="n">
        <v>0.577</v>
      </c>
      <c r="AG197" s="13" t="n">
        <v>0.351</v>
      </c>
      <c r="AH197" s="13" t="n">
        <v>0.2</v>
      </c>
      <c r="AI197" s="17" t="n">
        <v>4.65</v>
      </c>
    </row>
    <row r="198" customFormat="false" ht="15" hidden="false" customHeight="false" outlineLevel="0" collapsed="false">
      <c r="A198" s="10" t="n">
        <v>45231</v>
      </c>
      <c r="B198" s="11" t="n">
        <f aca="false">YEAR(A198)</f>
        <v>2023</v>
      </c>
      <c r="C198" s="11" t="str">
        <f aca="false">"Q"&amp;ROUNDUP(MONTH(A198)/3,0)</f>
        <v>Q4</v>
      </c>
      <c r="D198" s="11" t="str">
        <f aca="false">B198&amp;"-"&amp;C198</f>
        <v>2023-Q4</v>
      </c>
      <c r="E198" s="11" t="n">
        <f aca="false">MONTH(A198)</f>
        <v>11</v>
      </c>
      <c r="F198" s="11" t="str">
        <f aca="false">TEXT(A198,"mmm")</f>
        <v>Nov</v>
      </c>
      <c r="G198" s="11" t="s">
        <v>210</v>
      </c>
      <c r="H198" s="11" t="s">
        <v>204</v>
      </c>
      <c r="I198" s="12" t="n">
        <v>6648423</v>
      </c>
      <c r="J198" s="12" t="n">
        <v>1808990</v>
      </c>
      <c r="K198" s="13" t="n">
        <f aca="false">IF(I198=0,0,J198/I198)</f>
        <v>0.272093096362852</v>
      </c>
      <c r="L198" s="12" t="n">
        <v>754856</v>
      </c>
      <c r="M198" s="12" t="n">
        <v>89213</v>
      </c>
      <c r="N198" s="12" t="n">
        <v>8324</v>
      </c>
      <c r="O198" s="12" t="n">
        <v>751</v>
      </c>
      <c r="P198" s="12" t="n">
        <f aca="false">M198+N198+O198</f>
        <v>98288</v>
      </c>
      <c r="Q198" s="13" t="n">
        <f aca="false">IF(I198=0,0,P198/I198)</f>
        <v>0.0147836562144136</v>
      </c>
      <c r="R198" s="13" t="n">
        <v>0.0465</v>
      </c>
      <c r="S198" s="14" t="n">
        <v>629740</v>
      </c>
      <c r="T198" s="14" t="n">
        <v>56564</v>
      </c>
      <c r="U198" s="14" t="n">
        <v>23935</v>
      </c>
      <c r="V198" s="14" t="n">
        <v>45913</v>
      </c>
      <c r="W198" s="14" t="n">
        <f aca="false">S198+T198+U198+V198</f>
        <v>756152</v>
      </c>
      <c r="X198" s="15" t="n">
        <f aca="false">IF(P198=0,0,S198/P198)</f>
        <v>6.40708937001465</v>
      </c>
      <c r="Y198" s="15" t="n">
        <f aca="false">IF(J198=0,0,W198/J198)</f>
        <v>0.417996782735117</v>
      </c>
      <c r="Z198" s="14" t="n">
        <v>147083</v>
      </c>
      <c r="AA198" s="15" t="n">
        <f aca="false">IF(L198=0,0,Z198/L198)</f>
        <v>0.194849083798764</v>
      </c>
      <c r="AB198" s="12" t="n">
        <v>140192153</v>
      </c>
      <c r="AC198" s="16" t="n">
        <v>11.7</v>
      </c>
      <c r="AD198" s="16" t="n">
        <v>21.1</v>
      </c>
      <c r="AE198" s="13" t="n">
        <v>0.403</v>
      </c>
      <c r="AF198" s="13" t="n">
        <v>0.562</v>
      </c>
      <c r="AG198" s="13" t="n">
        <v>0.347</v>
      </c>
      <c r="AH198" s="13" t="n">
        <v>0.206</v>
      </c>
      <c r="AI198" s="17" t="n">
        <v>4.59</v>
      </c>
    </row>
    <row r="199" customFormat="false" ht="15" hidden="false" customHeight="false" outlineLevel="0" collapsed="false">
      <c r="A199" s="10" t="n">
        <v>45231</v>
      </c>
      <c r="B199" s="11" t="n">
        <f aca="false">YEAR(A199)</f>
        <v>2023</v>
      </c>
      <c r="C199" s="11" t="str">
        <f aca="false">"Q"&amp;ROUNDUP(MONTH(A199)/3,0)</f>
        <v>Q4</v>
      </c>
      <c r="D199" s="11" t="str">
        <f aca="false">B199&amp;"-"&amp;C199</f>
        <v>2023-Q4</v>
      </c>
      <c r="E199" s="11" t="n">
        <f aca="false">MONTH(A199)</f>
        <v>11</v>
      </c>
      <c r="F199" s="11" t="str">
        <f aca="false">TEXT(A199,"mmm")</f>
        <v>Nov</v>
      </c>
      <c r="G199" s="11" t="s">
        <v>210</v>
      </c>
      <c r="H199" s="11" t="s">
        <v>205</v>
      </c>
      <c r="I199" s="12" t="n">
        <v>2207090</v>
      </c>
      <c r="J199" s="12" t="n">
        <v>551026</v>
      </c>
      <c r="K199" s="13" t="n">
        <f aca="false">IF(I199=0,0,J199/I199)</f>
        <v>0.249661771835313</v>
      </c>
      <c r="L199" s="12" t="n">
        <v>222450</v>
      </c>
      <c r="M199" s="12" t="n">
        <v>24288</v>
      </c>
      <c r="N199" s="12" t="n">
        <v>2332</v>
      </c>
      <c r="O199" s="12" t="n">
        <v>136</v>
      </c>
      <c r="P199" s="12" t="n">
        <f aca="false">M199+N199+O199</f>
        <v>26756</v>
      </c>
      <c r="Q199" s="13" t="n">
        <f aca="false">IF(I199=0,0,P199/I199)</f>
        <v>0.0121227498652071</v>
      </c>
      <c r="R199" s="13" t="n">
        <v>0.0447</v>
      </c>
      <c r="S199" s="14" t="n">
        <v>167885</v>
      </c>
      <c r="T199" s="14" t="n">
        <v>14976</v>
      </c>
      <c r="U199" s="14" t="n">
        <v>6159</v>
      </c>
      <c r="V199" s="14" t="n">
        <v>11026</v>
      </c>
      <c r="W199" s="14" t="n">
        <f aca="false">S199+T199+U199+V199</f>
        <v>200046</v>
      </c>
      <c r="X199" s="15" t="n">
        <f aca="false">IF(P199=0,0,S199/P199)</f>
        <v>6.2746673643295</v>
      </c>
      <c r="Y199" s="15" t="n">
        <f aca="false">IF(J199=0,0,W199/J199)</f>
        <v>0.363042760232729</v>
      </c>
      <c r="Z199" s="14" t="n">
        <v>33706</v>
      </c>
      <c r="AA199" s="15" t="n">
        <f aca="false">IF(L199=0,0,Z199/L199)</f>
        <v>0.151521690267476</v>
      </c>
      <c r="AB199" s="12" t="n">
        <v>40328664</v>
      </c>
      <c r="AC199" s="16" t="n">
        <v>10.7</v>
      </c>
      <c r="AD199" s="16" t="n">
        <v>20</v>
      </c>
      <c r="AE199" s="13" t="n">
        <v>0.385</v>
      </c>
      <c r="AF199" s="13" t="n">
        <v>0.568</v>
      </c>
      <c r="AG199" s="13" t="n">
        <v>0.345</v>
      </c>
      <c r="AH199" s="13" t="n">
        <v>0.199</v>
      </c>
      <c r="AI199" s="17"/>
    </row>
    <row r="200" customFormat="false" ht="15" hidden="false" customHeight="false" outlineLevel="0" collapsed="false">
      <c r="A200" s="10" t="n">
        <v>45261</v>
      </c>
      <c r="B200" s="11" t="n">
        <f aca="false">YEAR(A200)</f>
        <v>2023</v>
      </c>
      <c r="C200" s="11" t="str">
        <f aca="false">"Q"&amp;ROUNDUP(MONTH(A200)/3,0)</f>
        <v>Q4</v>
      </c>
      <c r="D200" s="11" t="str">
        <f aca="false">B200&amp;"-"&amp;C200</f>
        <v>2023-Q4</v>
      </c>
      <c r="E200" s="11" t="n">
        <f aca="false">MONTH(A200)</f>
        <v>12</v>
      </c>
      <c r="F200" s="11" t="str">
        <f aca="false">TEXT(A200,"mmm")</f>
        <v>Dec</v>
      </c>
      <c r="G200" s="11" t="s">
        <v>202</v>
      </c>
      <c r="H200" s="11" t="s">
        <v>203</v>
      </c>
      <c r="I200" s="12" t="n">
        <v>6823698</v>
      </c>
      <c r="J200" s="12" t="n">
        <v>2232839</v>
      </c>
      <c r="K200" s="13" t="n">
        <f aca="false">IF(I200=0,0,J200/I200)</f>
        <v>0.327218320623216</v>
      </c>
      <c r="L200" s="12" t="n">
        <v>1064913</v>
      </c>
      <c r="M200" s="12" t="n">
        <v>1548531</v>
      </c>
      <c r="N200" s="12" t="n">
        <v>152479</v>
      </c>
      <c r="O200" s="12" t="n">
        <v>79888</v>
      </c>
      <c r="P200" s="12" t="n">
        <f aca="false">M200+N200+O200</f>
        <v>1780898</v>
      </c>
      <c r="Q200" s="13" t="n">
        <f aca="false">IF(I200=0,0,P200/I200)</f>
        <v>0.260987224229443</v>
      </c>
      <c r="R200" s="13" t="n">
        <v>0.0437</v>
      </c>
      <c r="S200" s="14" t="n">
        <v>12378037</v>
      </c>
      <c r="T200" s="14" t="n">
        <v>1111026</v>
      </c>
      <c r="U200" s="14" t="n">
        <v>507197</v>
      </c>
      <c r="V200" s="14" t="n">
        <v>904280</v>
      </c>
      <c r="W200" s="14" t="n">
        <f aca="false">S200+T200+U200+V200</f>
        <v>14900540</v>
      </c>
      <c r="X200" s="15" t="n">
        <f aca="false">IF(P200=0,0,S200/P200)</f>
        <v>6.9504469093682</v>
      </c>
      <c r="Y200" s="15" t="n">
        <f aca="false">IF(J200=0,0,W200/J200)</f>
        <v>6.67336068565624</v>
      </c>
      <c r="Z200" s="14" t="n">
        <v>2359552</v>
      </c>
      <c r="AA200" s="15" t="n">
        <f aca="false">IF(L200=0,0,Z200/L200)</f>
        <v>2.21572278674408</v>
      </c>
      <c r="AB200" s="12" t="n">
        <v>167418133</v>
      </c>
      <c r="AC200" s="16" t="n">
        <v>12.1</v>
      </c>
      <c r="AD200" s="16" t="n">
        <v>20.9</v>
      </c>
      <c r="AE200" s="13" t="n">
        <v>0.395</v>
      </c>
      <c r="AF200" s="13" t="n">
        <v>0.566</v>
      </c>
      <c r="AG200" s="13" t="n">
        <v>0.353</v>
      </c>
      <c r="AH200" s="13" t="n">
        <v>0.203</v>
      </c>
      <c r="AI200" s="17" t="n">
        <v>4.65</v>
      </c>
    </row>
    <row r="201" customFormat="false" ht="15" hidden="false" customHeight="false" outlineLevel="0" collapsed="false">
      <c r="A201" s="10" t="n">
        <v>45261</v>
      </c>
      <c r="B201" s="11" t="n">
        <f aca="false">YEAR(A201)</f>
        <v>2023</v>
      </c>
      <c r="C201" s="11" t="str">
        <f aca="false">"Q"&amp;ROUNDUP(MONTH(A201)/3,0)</f>
        <v>Q4</v>
      </c>
      <c r="D201" s="11" t="str">
        <f aca="false">B201&amp;"-"&amp;C201</f>
        <v>2023-Q4</v>
      </c>
      <c r="E201" s="11" t="n">
        <f aca="false">MONTH(A201)</f>
        <v>12</v>
      </c>
      <c r="F201" s="11" t="str">
        <f aca="false">TEXT(A201,"mmm")</f>
        <v>Dec</v>
      </c>
      <c r="G201" s="11" t="s">
        <v>202</v>
      </c>
      <c r="H201" s="11" t="s">
        <v>204</v>
      </c>
      <c r="I201" s="12" t="n">
        <v>9839565</v>
      </c>
      <c r="J201" s="12" t="n">
        <v>2943716</v>
      </c>
      <c r="K201" s="13" t="n">
        <f aca="false">IF(I201=0,0,J201/I201)</f>
        <v>0.299171355644279</v>
      </c>
      <c r="L201" s="12" t="n">
        <v>1076588</v>
      </c>
      <c r="M201" s="12" t="n">
        <v>937296</v>
      </c>
      <c r="N201" s="12" t="n">
        <v>101347</v>
      </c>
      <c r="O201" s="12" t="n">
        <v>36160</v>
      </c>
      <c r="P201" s="12" t="n">
        <f aca="false">M201+N201+O201</f>
        <v>1074803</v>
      </c>
      <c r="Q201" s="13" t="n">
        <f aca="false">IF(I201=0,0,P201/I201)</f>
        <v>0.109232776042437</v>
      </c>
      <c r="R201" s="13" t="n">
        <v>0.0441</v>
      </c>
      <c r="S201" s="14" t="n">
        <v>6816048</v>
      </c>
      <c r="T201" s="14" t="n">
        <v>623047</v>
      </c>
      <c r="U201" s="14" t="n">
        <v>237440</v>
      </c>
      <c r="V201" s="14" t="n">
        <v>487226</v>
      </c>
      <c r="W201" s="14" t="n">
        <f aca="false">S201+T201+U201+V201</f>
        <v>8163761</v>
      </c>
      <c r="X201" s="15" t="n">
        <f aca="false">IF(P201=0,0,S201/P201)</f>
        <v>6.3416719156906</v>
      </c>
      <c r="Y201" s="15" t="n">
        <f aca="false">IF(J201=0,0,W201/J201)</f>
        <v>2.7732841755115</v>
      </c>
      <c r="Z201" s="14" t="n">
        <v>1468268</v>
      </c>
      <c r="AA201" s="15" t="n">
        <f aca="false">IF(L201=0,0,Z201/L201)</f>
        <v>1.36381605590997</v>
      </c>
      <c r="AB201" s="12" t="n">
        <v>219983969</v>
      </c>
      <c r="AC201" s="16" t="n">
        <v>11.9</v>
      </c>
      <c r="AD201" s="16" t="n">
        <v>20.8</v>
      </c>
      <c r="AE201" s="13" t="n">
        <v>0.403</v>
      </c>
      <c r="AF201" s="13" t="n">
        <v>0.582</v>
      </c>
      <c r="AG201" s="13" t="n">
        <v>0.355</v>
      </c>
      <c r="AH201" s="13" t="n">
        <v>0.201</v>
      </c>
      <c r="AI201" s="17" t="n">
        <v>4.6</v>
      </c>
    </row>
    <row r="202" customFormat="false" ht="15" hidden="false" customHeight="false" outlineLevel="0" collapsed="false">
      <c r="A202" s="10" t="n">
        <v>45261</v>
      </c>
      <c r="B202" s="11" t="n">
        <f aca="false">YEAR(A202)</f>
        <v>2023</v>
      </c>
      <c r="C202" s="11" t="str">
        <f aca="false">"Q"&amp;ROUNDUP(MONTH(A202)/3,0)</f>
        <v>Q4</v>
      </c>
      <c r="D202" s="11" t="str">
        <f aca="false">B202&amp;"-"&amp;C202</f>
        <v>2023-Q4</v>
      </c>
      <c r="E202" s="11" t="n">
        <f aca="false">MONTH(A202)</f>
        <v>12</v>
      </c>
      <c r="F202" s="11" t="str">
        <f aca="false">TEXT(A202,"mmm")</f>
        <v>Dec</v>
      </c>
      <c r="G202" s="11" t="s">
        <v>202</v>
      </c>
      <c r="H202" s="11" t="s">
        <v>205</v>
      </c>
      <c r="I202" s="12" t="n">
        <v>2675643</v>
      </c>
      <c r="J202" s="12" t="n">
        <v>731199</v>
      </c>
      <c r="K202" s="13" t="n">
        <f aca="false">IF(I202=0,0,J202/I202)</f>
        <v>0.273279731264597</v>
      </c>
      <c r="L202" s="12" t="n">
        <v>316762</v>
      </c>
      <c r="M202" s="12" t="n">
        <v>236075</v>
      </c>
      <c r="N202" s="12" t="n">
        <v>24284</v>
      </c>
      <c r="O202" s="12" t="n">
        <v>5974</v>
      </c>
      <c r="P202" s="12" t="n">
        <f aca="false">M202+N202+O202</f>
        <v>266333</v>
      </c>
      <c r="Q202" s="13" t="n">
        <f aca="false">IF(I202=0,0,P202/I202)</f>
        <v>0.0995398115518401</v>
      </c>
      <c r="R202" s="13" t="n">
        <v>0.0435</v>
      </c>
      <c r="S202" s="14" t="n">
        <v>1907471</v>
      </c>
      <c r="T202" s="14" t="n">
        <v>172102</v>
      </c>
      <c r="U202" s="14" t="n">
        <v>74379</v>
      </c>
      <c r="V202" s="14" t="n">
        <v>134851</v>
      </c>
      <c r="W202" s="14" t="n">
        <f aca="false">S202+T202+U202+V202</f>
        <v>2288803</v>
      </c>
      <c r="X202" s="15" t="n">
        <f aca="false">IF(P202=0,0,S202/P202)</f>
        <v>7.1619776745653</v>
      </c>
      <c r="Y202" s="15" t="n">
        <f aca="false">IF(J202=0,0,W202/J202)</f>
        <v>3.13020532030268</v>
      </c>
      <c r="Z202" s="14" t="n">
        <v>406076</v>
      </c>
      <c r="AA202" s="15" t="n">
        <f aca="false">IF(L202=0,0,Z202/L202)</f>
        <v>1.28195932592925</v>
      </c>
      <c r="AB202" s="12" t="n">
        <v>58111190</v>
      </c>
      <c r="AC202" s="16" t="n">
        <v>10.5</v>
      </c>
      <c r="AD202" s="16" t="n">
        <v>20.5</v>
      </c>
      <c r="AE202" s="13" t="n">
        <v>0.4</v>
      </c>
      <c r="AF202" s="13" t="n">
        <v>0.57</v>
      </c>
      <c r="AG202" s="13" t="n">
        <v>0.345</v>
      </c>
      <c r="AH202" s="13" t="n">
        <v>0.203</v>
      </c>
      <c r="AI202" s="17"/>
    </row>
    <row r="203" customFormat="false" ht="15" hidden="false" customHeight="false" outlineLevel="0" collapsed="false">
      <c r="A203" s="10" t="n">
        <v>45261</v>
      </c>
      <c r="B203" s="11" t="n">
        <f aca="false">YEAR(A203)</f>
        <v>2023</v>
      </c>
      <c r="C203" s="11" t="str">
        <f aca="false">"Q"&amp;ROUNDUP(MONTH(A203)/3,0)</f>
        <v>Q4</v>
      </c>
      <c r="D203" s="11" t="str">
        <f aca="false">B203&amp;"-"&amp;C203</f>
        <v>2023-Q4</v>
      </c>
      <c r="E203" s="11" t="n">
        <f aca="false">MONTH(A203)</f>
        <v>12</v>
      </c>
      <c r="F203" s="11" t="str">
        <f aca="false">TEXT(A203,"mmm")</f>
        <v>Dec</v>
      </c>
      <c r="G203" s="11" t="s">
        <v>206</v>
      </c>
      <c r="H203" s="11" t="s">
        <v>203</v>
      </c>
      <c r="I203" s="12" t="n">
        <v>7461288</v>
      </c>
      <c r="J203" s="12" t="n">
        <v>2543126</v>
      </c>
      <c r="K203" s="13" t="n">
        <f aca="false">IF(I203=0,0,J203/I203)</f>
        <v>0.34084276066009</v>
      </c>
      <c r="L203" s="12" t="n">
        <v>1062446</v>
      </c>
      <c r="M203" s="12" t="n">
        <v>888937</v>
      </c>
      <c r="N203" s="12" t="n">
        <v>98963</v>
      </c>
      <c r="O203" s="12" t="n">
        <v>28496</v>
      </c>
      <c r="P203" s="12" t="n">
        <f aca="false">M203+N203+O203</f>
        <v>1016396</v>
      </c>
      <c r="Q203" s="13" t="n">
        <f aca="false">IF(I203=0,0,P203/I203)</f>
        <v>0.136222593203747</v>
      </c>
      <c r="R203" s="13" t="n">
        <v>0.0443</v>
      </c>
      <c r="S203" s="14" t="n">
        <v>7065951</v>
      </c>
      <c r="T203" s="14" t="n">
        <v>712943</v>
      </c>
      <c r="U203" s="14" t="n">
        <v>266189</v>
      </c>
      <c r="V203" s="14" t="n">
        <v>518653</v>
      </c>
      <c r="W203" s="14" t="n">
        <f aca="false">S203+T203+U203+V203</f>
        <v>8563736</v>
      </c>
      <c r="X203" s="15" t="n">
        <f aca="false">IF(P203=0,0,S203/P203)</f>
        <v>6.95196655634221</v>
      </c>
      <c r="Y203" s="15" t="n">
        <f aca="false">IF(J203=0,0,W203/J203)</f>
        <v>3.36740531141595</v>
      </c>
      <c r="Z203" s="14" t="n">
        <v>1546702</v>
      </c>
      <c r="AA203" s="15" t="n">
        <f aca="false">IF(L203=0,0,Z203/L203)</f>
        <v>1.45579351797644</v>
      </c>
      <c r="AB203" s="12" t="n">
        <v>196632986</v>
      </c>
      <c r="AC203" s="16" t="n">
        <v>12.1</v>
      </c>
      <c r="AD203" s="16" t="n">
        <v>19.6</v>
      </c>
      <c r="AE203" s="13" t="n">
        <v>0.39</v>
      </c>
      <c r="AF203" s="13" t="n">
        <v>0.569</v>
      </c>
      <c r="AG203" s="13" t="n">
        <v>0.346</v>
      </c>
      <c r="AH203" s="13" t="n">
        <v>0.199</v>
      </c>
      <c r="AI203" s="17" t="n">
        <v>4.71</v>
      </c>
    </row>
    <row r="204" customFormat="false" ht="15" hidden="false" customHeight="false" outlineLevel="0" collapsed="false">
      <c r="A204" s="10" t="n">
        <v>45261</v>
      </c>
      <c r="B204" s="11" t="n">
        <f aca="false">YEAR(A204)</f>
        <v>2023</v>
      </c>
      <c r="C204" s="11" t="str">
        <f aca="false">"Q"&amp;ROUNDUP(MONTH(A204)/3,0)</f>
        <v>Q4</v>
      </c>
      <c r="D204" s="11" t="str">
        <f aca="false">B204&amp;"-"&amp;C204</f>
        <v>2023-Q4</v>
      </c>
      <c r="E204" s="11" t="n">
        <f aca="false">MONTH(A204)</f>
        <v>12</v>
      </c>
      <c r="F204" s="11" t="str">
        <f aca="false">TEXT(A204,"mmm")</f>
        <v>Dec</v>
      </c>
      <c r="G204" s="11" t="s">
        <v>206</v>
      </c>
      <c r="H204" s="11" t="s">
        <v>204</v>
      </c>
      <c r="I204" s="12" t="n">
        <v>10542671</v>
      </c>
      <c r="J204" s="12" t="n">
        <v>3197580</v>
      </c>
      <c r="K204" s="13" t="n">
        <f aca="false">IF(I204=0,0,J204/I204)</f>
        <v>0.303298850926867</v>
      </c>
      <c r="L204" s="12" t="n">
        <v>1369789</v>
      </c>
      <c r="M204" s="12" t="n">
        <v>523784</v>
      </c>
      <c r="N204" s="12" t="n">
        <v>53197</v>
      </c>
      <c r="O204" s="12" t="n">
        <v>12393</v>
      </c>
      <c r="P204" s="12" t="n">
        <f aca="false">M204+N204+O204</f>
        <v>589374</v>
      </c>
      <c r="Q204" s="13" t="n">
        <f aca="false">IF(I204=0,0,P204/I204)</f>
        <v>0.0559036699523299</v>
      </c>
      <c r="R204" s="13" t="n">
        <v>0.0464</v>
      </c>
      <c r="S204" s="14" t="n">
        <v>3948951</v>
      </c>
      <c r="T204" s="14" t="n">
        <v>351810</v>
      </c>
      <c r="U204" s="14" t="n">
        <v>151043</v>
      </c>
      <c r="V204" s="14" t="n">
        <v>311347</v>
      </c>
      <c r="W204" s="14" t="n">
        <f aca="false">S204+T204+U204+V204</f>
        <v>4763151</v>
      </c>
      <c r="X204" s="15" t="n">
        <f aca="false">IF(P204=0,0,S204/P204)</f>
        <v>6.70024636309033</v>
      </c>
      <c r="Y204" s="15" t="n">
        <f aca="false">IF(J204=0,0,W204/J204)</f>
        <v>1.48961120597452</v>
      </c>
      <c r="Z204" s="14" t="n">
        <v>826130</v>
      </c>
      <c r="AA204" s="15" t="n">
        <f aca="false">IF(L204=0,0,Z204/L204)</f>
        <v>0.603107485897463</v>
      </c>
      <c r="AB204" s="12" t="n">
        <v>231629297</v>
      </c>
      <c r="AC204" s="16" t="n">
        <v>11.9</v>
      </c>
      <c r="AD204" s="16" t="n">
        <v>20.1</v>
      </c>
      <c r="AE204" s="13" t="n">
        <v>0.378</v>
      </c>
      <c r="AF204" s="13" t="n">
        <v>0.564</v>
      </c>
      <c r="AG204" s="13" t="n">
        <v>0.342</v>
      </c>
      <c r="AH204" s="13" t="n">
        <v>0.216</v>
      </c>
      <c r="AI204" s="17" t="n">
        <v>4.63</v>
      </c>
    </row>
    <row r="205" customFormat="false" ht="15" hidden="false" customHeight="false" outlineLevel="0" collapsed="false">
      <c r="A205" s="10" t="n">
        <v>45261</v>
      </c>
      <c r="B205" s="11" t="n">
        <f aca="false">YEAR(A205)</f>
        <v>2023</v>
      </c>
      <c r="C205" s="11" t="str">
        <f aca="false">"Q"&amp;ROUNDUP(MONTH(A205)/3,0)</f>
        <v>Q4</v>
      </c>
      <c r="D205" s="11" t="str">
        <f aca="false">B205&amp;"-"&amp;C205</f>
        <v>2023-Q4</v>
      </c>
      <c r="E205" s="11" t="n">
        <f aca="false">MONTH(A205)</f>
        <v>12</v>
      </c>
      <c r="F205" s="11" t="str">
        <f aca="false">TEXT(A205,"mmm")</f>
        <v>Dec</v>
      </c>
      <c r="G205" s="11" t="s">
        <v>206</v>
      </c>
      <c r="H205" s="11" t="s">
        <v>205</v>
      </c>
      <c r="I205" s="12" t="n">
        <v>2980568</v>
      </c>
      <c r="J205" s="12" t="n">
        <v>814994</v>
      </c>
      <c r="K205" s="13" t="n">
        <f aca="false">IF(I205=0,0,J205/I205)</f>
        <v>0.273435801498238</v>
      </c>
      <c r="L205" s="12" t="n">
        <v>361970</v>
      </c>
      <c r="M205" s="12" t="n">
        <v>147245</v>
      </c>
      <c r="N205" s="12" t="n">
        <v>13697</v>
      </c>
      <c r="O205" s="12" t="n">
        <v>2288</v>
      </c>
      <c r="P205" s="12" t="n">
        <f aca="false">M205+N205+O205</f>
        <v>163230</v>
      </c>
      <c r="Q205" s="13" t="n">
        <f aca="false">IF(I205=0,0,P205/I205)</f>
        <v>0.0547647294072808</v>
      </c>
      <c r="R205" s="13" t="n">
        <v>0.0492</v>
      </c>
      <c r="S205" s="14" t="n">
        <v>1097779</v>
      </c>
      <c r="T205" s="14" t="n">
        <v>103949</v>
      </c>
      <c r="U205" s="14" t="n">
        <v>43564</v>
      </c>
      <c r="V205" s="14" t="n">
        <v>77402</v>
      </c>
      <c r="W205" s="14" t="n">
        <f aca="false">S205+T205+U205+V205</f>
        <v>1322694</v>
      </c>
      <c r="X205" s="15" t="n">
        <f aca="false">IF(P205=0,0,S205/P205)</f>
        <v>6.72535073209582</v>
      </c>
      <c r="Y205" s="15" t="n">
        <f aca="false">IF(J205=0,0,W205/J205)</f>
        <v>1.62294937140642</v>
      </c>
      <c r="Z205" s="14" t="n">
        <v>237490</v>
      </c>
      <c r="AA205" s="15" t="n">
        <f aca="false">IF(L205=0,0,Z205/L205)</f>
        <v>0.656104097024615</v>
      </c>
      <c r="AB205" s="12" t="n">
        <v>62883741</v>
      </c>
      <c r="AC205" s="16" t="n">
        <v>11</v>
      </c>
      <c r="AD205" s="16" t="n">
        <v>20.2</v>
      </c>
      <c r="AE205" s="13" t="n">
        <v>0.38</v>
      </c>
      <c r="AF205" s="13" t="n">
        <v>0.581</v>
      </c>
      <c r="AG205" s="13" t="n">
        <v>0.34</v>
      </c>
      <c r="AH205" s="13" t="n">
        <v>0.199</v>
      </c>
      <c r="AI205" s="17"/>
    </row>
    <row r="206" customFormat="false" ht="15" hidden="false" customHeight="false" outlineLevel="0" collapsed="false">
      <c r="A206" s="10" t="n">
        <v>45261</v>
      </c>
      <c r="B206" s="11" t="n">
        <f aca="false">YEAR(A206)</f>
        <v>2023</v>
      </c>
      <c r="C206" s="11" t="str">
        <f aca="false">"Q"&amp;ROUNDUP(MONTH(A206)/3,0)</f>
        <v>Q4</v>
      </c>
      <c r="D206" s="11" t="str">
        <f aca="false">B206&amp;"-"&amp;C206</f>
        <v>2023-Q4</v>
      </c>
      <c r="E206" s="11" t="n">
        <f aca="false">MONTH(A206)</f>
        <v>12</v>
      </c>
      <c r="F206" s="11" t="str">
        <f aca="false">TEXT(A206,"mmm")</f>
        <v>Dec</v>
      </c>
      <c r="G206" s="11" t="s">
        <v>207</v>
      </c>
      <c r="H206" s="11" t="s">
        <v>203</v>
      </c>
      <c r="I206" s="12" t="n">
        <v>6128820</v>
      </c>
      <c r="J206" s="12" t="n">
        <v>1924513</v>
      </c>
      <c r="K206" s="13" t="n">
        <f aca="false">IF(I206=0,0,J206/I206)</f>
        <v>0.314010364148401</v>
      </c>
      <c r="L206" s="12" t="n">
        <v>786429</v>
      </c>
      <c r="M206" s="12" t="n">
        <v>421427</v>
      </c>
      <c r="N206" s="12" t="n">
        <v>40608</v>
      </c>
      <c r="O206" s="12" t="n">
        <v>9249</v>
      </c>
      <c r="P206" s="12" t="n">
        <f aca="false">M206+N206+O206</f>
        <v>471284</v>
      </c>
      <c r="Q206" s="13" t="n">
        <f aca="false">IF(I206=0,0,P206/I206)</f>
        <v>0.0768963683058077</v>
      </c>
      <c r="R206" s="13" t="n">
        <v>0.0412</v>
      </c>
      <c r="S206" s="14" t="n">
        <v>3335445</v>
      </c>
      <c r="T206" s="14" t="n">
        <v>300447</v>
      </c>
      <c r="U206" s="14" t="n">
        <v>125682</v>
      </c>
      <c r="V206" s="14" t="n">
        <v>243819</v>
      </c>
      <c r="W206" s="14" t="n">
        <f aca="false">S206+T206+U206+V206</f>
        <v>4005393</v>
      </c>
      <c r="X206" s="15" t="n">
        <f aca="false">IF(P206=0,0,S206/P206)</f>
        <v>7.07735675304063</v>
      </c>
      <c r="Y206" s="15" t="n">
        <f aca="false">IF(J206=0,0,W206/J206)</f>
        <v>2.08125016562632</v>
      </c>
      <c r="Z206" s="14" t="n">
        <v>677421</v>
      </c>
      <c r="AA206" s="15" t="n">
        <f aca="false">IF(L206=0,0,Z206/L206)</f>
        <v>0.861388631395841</v>
      </c>
      <c r="AB206" s="12" t="n">
        <v>145460667</v>
      </c>
      <c r="AC206" s="16" t="n">
        <v>12.2</v>
      </c>
      <c r="AD206" s="16" t="n">
        <v>19.6</v>
      </c>
      <c r="AE206" s="13" t="n">
        <v>0.39</v>
      </c>
      <c r="AF206" s="13" t="n">
        <v>0.579</v>
      </c>
      <c r="AG206" s="13" t="n">
        <v>0.349</v>
      </c>
      <c r="AH206" s="13" t="n">
        <v>0.218</v>
      </c>
      <c r="AI206" s="17" t="n">
        <v>4.65</v>
      </c>
    </row>
    <row r="207" customFormat="false" ht="15" hidden="false" customHeight="false" outlineLevel="0" collapsed="false">
      <c r="A207" s="10" t="n">
        <v>45261</v>
      </c>
      <c r="B207" s="11" t="n">
        <f aca="false">YEAR(A207)</f>
        <v>2023</v>
      </c>
      <c r="C207" s="11" t="str">
        <f aca="false">"Q"&amp;ROUNDUP(MONTH(A207)/3,0)</f>
        <v>Q4</v>
      </c>
      <c r="D207" s="11" t="str">
        <f aca="false">B207&amp;"-"&amp;C207</f>
        <v>2023-Q4</v>
      </c>
      <c r="E207" s="11" t="n">
        <f aca="false">MONTH(A207)</f>
        <v>12</v>
      </c>
      <c r="F207" s="11" t="str">
        <f aca="false">TEXT(A207,"mmm")</f>
        <v>Dec</v>
      </c>
      <c r="G207" s="11" t="s">
        <v>207</v>
      </c>
      <c r="H207" s="11" t="s">
        <v>204</v>
      </c>
      <c r="I207" s="12" t="n">
        <v>8548409</v>
      </c>
      <c r="J207" s="12" t="n">
        <v>2387441</v>
      </c>
      <c r="K207" s="13" t="n">
        <f aca="false">IF(I207=0,0,J207/I207)</f>
        <v>0.279284835341875</v>
      </c>
      <c r="L207" s="12" t="n">
        <v>907188</v>
      </c>
      <c r="M207" s="12" t="n">
        <v>258105</v>
      </c>
      <c r="N207" s="12" t="n">
        <v>25203</v>
      </c>
      <c r="O207" s="12" t="n">
        <v>4232</v>
      </c>
      <c r="P207" s="12" t="n">
        <f aca="false">M207+N207+O207</f>
        <v>287540</v>
      </c>
      <c r="Q207" s="13" t="n">
        <f aca="false">IF(I207=0,0,P207/I207)</f>
        <v>0.0336366685309512</v>
      </c>
      <c r="R207" s="13" t="n">
        <v>0.0436</v>
      </c>
      <c r="S207" s="14" t="n">
        <v>1971713</v>
      </c>
      <c r="T207" s="14" t="n">
        <v>165657</v>
      </c>
      <c r="U207" s="14" t="n">
        <v>74812</v>
      </c>
      <c r="V207" s="14" t="n">
        <v>145139</v>
      </c>
      <c r="W207" s="14" t="n">
        <f aca="false">S207+T207+U207+V207</f>
        <v>2357321</v>
      </c>
      <c r="X207" s="15" t="n">
        <f aca="false">IF(P207=0,0,S207/P207)</f>
        <v>6.85717813173819</v>
      </c>
      <c r="Y207" s="15" t="n">
        <f aca="false">IF(J207=0,0,W207/J207)</f>
        <v>0.987383981426138</v>
      </c>
      <c r="Z207" s="14" t="n">
        <v>446824</v>
      </c>
      <c r="AA207" s="15" t="n">
        <f aca="false">IF(L207=0,0,Z207/L207)</f>
        <v>0.49253737924223</v>
      </c>
      <c r="AB207" s="12" t="n">
        <v>185120872</v>
      </c>
      <c r="AC207" s="16" t="n">
        <v>12</v>
      </c>
      <c r="AD207" s="16" t="n">
        <v>20.6</v>
      </c>
      <c r="AE207" s="13" t="n">
        <v>0.386</v>
      </c>
      <c r="AF207" s="13" t="n">
        <v>0.579</v>
      </c>
      <c r="AG207" s="13" t="n">
        <v>0.337</v>
      </c>
      <c r="AH207" s="13" t="n">
        <v>0.196</v>
      </c>
      <c r="AI207" s="17" t="n">
        <v>4.65</v>
      </c>
    </row>
    <row r="208" customFormat="false" ht="15" hidden="false" customHeight="false" outlineLevel="0" collapsed="false">
      <c r="A208" s="10" t="n">
        <v>45261</v>
      </c>
      <c r="B208" s="11" t="n">
        <f aca="false">YEAR(A208)</f>
        <v>2023</v>
      </c>
      <c r="C208" s="11" t="str">
        <f aca="false">"Q"&amp;ROUNDUP(MONTH(A208)/3,0)</f>
        <v>Q4</v>
      </c>
      <c r="D208" s="11" t="str">
        <f aca="false">B208&amp;"-"&amp;C208</f>
        <v>2023-Q4</v>
      </c>
      <c r="E208" s="11" t="n">
        <f aca="false">MONTH(A208)</f>
        <v>12</v>
      </c>
      <c r="F208" s="11" t="str">
        <f aca="false">TEXT(A208,"mmm")</f>
        <v>Dec</v>
      </c>
      <c r="G208" s="11" t="s">
        <v>207</v>
      </c>
      <c r="H208" s="11" t="s">
        <v>205</v>
      </c>
      <c r="I208" s="12" t="n">
        <v>2303179</v>
      </c>
      <c r="J208" s="12" t="n">
        <v>586880</v>
      </c>
      <c r="K208" s="13" t="n">
        <f aca="false">IF(I208=0,0,J208/I208)</f>
        <v>0.254813021480311</v>
      </c>
      <c r="L208" s="12" t="n">
        <v>263206</v>
      </c>
      <c r="M208" s="12" t="n">
        <v>63827</v>
      </c>
      <c r="N208" s="12" t="n">
        <v>5856</v>
      </c>
      <c r="O208" s="12" t="n">
        <v>691</v>
      </c>
      <c r="P208" s="12" t="n">
        <f aca="false">M208+N208+O208</f>
        <v>70374</v>
      </c>
      <c r="Q208" s="13" t="n">
        <f aca="false">IF(I208=0,0,P208/I208)</f>
        <v>0.0305551587609995</v>
      </c>
      <c r="R208" s="13" t="n">
        <v>0.0456</v>
      </c>
      <c r="S208" s="14" t="n">
        <v>478199</v>
      </c>
      <c r="T208" s="14" t="n">
        <v>47142</v>
      </c>
      <c r="U208" s="14" t="n">
        <v>19683</v>
      </c>
      <c r="V208" s="14" t="n">
        <v>36004</v>
      </c>
      <c r="W208" s="14" t="n">
        <f aca="false">S208+T208+U208+V208</f>
        <v>581028</v>
      </c>
      <c r="X208" s="15" t="n">
        <f aca="false">IF(P208=0,0,S208/P208)</f>
        <v>6.7951089891153</v>
      </c>
      <c r="Y208" s="15" t="n">
        <f aca="false">IF(J208=0,0,W208/J208)</f>
        <v>0.990028625954199</v>
      </c>
      <c r="Z208" s="14" t="n">
        <v>98979</v>
      </c>
      <c r="AA208" s="15" t="n">
        <f aca="false">IF(L208=0,0,Z208/L208)</f>
        <v>0.376051457793515</v>
      </c>
      <c r="AB208" s="12" t="n">
        <v>46873211</v>
      </c>
      <c r="AC208" s="16" t="n">
        <v>10.9</v>
      </c>
      <c r="AD208" s="16" t="n">
        <v>20.6</v>
      </c>
      <c r="AE208" s="13" t="n">
        <v>0.393</v>
      </c>
      <c r="AF208" s="13" t="n">
        <v>0.584</v>
      </c>
      <c r="AG208" s="13" t="n">
        <v>0.351</v>
      </c>
      <c r="AH208" s="13" t="n">
        <v>0.202</v>
      </c>
      <c r="AI208" s="17"/>
    </row>
    <row r="209" customFormat="false" ht="15" hidden="false" customHeight="false" outlineLevel="0" collapsed="false">
      <c r="A209" s="10" t="n">
        <v>45261</v>
      </c>
      <c r="B209" s="11" t="n">
        <f aca="false">YEAR(A209)</f>
        <v>2023</v>
      </c>
      <c r="C209" s="11" t="str">
        <f aca="false">"Q"&amp;ROUNDUP(MONTH(A209)/3,0)</f>
        <v>Q4</v>
      </c>
      <c r="D209" s="11" t="str">
        <f aca="false">B209&amp;"-"&amp;C209</f>
        <v>2023-Q4</v>
      </c>
      <c r="E209" s="11" t="n">
        <f aca="false">MONTH(A209)</f>
        <v>12</v>
      </c>
      <c r="F209" s="11" t="str">
        <f aca="false">TEXT(A209,"mmm")</f>
        <v>Dec</v>
      </c>
      <c r="G209" s="11" t="s">
        <v>208</v>
      </c>
      <c r="H209" s="11" t="s">
        <v>203</v>
      </c>
      <c r="I209" s="12" t="n">
        <v>6006725</v>
      </c>
      <c r="J209" s="12" t="n">
        <v>1929959</v>
      </c>
      <c r="K209" s="13" t="n">
        <f aca="false">IF(I209=0,0,J209/I209)</f>
        <v>0.321299709908478</v>
      </c>
      <c r="L209" s="12" t="n">
        <v>671003</v>
      </c>
      <c r="M209" s="12" t="n">
        <v>213544</v>
      </c>
      <c r="N209" s="12" t="n">
        <v>23337</v>
      </c>
      <c r="O209" s="12" t="n">
        <v>3368</v>
      </c>
      <c r="P209" s="12" t="n">
        <f aca="false">M209+N209+O209</f>
        <v>240249</v>
      </c>
      <c r="Q209" s="13" t="n">
        <f aca="false">IF(I209=0,0,P209/I209)</f>
        <v>0.0399966703985949</v>
      </c>
      <c r="R209" s="13" t="n">
        <v>0.0426</v>
      </c>
      <c r="S209" s="14" t="n">
        <v>1559220</v>
      </c>
      <c r="T209" s="14" t="n">
        <v>141877</v>
      </c>
      <c r="U209" s="14" t="n">
        <v>62986</v>
      </c>
      <c r="V209" s="14" t="n">
        <v>109260</v>
      </c>
      <c r="W209" s="14" t="n">
        <f aca="false">S209+T209+U209+V209</f>
        <v>1873343</v>
      </c>
      <c r="X209" s="15" t="n">
        <f aca="false">IF(P209=0,0,S209/P209)</f>
        <v>6.49001660776944</v>
      </c>
      <c r="Y209" s="15" t="n">
        <f aca="false">IF(J209=0,0,W209/J209)</f>
        <v>0.970664661788152</v>
      </c>
      <c r="Z209" s="14" t="n">
        <v>375201</v>
      </c>
      <c r="AA209" s="15" t="n">
        <f aca="false">IF(L209=0,0,Z209/L209)</f>
        <v>0.559164415062228</v>
      </c>
      <c r="AB209" s="12" t="n">
        <v>152397093</v>
      </c>
      <c r="AC209" s="16" t="n">
        <v>12.3</v>
      </c>
      <c r="AD209" s="16" t="n">
        <v>19</v>
      </c>
      <c r="AE209" s="13" t="n">
        <v>0.401</v>
      </c>
      <c r="AF209" s="13" t="n">
        <v>0.566</v>
      </c>
      <c r="AG209" s="13" t="n">
        <v>0.343</v>
      </c>
      <c r="AH209" s="13" t="n">
        <v>0.193</v>
      </c>
      <c r="AI209" s="17" t="n">
        <v>4.66</v>
      </c>
    </row>
    <row r="210" customFormat="false" ht="15" hidden="false" customHeight="false" outlineLevel="0" collapsed="false">
      <c r="A210" s="10" t="n">
        <v>45261</v>
      </c>
      <c r="B210" s="11" t="n">
        <f aca="false">YEAR(A210)</f>
        <v>2023</v>
      </c>
      <c r="C210" s="11" t="str">
        <f aca="false">"Q"&amp;ROUNDUP(MONTH(A210)/3,0)</f>
        <v>Q4</v>
      </c>
      <c r="D210" s="11" t="str">
        <f aca="false">B210&amp;"-"&amp;C210</f>
        <v>2023-Q4</v>
      </c>
      <c r="E210" s="11" t="n">
        <f aca="false">MONTH(A210)</f>
        <v>12</v>
      </c>
      <c r="F210" s="11" t="str">
        <f aca="false">TEXT(A210,"mmm")</f>
        <v>Dec</v>
      </c>
      <c r="G210" s="11" t="s">
        <v>208</v>
      </c>
      <c r="H210" s="11" t="s">
        <v>204</v>
      </c>
      <c r="I210" s="12" t="n">
        <v>6986171</v>
      </c>
      <c r="J210" s="12" t="n">
        <v>2077809</v>
      </c>
      <c r="K210" s="13" t="n">
        <f aca="false">IF(I210=0,0,J210/I210)</f>
        <v>0.297417426513036</v>
      </c>
      <c r="L210" s="12" t="n">
        <v>865614</v>
      </c>
      <c r="M210" s="12" t="n">
        <v>122221</v>
      </c>
      <c r="N210" s="12" t="n">
        <v>11691</v>
      </c>
      <c r="O210" s="12" t="n">
        <v>1423</v>
      </c>
      <c r="P210" s="12" t="n">
        <f aca="false">M210+N210+O210</f>
        <v>135335</v>
      </c>
      <c r="Q210" s="13" t="n">
        <f aca="false">IF(I210=0,0,P210/I210)</f>
        <v>0.0193718418859201</v>
      </c>
      <c r="R210" s="13" t="n">
        <v>0.0453</v>
      </c>
      <c r="S210" s="14" t="n">
        <v>910804</v>
      </c>
      <c r="T210" s="14" t="n">
        <v>87909</v>
      </c>
      <c r="U210" s="14" t="n">
        <v>40105</v>
      </c>
      <c r="V210" s="14" t="n">
        <v>63370</v>
      </c>
      <c r="W210" s="14" t="n">
        <f aca="false">S210+T210+U210+V210</f>
        <v>1102188</v>
      </c>
      <c r="X210" s="15" t="n">
        <f aca="false">IF(P210=0,0,S210/P210)</f>
        <v>6.72999593601064</v>
      </c>
      <c r="Y210" s="15" t="n">
        <f aca="false">IF(J210=0,0,W210/J210)</f>
        <v>0.53045684179826</v>
      </c>
      <c r="Z210" s="14" t="n">
        <v>201954</v>
      </c>
      <c r="AA210" s="15" t="n">
        <f aca="false">IF(L210=0,0,Z210/L210)</f>
        <v>0.233307224698307</v>
      </c>
      <c r="AB210" s="12" t="n">
        <v>167639611</v>
      </c>
      <c r="AC210" s="16" t="n">
        <v>11.9</v>
      </c>
      <c r="AD210" s="16" t="n">
        <v>21.2</v>
      </c>
      <c r="AE210" s="13" t="n">
        <v>0.383</v>
      </c>
      <c r="AF210" s="13" t="n">
        <v>0.572</v>
      </c>
      <c r="AG210" s="13" t="n">
        <v>0.341</v>
      </c>
      <c r="AH210" s="13" t="n">
        <v>0.202</v>
      </c>
      <c r="AI210" s="17" t="n">
        <v>4.62</v>
      </c>
    </row>
    <row r="211" customFormat="false" ht="15" hidden="false" customHeight="false" outlineLevel="0" collapsed="false">
      <c r="A211" s="10" t="n">
        <v>45261</v>
      </c>
      <c r="B211" s="11" t="n">
        <f aca="false">YEAR(A211)</f>
        <v>2023</v>
      </c>
      <c r="C211" s="11" t="str">
        <f aca="false">"Q"&amp;ROUNDUP(MONTH(A211)/3,0)</f>
        <v>Q4</v>
      </c>
      <c r="D211" s="11" t="str">
        <f aca="false">B211&amp;"-"&amp;C211</f>
        <v>2023-Q4</v>
      </c>
      <c r="E211" s="11" t="n">
        <f aca="false">MONTH(A211)</f>
        <v>12</v>
      </c>
      <c r="F211" s="11" t="str">
        <f aca="false">TEXT(A211,"mmm")</f>
        <v>Dec</v>
      </c>
      <c r="G211" s="11" t="s">
        <v>208</v>
      </c>
      <c r="H211" s="11" t="s">
        <v>205</v>
      </c>
      <c r="I211" s="12" t="n">
        <v>1966624</v>
      </c>
      <c r="J211" s="12" t="n">
        <v>534869</v>
      </c>
      <c r="K211" s="13" t="n">
        <f aca="false">IF(I211=0,0,J211/I211)</f>
        <v>0.271973188570871</v>
      </c>
      <c r="L211" s="12" t="n">
        <v>235282</v>
      </c>
      <c r="M211" s="12" t="n">
        <v>33418</v>
      </c>
      <c r="N211" s="12" t="n">
        <v>3100</v>
      </c>
      <c r="O211" s="12" t="n">
        <v>258</v>
      </c>
      <c r="P211" s="12" t="n">
        <f aca="false">M211+N211+O211</f>
        <v>36776</v>
      </c>
      <c r="Q211" s="13" t="n">
        <f aca="false">IF(I211=0,0,P211/I211)</f>
        <v>0.0187000667133117</v>
      </c>
      <c r="R211" s="13" t="n">
        <v>0.0425</v>
      </c>
      <c r="S211" s="14" t="n">
        <v>259734</v>
      </c>
      <c r="T211" s="14" t="n">
        <v>20950</v>
      </c>
      <c r="U211" s="14" t="n">
        <v>10154</v>
      </c>
      <c r="V211" s="14" t="n">
        <v>17240</v>
      </c>
      <c r="W211" s="14" t="n">
        <f aca="false">S211+T211+U211+V211</f>
        <v>308078</v>
      </c>
      <c r="X211" s="15" t="n">
        <f aca="false">IF(P211=0,0,S211/P211)</f>
        <v>7.06259517076354</v>
      </c>
      <c r="Y211" s="15" t="n">
        <f aca="false">IF(J211=0,0,W211/J211)</f>
        <v>0.575987765228495</v>
      </c>
      <c r="Z211" s="14" t="n">
        <v>52558</v>
      </c>
      <c r="AA211" s="15" t="n">
        <f aca="false">IF(L211=0,0,Z211/L211)</f>
        <v>0.223383004224718</v>
      </c>
      <c r="AB211" s="12" t="n">
        <v>40894264</v>
      </c>
      <c r="AC211" s="16" t="n">
        <v>10.8</v>
      </c>
      <c r="AD211" s="16" t="n">
        <v>19.7</v>
      </c>
      <c r="AE211" s="13" t="n">
        <v>0.394</v>
      </c>
      <c r="AF211" s="13" t="n">
        <v>0.581</v>
      </c>
      <c r="AG211" s="13" t="n">
        <v>0.342</v>
      </c>
      <c r="AH211" s="13" t="n">
        <v>0.208</v>
      </c>
      <c r="AI211" s="17"/>
    </row>
    <row r="212" customFormat="false" ht="15" hidden="false" customHeight="false" outlineLevel="0" collapsed="false">
      <c r="A212" s="10" t="n">
        <v>45261</v>
      </c>
      <c r="B212" s="11" t="n">
        <f aca="false">YEAR(A212)</f>
        <v>2023</v>
      </c>
      <c r="C212" s="11" t="str">
        <f aca="false">"Q"&amp;ROUNDUP(MONTH(A212)/3,0)</f>
        <v>Q4</v>
      </c>
      <c r="D212" s="11" t="str">
        <f aca="false">B212&amp;"-"&amp;C212</f>
        <v>2023-Q4</v>
      </c>
      <c r="E212" s="11" t="n">
        <f aca="false">MONTH(A212)</f>
        <v>12</v>
      </c>
      <c r="F212" s="11" t="str">
        <f aca="false">TEXT(A212,"mmm")</f>
        <v>Dec</v>
      </c>
      <c r="G212" s="11" t="s">
        <v>209</v>
      </c>
      <c r="H212" s="11" t="s">
        <v>203</v>
      </c>
      <c r="I212" s="12" t="n">
        <v>3061603</v>
      </c>
      <c r="J212" s="12" t="n">
        <v>930030</v>
      </c>
      <c r="K212" s="13" t="n">
        <f aca="false">IF(I212=0,0,J212/I212)</f>
        <v>0.303772239575151</v>
      </c>
      <c r="L212" s="12" t="n">
        <v>368586</v>
      </c>
      <c r="M212" s="12" t="n">
        <v>82869</v>
      </c>
      <c r="N212" s="12" t="n">
        <v>8107</v>
      </c>
      <c r="O212" s="12" t="n">
        <v>1032</v>
      </c>
      <c r="P212" s="12" t="n">
        <f aca="false">M212+N212+O212</f>
        <v>92008</v>
      </c>
      <c r="Q212" s="13" t="n">
        <f aca="false">IF(I212=0,0,P212/I212)</f>
        <v>0.0300522308085013</v>
      </c>
      <c r="R212" s="13" t="n">
        <v>0.0432</v>
      </c>
      <c r="S212" s="14" t="n">
        <v>617167</v>
      </c>
      <c r="T212" s="14" t="n">
        <v>53142</v>
      </c>
      <c r="U212" s="14" t="n">
        <v>23394</v>
      </c>
      <c r="V212" s="14" t="n">
        <v>46649</v>
      </c>
      <c r="W212" s="14" t="n">
        <f aca="false">S212+T212+U212+V212</f>
        <v>740352</v>
      </c>
      <c r="X212" s="15" t="n">
        <f aca="false">IF(P212=0,0,S212/P212)</f>
        <v>6.7077536735936</v>
      </c>
      <c r="Y212" s="15" t="n">
        <f aca="false">IF(J212=0,0,W212/J212)</f>
        <v>0.796051740266443</v>
      </c>
      <c r="Z212" s="14" t="n">
        <v>139125</v>
      </c>
      <c r="AA212" s="15" t="n">
        <f aca="false">IF(L212=0,0,Z212/L212)</f>
        <v>0.37745600755319</v>
      </c>
      <c r="AB212" s="12" t="n">
        <v>73422465</v>
      </c>
      <c r="AC212" s="16" t="n">
        <v>12.2</v>
      </c>
      <c r="AD212" s="16" t="n">
        <v>20.8</v>
      </c>
      <c r="AE212" s="13" t="n">
        <v>0.38</v>
      </c>
      <c r="AF212" s="13" t="n">
        <v>0.572</v>
      </c>
      <c r="AG212" s="13" t="n">
        <v>0.342</v>
      </c>
      <c r="AH212" s="13" t="n">
        <v>0.201</v>
      </c>
      <c r="AI212" s="17" t="n">
        <v>4.69</v>
      </c>
    </row>
    <row r="213" customFormat="false" ht="15" hidden="false" customHeight="false" outlineLevel="0" collapsed="false">
      <c r="A213" s="10" t="n">
        <v>45261</v>
      </c>
      <c r="B213" s="11" t="n">
        <f aca="false">YEAR(A213)</f>
        <v>2023</v>
      </c>
      <c r="C213" s="11" t="str">
        <f aca="false">"Q"&amp;ROUNDUP(MONTH(A213)/3,0)</f>
        <v>Q4</v>
      </c>
      <c r="D213" s="11" t="str">
        <f aca="false">B213&amp;"-"&amp;C213</f>
        <v>2023-Q4</v>
      </c>
      <c r="E213" s="11" t="n">
        <f aca="false">MONTH(A213)</f>
        <v>12</v>
      </c>
      <c r="F213" s="11" t="str">
        <f aca="false">TEXT(A213,"mmm")</f>
        <v>Dec</v>
      </c>
      <c r="G213" s="11" t="s">
        <v>209</v>
      </c>
      <c r="H213" s="11" t="s">
        <v>204</v>
      </c>
      <c r="I213" s="12" t="n">
        <v>4064784</v>
      </c>
      <c r="J213" s="12" t="n">
        <v>1171404</v>
      </c>
      <c r="K213" s="13" t="n">
        <f aca="false">IF(I213=0,0,J213/I213)</f>
        <v>0.288183578758429</v>
      </c>
      <c r="L213" s="12" t="n">
        <v>481377</v>
      </c>
      <c r="M213" s="12" t="n">
        <v>44955</v>
      </c>
      <c r="N213" s="12" t="n">
        <v>4409</v>
      </c>
      <c r="O213" s="12" t="n">
        <v>419</v>
      </c>
      <c r="P213" s="12" t="n">
        <f aca="false">M213+N213+O213</f>
        <v>49783</v>
      </c>
      <c r="Q213" s="13" t="n">
        <f aca="false">IF(I213=0,0,P213/I213)</f>
        <v>0.012247391251294</v>
      </c>
      <c r="R213" s="13" t="n">
        <v>0.0468</v>
      </c>
      <c r="S213" s="14" t="n">
        <v>363171</v>
      </c>
      <c r="T213" s="14" t="n">
        <v>30049</v>
      </c>
      <c r="U213" s="14" t="n">
        <v>13398</v>
      </c>
      <c r="V213" s="14" t="n">
        <v>25299</v>
      </c>
      <c r="W213" s="14" t="n">
        <f aca="false">S213+T213+U213+V213</f>
        <v>431917</v>
      </c>
      <c r="X213" s="15" t="n">
        <f aca="false">IF(P213=0,0,S213/P213)</f>
        <v>7.29508065002109</v>
      </c>
      <c r="Y213" s="15" t="n">
        <f aca="false">IF(J213=0,0,W213/J213)</f>
        <v>0.368717368217968</v>
      </c>
      <c r="Z213" s="14" t="n">
        <v>80793</v>
      </c>
      <c r="AA213" s="15" t="n">
        <f aca="false">IF(L213=0,0,Z213/L213)</f>
        <v>0.167837266840751</v>
      </c>
      <c r="AB213" s="12" t="n">
        <v>89130705</v>
      </c>
      <c r="AC213" s="16" t="n">
        <v>11.8</v>
      </c>
      <c r="AD213" s="16" t="n">
        <v>21.2</v>
      </c>
      <c r="AE213" s="13" t="n">
        <v>0.39</v>
      </c>
      <c r="AF213" s="13" t="n">
        <v>0.565</v>
      </c>
      <c r="AG213" s="13" t="n">
        <v>0.355</v>
      </c>
      <c r="AH213" s="13" t="n">
        <v>0.197</v>
      </c>
      <c r="AI213" s="17" t="n">
        <v>4.64</v>
      </c>
    </row>
    <row r="214" customFormat="false" ht="15" hidden="false" customHeight="false" outlineLevel="0" collapsed="false">
      <c r="A214" s="10" t="n">
        <v>45261</v>
      </c>
      <c r="B214" s="11" t="n">
        <f aca="false">YEAR(A214)</f>
        <v>2023</v>
      </c>
      <c r="C214" s="11" t="str">
        <f aca="false">"Q"&amp;ROUNDUP(MONTH(A214)/3,0)</f>
        <v>Q4</v>
      </c>
      <c r="D214" s="11" t="str">
        <f aca="false">B214&amp;"-"&amp;C214</f>
        <v>2023-Q4</v>
      </c>
      <c r="E214" s="11" t="n">
        <f aca="false">MONTH(A214)</f>
        <v>12</v>
      </c>
      <c r="F214" s="11" t="str">
        <f aca="false">TEXT(A214,"mmm")</f>
        <v>Dec</v>
      </c>
      <c r="G214" s="11" t="s">
        <v>209</v>
      </c>
      <c r="H214" s="11" t="s">
        <v>205</v>
      </c>
      <c r="I214" s="12" t="n">
        <v>1187029</v>
      </c>
      <c r="J214" s="12" t="n">
        <v>315909</v>
      </c>
      <c r="K214" s="13" t="n">
        <f aca="false">IF(I214=0,0,J214/I214)</f>
        <v>0.266134188802464</v>
      </c>
      <c r="L214" s="12" t="n">
        <v>148395</v>
      </c>
      <c r="M214" s="12" t="n">
        <v>12050</v>
      </c>
      <c r="N214" s="12" t="n">
        <v>1271</v>
      </c>
      <c r="O214" s="12" t="n">
        <v>75</v>
      </c>
      <c r="P214" s="12" t="n">
        <f aca="false">M214+N214+O214</f>
        <v>13396</v>
      </c>
      <c r="Q214" s="13" t="n">
        <f aca="false">IF(I214=0,0,P214/I214)</f>
        <v>0.0112853182188472</v>
      </c>
      <c r="R214" s="13" t="n">
        <v>0.0473</v>
      </c>
      <c r="S214" s="14" t="n">
        <v>88242</v>
      </c>
      <c r="T214" s="14" t="n">
        <v>8251</v>
      </c>
      <c r="U214" s="14" t="n">
        <v>3308</v>
      </c>
      <c r="V214" s="14" t="n">
        <v>6120</v>
      </c>
      <c r="W214" s="14" t="n">
        <f aca="false">S214+T214+U214+V214</f>
        <v>105921</v>
      </c>
      <c r="X214" s="15" t="n">
        <f aca="false">IF(P214=0,0,S214/P214)</f>
        <v>6.58719020603165</v>
      </c>
      <c r="Y214" s="15" t="n">
        <f aca="false">IF(J214=0,0,W214/J214)</f>
        <v>0.335289592889092</v>
      </c>
      <c r="Z214" s="14" t="n">
        <v>21792</v>
      </c>
      <c r="AA214" s="15" t="n">
        <f aca="false">IF(L214=0,0,Z214/L214)</f>
        <v>0.146851309006368</v>
      </c>
      <c r="AB214" s="12" t="n">
        <v>23914173</v>
      </c>
      <c r="AC214" s="16" t="n">
        <v>10.8</v>
      </c>
      <c r="AD214" s="16" t="n">
        <v>20.2</v>
      </c>
      <c r="AE214" s="13" t="n">
        <v>0.406</v>
      </c>
      <c r="AF214" s="13" t="n">
        <v>0.583</v>
      </c>
      <c r="AG214" s="13" t="n">
        <v>0.334</v>
      </c>
      <c r="AH214" s="13" t="n">
        <v>0.205</v>
      </c>
      <c r="AI214" s="17"/>
    </row>
    <row r="215" customFormat="false" ht="15" hidden="false" customHeight="false" outlineLevel="0" collapsed="false">
      <c r="A215" s="10" t="n">
        <v>45261</v>
      </c>
      <c r="B215" s="11" t="n">
        <f aca="false">YEAR(A215)</f>
        <v>2023</v>
      </c>
      <c r="C215" s="11" t="str">
        <f aca="false">"Q"&amp;ROUNDUP(MONTH(A215)/3,0)</f>
        <v>Q4</v>
      </c>
      <c r="D215" s="11" t="str">
        <f aca="false">B215&amp;"-"&amp;C215</f>
        <v>2023-Q4</v>
      </c>
      <c r="E215" s="11" t="n">
        <f aca="false">MONTH(A215)</f>
        <v>12</v>
      </c>
      <c r="F215" s="11" t="str">
        <f aca="false">TEXT(A215,"mmm")</f>
        <v>Dec</v>
      </c>
      <c r="G215" s="11" t="s">
        <v>210</v>
      </c>
      <c r="H215" s="11" t="s">
        <v>203</v>
      </c>
      <c r="I215" s="12" t="n">
        <v>5179314</v>
      </c>
      <c r="J215" s="12" t="n">
        <v>1582147</v>
      </c>
      <c r="K215" s="13" t="n">
        <f aca="false">IF(I215=0,0,J215/I215)</f>
        <v>0.305474238480231</v>
      </c>
      <c r="L215" s="12" t="n">
        <v>617016</v>
      </c>
      <c r="M215" s="12" t="n">
        <v>163654</v>
      </c>
      <c r="N215" s="12" t="n">
        <v>15386</v>
      </c>
      <c r="O215" s="12" t="n">
        <v>2031</v>
      </c>
      <c r="P215" s="12" t="n">
        <f aca="false">M215+N215+O215</f>
        <v>181071</v>
      </c>
      <c r="Q215" s="13" t="n">
        <f aca="false">IF(I215=0,0,P215/I215)</f>
        <v>0.0349604213994363</v>
      </c>
      <c r="R215" s="13" t="n">
        <v>0.0467</v>
      </c>
      <c r="S215" s="14" t="n">
        <v>1270245</v>
      </c>
      <c r="T215" s="14" t="n">
        <v>118090</v>
      </c>
      <c r="U215" s="14" t="n">
        <v>52539</v>
      </c>
      <c r="V215" s="14" t="n">
        <v>97389</v>
      </c>
      <c r="W215" s="14" t="n">
        <f aca="false">S215+T215+U215+V215</f>
        <v>1538263</v>
      </c>
      <c r="X215" s="15" t="n">
        <f aca="false">IF(P215=0,0,S215/P215)</f>
        <v>7.01517636728134</v>
      </c>
      <c r="Y215" s="15" t="n">
        <f aca="false">IF(J215=0,0,W215/J215)</f>
        <v>0.972263007166844</v>
      </c>
      <c r="Z215" s="14" t="n">
        <v>252878</v>
      </c>
      <c r="AA215" s="15" t="n">
        <f aca="false">IF(L215=0,0,Z215/L215)</f>
        <v>0.409840263461563</v>
      </c>
      <c r="AB215" s="12" t="n">
        <v>111486242</v>
      </c>
      <c r="AC215" s="16" t="n">
        <v>12.5</v>
      </c>
      <c r="AD215" s="16" t="n">
        <v>21</v>
      </c>
      <c r="AE215" s="13" t="n">
        <v>0.409</v>
      </c>
      <c r="AF215" s="13" t="n">
        <v>0.569</v>
      </c>
      <c r="AG215" s="13" t="n">
        <v>0.352</v>
      </c>
      <c r="AH215" s="13" t="n">
        <v>0.201</v>
      </c>
      <c r="AI215" s="17" t="n">
        <v>4.69</v>
      </c>
    </row>
    <row r="216" customFormat="false" ht="15" hidden="false" customHeight="false" outlineLevel="0" collapsed="false">
      <c r="A216" s="10" t="n">
        <v>45261</v>
      </c>
      <c r="B216" s="11" t="n">
        <f aca="false">YEAR(A216)</f>
        <v>2023</v>
      </c>
      <c r="C216" s="11" t="str">
        <f aca="false">"Q"&amp;ROUNDUP(MONTH(A216)/3,0)</f>
        <v>Q4</v>
      </c>
      <c r="D216" s="11" t="str">
        <f aca="false">B216&amp;"-"&amp;C216</f>
        <v>2023-Q4</v>
      </c>
      <c r="E216" s="11" t="n">
        <f aca="false">MONTH(A216)</f>
        <v>12</v>
      </c>
      <c r="F216" s="11" t="str">
        <f aca="false">TEXT(A216,"mmm")</f>
        <v>Dec</v>
      </c>
      <c r="G216" s="11" t="s">
        <v>210</v>
      </c>
      <c r="H216" s="11" t="s">
        <v>204</v>
      </c>
      <c r="I216" s="12" t="n">
        <v>6411343</v>
      </c>
      <c r="J216" s="12" t="n">
        <v>1818874</v>
      </c>
      <c r="K216" s="13" t="n">
        <f aca="false">IF(I216=0,0,J216/I216)</f>
        <v>0.283696255215171</v>
      </c>
      <c r="L216" s="12" t="n">
        <v>816826</v>
      </c>
      <c r="M216" s="12" t="n">
        <v>94468</v>
      </c>
      <c r="N216" s="12" t="n">
        <v>8744</v>
      </c>
      <c r="O216" s="12" t="n">
        <v>875</v>
      </c>
      <c r="P216" s="12" t="n">
        <f aca="false">M216+N216+O216</f>
        <v>104087</v>
      </c>
      <c r="Q216" s="13" t="n">
        <f aca="false">IF(I216=0,0,P216/I216)</f>
        <v>0.0162348200681199</v>
      </c>
      <c r="R216" s="13" t="n">
        <v>0.044</v>
      </c>
      <c r="S216" s="14" t="n">
        <v>660485</v>
      </c>
      <c r="T216" s="14" t="n">
        <v>53730</v>
      </c>
      <c r="U216" s="14" t="n">
        <v>25155</v>
      </c>
      <c r="V216" s="14" t="n">
        <v>45737</v>
      </c>
      <c r="W216" s="14" t="n">
        <f aca="false">S216+T216+U216+V216</f>
        <v>785107</v>
      </c>
      <c r="X216" s="15" t="n">
        <f aca="false">IF(P216=0,0,S216/P216)</f>
        <v>6.34550904531786</v>
      </c>
      <c r="Y216" s="15" t="n">
        <f aca="false">IF(J216=0,0,W216/J216)</f>
        <v>0.431644522930121</v>
      </c>
      <c r="Z216" s="14" t="n">
        <v>150068</v>
      </c>
      <c r="AA216" s="15" t="n">
        <f aca="false">IF(L216=0,0,Z216/L216)</f>
        <v>0.183720890373225</v>
      </c>
      <c r="AB216" s="12" t="n">
        <v>134233751</v>
      </c>
      <c r="AC216" s="16" t="n">
        <v>12.3</v>
      </c>
      <c r="AD216" s="16" t="n">
        <v>21.1</v>
      </c>
      <c r="AE216" s="13" t="n">
        <v>0.39</v>
      </c>
      <c r="AF216" s="13" t="n">
        <v>0.569</v>
      </c>
      <c r="AG216" s="13" t="n">
        <v>0.352</v>
      </c>
      <c r="AH216" s="13" t="n">
        <v>0.206</v>
      </c>
      <c r="AI216" s="17" t="n">
        <v>4.61</v>
      </c>
    </row>
    <row r="217" customFormat="false" ht="15" hidden="false" customHeight="false" outlineLevel="0" collapsed="false">
      <c r="A217" s="10" t="n">
        <v>45261</v>
      </c>
      <c r="B217" s="11" t="n">
        <f aca="false">YEAR(A217)</f>
        <v>2023</v>
      </c>
      <c r="C217" s="11" t="str">
        <f aca="false">"Q"&amp;ROUNDUP(MONTH(A217)/3,0)</f>
        <v>Q4</v>
      </c>
      <c r="D217" s="11" t="str">
        <f aca="false">B217&amp;"-"&amp;C217</f>
        <v>2023-Q4</v>
      </c>
      <c r="E217" s="11" t="n">
        <f aca="false">MONTH(A217)</f>
        <v>12</v>
      </c>
      <c r="F217" s="11" t="str">
        <f aca="false">TEXT(A217,"mmm")</f>
        <v>Dec</v>
      </c>
      <c r="G217" s="11" t="s">
        <v>210</v>
      </c>
      <c r="H217" s="11" t="s">
        <v>205</v>
      </c>
      <c r="I217" s="12" t="n">
        <v>2110637</v>
      </c>
      <c r="J217" s="12" t="n">
        <v>534709</v>
      </c>
      <c r="K217" s="13" t="n">
        <f aca="false">IF(I217=0,0,J217/I217)</f>
        <v>0.253340105380508</v>
      </c>
      <c r="L217" s="12" t="n">
        <v>200040</v>
      </c>
      <c r="M217" s="12" t="n">
        <v>24735</v>
      </c>
      <c r="N217" s="12" t="n">
        <v>2175</v>
      </c>
      <c r="O217" s="12" t="n">
        <v>152</v>
      </c>
      <c r="P217" s="12" t="n">
        <f aca="false">M217+N217+O217</f>
        <v>27062</v>
      </c>
      <c r="Q217" s="13" t="n">
        <f aca="false">IF(I217=0,0,P217/I217)</f>
        <v>0.0128217215940022</v>
      </c>
      <c r="R217" s="13" t="n">
        <v>0.0447</v>
      </c>
      <c r="S217" s="14" t="n">
        <v>186096</v>
      </c>
      <c r="T217" s="14" t="n">
        <v>16295</v>
      </c>
      <c r="U217" s="14" t="n">
        <v>7112</v>
      </c>
      <c r="V217" s="14" t="n">
        <v>12762</v>
      </c>
      <c r="W217" s="14" t="n">
        <f aca="false">S217+T217+U217+V217</f>
        <v>222265</v>
      </c>
      <c r="X217" s="15" t="n">
        <f aca="false">IF(P217=0,0,S217/P217)</f>
        <v>6.87665361022837</v>
      </c>
      <c r="Y217" s="15" t="n">
        <f aca="false">IF(J217=0,0,W217/J217)</f>
        <v>0.415674694085942</v>
      </c>
      <c r="Z217" s="14" t="n">
        <v>37585</v>
      </c>
      <c r="AA217" s="15" t="n">
        <f aca="false">IF(L217=0,0,Z217/L217)</f>
        <v>0.187887422515497</v>
      </c>
      <c r="AB217" s="12" t="n">
        <v>40508077</v>
      </c>
      <c r="AC217" s="16" t="n">
        <v>10.6</v>
      </c>
      <c r="AD217" s="16" t="n">
        <v>21.5</v>
      </c>
      <c r="AE217" s="13" t="n">
        <v>0.385</v>
      </c>
      <c r="AF217" s="13" t="n">
        <v>0.567</v>
      </c>
      <c r="AG217" s="13" t="n">
        <v>0.348</v>
      </c>
      <c r="AH217" s="13" t="n">
        <v>0.196</v>
      </c>
      <c r="AI217" s="17"/>
    </row>
    <row r="218" customFormat="false" ht="15" hidden="false" customHeight="false" outlineLevel="0" collapsed="false">
      <c r="A218" s="10" t="n">
        <v>45292</v>
      </c>
      <c r="B218" s="11" t="n">
        <f aca="false">YEAR(A218)</f>
        <v>2024</v>
      </c>
      <c r="C218" s="11" t="str">
        <f aca="false">"Q"&amp;ROUNDUP(MONTH(A218)/3,0)</f>
        <v>Q1</v>
      </c>
      <c r="D218" s="11" t="str">
        <f aca="false">B218&amp;"-"&amp;C218</f>
        <v>2024-Q1</v>
      </c>
      <c r="E218" s="11" t="n">
        <f aca="false">MONTH(A218)</f>
        <v>1</v>
      </c>
      <c r="F218" s="11" t="str">
        <f aca="false">TEXT(A218,"mmm")</f>
        <v>Jan</v>
      </c>
      <c r="G218" s="11" t="s">
        <v>202</v>
      </c>
      <c r="H218" s="11" t="s">
        <v>203</v>
      </c>
      <c r="I218" s="12" t="n">
        <v>7825401</v>
      </c>
      <c r="J218" s="12" t="n">
        <v>2638094</v>
      </c>
      <c r="K218" s="13" t="n">
        <f aca="false">IF(I218=0,0,J218/I218)</f>
        <v>0.337119337398812</v>
      </c>
      <c r="L218" s="12" t="n">
        <v>1253107</v>
      </c>
      <c r="M218" s="12" t="n">
        <v>1558637</v>
      </c>
      <c r="N218" s="12" t="n">
        <v>157258</v>
      </c>
      <c r="O218" s="12" t="n">
        <v>88390</v>
      </c>
      <c r="P218" s="12" t="n">
        <f aca="false">M218+N218+O218</f>
        <v>1804285</v>
      </c>
      <c r="Q218" s="13" t="n">
        <f aca="false">IF(I218=0,0,P218/I218)</f>
        <v>0.230567737039929</v>
      </c>
      <c r="R218" s="13" t="n">
        <v>0.043</v>
      </c>
      <c r="S218" s="14" t="n">
        <v>11278505</v>
      </c>
      <c r="T218" s="14" t="n">
        <v>939390</v>
      </c>
      <c r="U218" s="14" t="n">
        <v>420694</v>
      </c>
      <c r="V218" s="14" t="n">
        <v>852094</v>
      </c>
      <c r="W218" s="14" t="n">
        <f aca="false">S218+T218+U218+V218</f>
        <v>13490683</v>
      </c>
      <c r="X218" s="15" t="n">
        <f aca="false">IF(P218=0,0,S218/P218)</f>
        <v>6.25095536459041</v>
      </c>
      <c r="Y218" s="15" t="n">
        <f aca="false">IF(J218=0,0,W218/J218)</f>
        <v>5.11379920503212</v>
      </c>
      <c r="Z218" s="14" t="n">
        <v>2438243</v>
      </c>
      <c r="AA218" s="15" t="n">
        <f aca="false">IF(L218=0,0,Z218/L218)</f>
        <v>1.9457580238559</v>
      </c>
      <c r="AB218" s="12" t="n">
        <v>200501926</v>
      </c>
      <c r="AC218" s="16" t="n">
        <v>12.3</v>
      </c>
      <c r="AD218" s="16" t="n">
        <v>20.7</v>
      </c>
      <c r="AE218" s="13" t="n">
        <v>0.388</v>
      </c>
      <c r="AF218" s="13" t="n">
        <v>0.595</v>
      </c>
      <c r="AG218" s="13" t="n">
        <v>0.344</v>
      </c>
      <c r="AH218" s="13" t="n">
        <v>0.203</v>
      </c>
      <c r="AI218" s="17" t="n">
        <v>4.67</v>
      </c>
    </row>
    <row r="219" customFormat="false" ht="15" hidden="false" customHeight="false" outlineLevel="0" collapsed="false">
      <c r="A219" s="10" t="n">
        <v>45292</v>
      </c>
      <c r="B219" s="11" t="n">
        <f aca="false">YEAR(A219)</f>
        <v>2024</v>
      </c>
      <c r="C219" s="11" t="str">
        <f aca="false">"Q"&amp;ROUNDUP(MONTH(A219)/3,0)</f>
        <v>Q1</v>
      </c>
      <c r="D219" s="11" t="str">
        <f aca="false">B219&amp;"-"&amp;C219</f>
        <v>2024-Q1</v>
      </c>
      <c r="E219" s="11" t="n">
        <f aca="false">MONTH(A219)</f>
        <v>1</v>
      </c>
      <c r="F219" s="11" t="str">
        <f aca="false">TEXT(A219,"mmm")</f>
        <v>Jan</v>
      </c>
      <c r="G219" s="11" t="s">
        <v>202</v>
      </c>
      <c r="H219" s="11" t="s">
        <v>204</v>
      </c>
      <c r="I219" s="12" t="n">
        <v>10023636</v>
      </c>
      <c r="J219" s="12" t="n">
        <v>2935966</v>
      </c>
      <c r="K219" s="13" t="n">
        <f aca="false">IF(I219=0,0,J219/I219)</f>
        <v>0.292904291416807</v>
      </c>
      <c r="L219" s="12" t="n">
        <v>1371503</v>
      </c>
      <c r="M219" s="12" t="n">
        <v>951254</v>
      </c>
      <c r="N219" s="12" t="n">
        <v>93887</v>
      </c>
      <c r="O219" s="12" t="n">
        <v>39865</v>
      </c>
      <c r="P219" s="12" t="n">
        <f aca="false">M219+N219+O219</f>
        <v>1085006</v>
      </c>
      <c r="Q219" s="13" t="n">
        <f aca="false">IF(I219=0,0,P219/I219)</f>
        <v>0.108244752702512</v>
      </c>
      <c r="R219" s="13" t="n">
        <v>0.0437</v>
      </c>
      <c r="S219" s="14" t="n">
        <v>6929726</v>
      </c>
      <c r="T219" s="14" t="n">
        <v>576611</v>
      </c>
      <c r="U219" s="14" t="n">
        <v>282136</v>
      </c>
      <c r="V219" s="14" t="n">
        <v>474075</v>
      </c>
      <c r="W219" s="14" t="n">
        <f aca="false">S219+T219+U219+V219</f>
        <v>8262548</v>
      </c>
      <c r="X219" s="15" t="n">
        <f aca="false">IF(P219=0,0,S219/P219)</f>
        <v>6.38680892087233</v>
      </c>
      <c r="Y219" s="15" t="n">
        <f aca="false">IF(J219=0,0,W219/J219)</f>
        <v>2.81425193616002</v>
      </c>
      <c r="Z219" s="14" t="n">
        <v>1428736</v>
      </c>
      <c r="AA219" s="15" t="n">
        <f aca="false">IF(L219=0,0,Z219/L219)</f>
        <v>1.04173013110434</v>
      </c>
      <c r="AB219" s="12" t="n">
        <v>227900153</v>
      </c>
      <c r="AC219" s="16" t="n">
        <v>11.9</v>
      </c>
      <c r="AD219" s="16" t="n">
        <v>20.7</v>
      </c>
      <c r="AE219" s="13" t="n">
        <v>0.386</v>
      </c>
      <c r="AF219" s="13" t="n">
        <v>0.59</v>
      </c>
      <c r="AG219" s="13" t="n">
        <v>0.337</v>
      </c>
      <c r="AH219" s="13" t="n">
        <v>0.192</v>
      </c>
      <c r="AI219" s="17" t="n">
        <v>4.63</v>
      </c>
    </row>
    <row r="220" customFormat="false" ht="15" hidden="false" customHeight="false" outlineLevel="0" collapsed="false">
      <c r="A220" s="10" t="n">
        <v>45292</v>
      </c>
      <c r="B220" s="11" t="n">
        <f aca="false">YEAR(A220)</f>
        <v>2024</v>
      </c>
      <c r="C220" s="11" t="str">
        <f aca="false">"Q"&amp;ROUNDUP(MONTH(A220)/3,0)</f>
        <v>Q1</v>
      </c>
      <c r="D220" s="11" t="str">
        <f aca="false">B220&amp;"-"&amp;C220</f>
        <v>2024-Q1</v>
      </c>
      <c r="E220" s="11" t="n">
        <f aca="false">MONTH(A220)</f>
        <v>1</v>
      </c>
      <c r="F220" s="11" t="str">
        <f aca="false">TEXT(A220,"mmm")</f>
        <v>Jan</v>
      </c>
      <c r="G220" s="11" t="s">
        <v>202</v>
      </c>
      <c r="H220" s="11" t="s">
        <v>205</v>
      </c>
      <c r="I220" s="12" t="n">
        <v>2911559</v>
      </c>
      <c r="J220" s="12" t="n">
        <v>780228</v>
      </c>
      <c r="K220" s="13" t="n">
        <f aca="false">IF(I220=0,0,J220/I220)</f>
        <v>0.267976022467688</v>
      </c>
      <c r="L220" s="12" t="n">
        <v>391392</v>
      </c>
      <c r="M220" s="12" t="n">
        <v>257389</v>
      </c>
      <c r="N220" s="12" t="n">
        <v>29537</v>
      </c>
      <c r="O220" s="12" t="n">
        <v>7205</v>
      </c>
      <c r="P220" s="12" t="n">
        <f aca="false">M220+N220+O220</f>
        <v>294131</v>
      </c>
      <c r="Q220" s="13" t="n">
        <f aca="false">IF(I220=0,0,P220/I220)</f>
        <v>0.101021823703384</v>
      </c>
      <c r="R220" s="13" t="n">
        <v>0.0476</v>
      </c>
      <c r="S220" s="14" t="n">
        <v>1942508</v>
      </c>
      <c r="T220" s="14" t="n">
        <v>167186</v>
      </c>
      <c r="U220" s="14" t="n">
        <v>74780</v>
      </c>
      <c r="V220" s="14" t="n">
        <v>124809</v>
      </c>
      <c r="W220" s="14" t="n">
        <f aca="false">S220+T220+U220+V220</f>
        <v>2309283</v>
      </c>
      <c r="X220" s="15" t="n">
        <f aca="false">IF(P220=0,0,S220/P220)</f>
        <v>6.60422736807749</v>
      </c>
      <c r="Y220" s="15" t="n">
        <f aca="false">IF(J220=0,0,W220/J220)</f>
        <v>2.95975407188668</v>
      </c>
      <c r="Z220" s="14" t="n">
        <v>415877</v>
      </c>
      <c r="AA220" s="15" t="n">
        <f aca="false">IF(L220=0,0,Z220/L220)</f>
        <v>1.0625587646145</v>
      </c>
      <c r="AB220" s="12" t="n">
        <v>62431425</v>
      </c>
      <c r="AC220" s="16" t="n">
        <v>10.9</v>
      </c>
      <c r="AD220" s="16" t="n">
        <v>20.5</v>
      </c>
      <c r="AE220" s="13" t="n">
        <v>0.398</v>
      </c>
      <c r="AF220" s="13" t="n">
        <v>0.558</v>
      </c>
      <c r="AG220" s="13" t="n">
        <v>0.347</v>
      </c>
      <c r="AH220" s="13" t="n">
        <v>0.202</v>
      </c>
      <c r="AI220" s="17"/>
    </row>
    <row r="221" customFormat="false" ht="15" hidden="false" customHeight="false" outlineLevel="0" collapsed="false">
      <c r="A221" s="10" t="n">
        <v>45292</v>
      </c>
      <c r="B221" s="11" t="n">
        <f aca="false">YEAR(A221)</f>
        <v>2024</v>
      </c>
      <c r="C221" s="11" t="str">
        <f aca="false">"Q"&amp;ROUNDUP(MONTH(A221)/3,0)</f>
        <v>Q1</v>
      </c>
      <c r="D221" s="11" t="str">
        <f aca="false">B221&amp;"-"&amp;C221</f>
        <v>2024-Q1</v>
      </c>
      <c r="E221" s="11" t="n">
        <f aca="false">MONTH(A221)</f>
        <v>1</v>
      </c>
      <c r="F221" s="11" t="str">
        <f aca="false">TEXT(A221,"mmm")</f>
        <v>Jan</v>
      </c>
      <c r="G221" s="11" t="s">
        <v>206</v>
      </c>
      <c r="H221" s="11" t="s">
        <v>203</v>
      </c>
      <c r="I221" s="12" t="n">
        <v>7913204</v>
      </c>
      <c r="J221" s="12" t="n">
        <v>2712822</v>
      </c>
      <c r="K221" s="13" t="n">
        <f aca="false">IF(I221=0,0,J221/I221)</f>
        <v>0.342822199452965</v>
      </c>
      <c r="L221" s="12" t="n">
        <v>1336461</v>
      </c>
      <c r="M221" s="12" t="n">
        <v>940938</v>
      </c>
      <c r="N221" s="12" t="n">
        <v>106242</v>
      </c>
      <c r="O221" s="12" t="n">
        <v>33075</v>
      </c>
      <c r="P221" s="12" t="n">
        <f aca="false">M221+N221+O221</f>
        <v>1080255</v>
      </c>
      <c r="Q221" s="13" t="n">
        <f aca="false">IF(I221=0,0,P221/I221)</f>
        <v>0.136512972495085</v>
      </c>
      <c r="R221" s="13" t="n">
        <v>0.0451</v>
      </c>
      <c r="S221" s="14" t="n">
        <v>6990186</v>
      </c>
      <c r="T221" s="14" t="n">
        <v>675734</v>
      </c>
      <c r="U221" s="14" t="n">
        <v>268892</v>
      </c>
      <c r="V221" s="14" t="n">
        <v>510385</v>
      </c>
      <c r="W221" s="14" t="n">
        <f aca="false">S221+T221+U221+V221</f>
        <v>8445197</v>
      </c>
      <c r="X221" s="15" t="n">
        <f aca="false">IF(P221=0,0,S221/P221)</f>
        <v>6.47086660094144</v>
      </c>
      <c r="Y221" s="15" t="n">
        <f aca="false">IF(J221=0,0,W221/J221)</f>
        <v>3.11306713083276</v>
      </c>
      <c r="Z221" s="14" t="n">
        <v>1596408</v>
      </c>
      <c r="AA221" s="15" t="n">
        <f aca="false">IF(L221=0,0,Z221/L221)</f>
        <v>1.19450399226016</v>
      </c>
      <c r="AB221" s="12" t="n">
        <v>197858864</v>
      </c>
      <c r="AC221" s="16" t="n">
        <v>12.5</v>
      </c>
      <c r="AD221" s="16" t="n">
        <v>21.2</v>
      </c>
      <c r="AE221" s="13" t="n">
        <v>0.386</v>
      </c>
      <c r="AF221" s="13" t="n">
        <v>0.578</v>
      </c>
      <c r="AG221" s="13" t="n">
        <v>0.347</v>
      </c>
      <c r="AH221" s="13" t="n">
        <v>0.197</v>
      </c>
      <c r="AI221" s="17" t="n">
        <v>4.69</v>
      </c>
    </row>
    <row r="222" customFormat="false" ht="15" hidden="false" customHeight="false" outlineLevel="0" collapsed="false">
      <c r="A222" s="10" t="n">
        <v>45292</v>
      </c>
      <c r="B222" s="11" t="n">
        <f aca="false">YEAR(A222)</f>
        <v>2024</v>
      </c>
      <c r="C222" s="11" t="str">
        <f aca="false">"Q"&amp;ROUNDUP(MONTH(A222)/3,0)</f>
        <v>Q1</v>
      </c>
      <c r="D222" s="11" t="str">
        <f aca="false">B222&amp;"-"&amp;C222</f>
        <v>2024-Q1</v>
      </c>
      <c r="E222" s="11" t="n">
        <f aca="false">MONTH(A222)</f>
        <v>1</v>
      </c>
      <c r="F222" s="11" t="str">
        <f aca="false">TEXT(A222,"mmm")</f>
        <v>Jan</v>
      </c>
      <c r="G222" s="11" t="s">
        <v>206</v>
      </c>
      <c r="H222" s="11" t="s">
        <v>204</v>
      </c>
      <c r="I222" s="12" t="n">
        <v>11554434</v>
      </c>
      <c r="J222" s="12" t="n">
        <v>3574357</v>
      </c>
      <c r="K222" s="13" t="n">
        <f aca="false">IF(I222=0,0,J222/I222)</f>
        <v>0.30934938050622</v>
      </c>
      <c r="L222" s="12" t="n">
        <v>1520847</v>
      </c>
      <c r="M222" s="12" t="n">
        <v>571596</v>
      </c>
      <c r="N222" s="12" t="n">
        <v>56684</v>
      </c>
      <c r="O222" s="12" t="n">
        <v>14767</v>
      </c>
      <c r="P222" s="12" t="n">
        <f aca="false">M222+N222+O222</f>
        <v>643047</v>
      </c>
      <c r="Q222" s="13" t="n">
        <f aca="false">IF(I222=0,0,P222/I222)</f>
        <v>0.055653699696584</v>
      </c>
      <c r="R222" s="13" t="n">
        <v>0.0406</v>
      </c>
      <c r="S222" s="14" t="n">
        <v>3886879</v>
      </c>
      <c r="T222" s="14" t="n">
        <v>337265</v>
      </c>
      <c r="U222" s="14" t="n">
        <v>144601</v>
      </c>
      <c r="V222" s="14" t="n">
        <v>253493</v>
      </c>
      <c r="W222" s="14" t="n">
        <f aca="false">S222+T222+U222+V222</f>
        <v>4622238</v>
      </c>
      <c r="X222" s="15" t="n">
        <f aca="false">IF(P222=0,0,S222/P222)</f>
        <v>6.04447108842744</v>
      </c>
      <c r="Y222" s="15" t="n">
        <f aca="false">IF(J222=0,0,W222/J222)</f>
        <v>1.29316629536445</v>
      </c>
      <c r="Z222" s="14" t="n">
        <v>780858</v>
      </c>
      <c r="AA222" s="15" t="n">
        <f aca="false">IF(L222=0,0,Z222/L222)</f>
        <v>0.513436262819337</v>
      </c>
      <c r="AB222" s="12" t="n">
        <v>287601205</v>
      </c>
      <c r="AC222" s="16" t="n">
        <v>12</v>
      </c>
      <c r="AD222" s="16" t="n">
        <v>20.4</v>
      </c>
      <c r="AE222" s="13" t="n">
        <v>0.382</v>
      </c>
      <c r="AF222" s="13" t="n">
        <v>0.569</v>
      </c>
      <c r="AG222" s="13" t="n">
        <v>0.345</v>
      </c>
      <c r="AH222" s="13" t="n">
        <v>0.212</v>
      </c>
      <c r="AI222" s="17" t="n">
        <v>4.66</v>
      </c>
    </row>
    <row r="223" customFormat="false" ht="15" hidden="false" customHeight="false" outlineLevel="0" collapsed="false">
      <c r="A223" s="10" t="n">
        <v>45292</v>
      </c>
      <c r="B223" s="11" t="n">
        <f aca="false">YEAR(A223)</f>
        <v>2024</v>
      </c>
      <c r="C223" s="11" t="str">
        <f aca="false">"Q"&amp;ROUNDUP(MONTH(A223)/3,0)</f>
        <v>Q1</v>
      </c>
      <c r="D223" s="11" t="str">
        <f aca="false">B223&amp;"-"&amp;C223</f>
        <v>2024-Q1</v>
      </c>
      <c r="E223" s="11" t="n">
        <f aca="false">MONTH(A223)</f>
        <v>1</v>
      </c>
      <c r="F223" s="11" t="str">
        <f aca="false">TEXT(A223,"mmm")</f>
        <v>Jan</v>
      </c>
      <c r="G223" s="11" t="s">
        <v>206</v>
      </c>
      <c r="H223" s="11" t="s">
        <v>205</v>
      </c>
      <c r="I223" s="12" t="n">
        <v>3231959</v>
      </c>
      <c r="J223" s="12" t="n">
        <v>933839</v>
      </c>
      <c r="K223" s="13" t="n">
        <f aca="false">IF(I223=0,0,J223/I223)</f>
        <v>0.288938999535576</v>
      </c>
      <c r="L223" s="12" t="n">
        <v>448255</v>
      </c>
      <c r="M223" s="12" t="n">
        <v>149435</v>
      </c>
      <c r="N223" s="12" t="n">
        <v>16368</v>
      </c>
      <c r="O223" s="12" t="n">
        <v>2578</v>
      </c>
      <c r="P223" s="12" t="n">
        <f aca="false">M223+N223+O223</f>
        <v>168381</v>
      </c>
      <c r="Q223" s="13" t="n">
        <f aca="false">IF(I223=0,0,P223/I223)</f>
        <v>0.052098742589247</v>
      </c>
      <c r="R223" s="13" t="n">
        <v>0.0424</v>
      </c>
      <c r="S223" s="14" t="n">
        <v>1039889</v>
      </c>
      <c r="T223" s="14" t="n">
        <v>98767</v>
      </c>
      <c r="U223" s="14" t="n">
        <v>42727</v>
      </c>
      <c r="V223" s="14" t="n">
        <v>73203</v>
      </c>
      <c r="W223" s="14" t="n">
        <f aca="false">S223+T223+U223+V223</f>
        <v>1254586</v>
      </c>
      <c r="X223" s="15" t="n">
        <f aca="false">IF(P223=0,0,S223/P223)</f>
        <v>6.17580962222579</v>
      </c>
      <c r="Y223" s="15" t="n">
        <f aca="false">IF(J223=0,0,W223/J223)</f>
        <v>1.34347141209566</v>
      </c>
      <c r="Z223" s="14" t="n">
        <v>243345</v>
      </c>
      <c r="AA223" s="15" t="n">
        <f aca="false">IF(L223=0,0,Z223/L223)</f>
        <v>0.542871802880057</v>
      </c>
      <c r="AB223" s="12" t="n">
        <v>71181840</v>
      </c>
      <c r="AC223" s="16" t="n">
        <v>10.6</v>
      </c>
      <c r="AD223" s="16" t="n">
        <v>20.5</v>
      </c>
      <c r="AE223" s="13" t="n">
        <v>0.396</v>
      </c>
      <c r="AF223" s="13" t="n">
        <v>0.59</v>
      </c>
      <c r="AG223" s="13" t="n">
        <v>0.339</v>
      </c>
      <c r="AH223" s="13" t="n">
        <v>0.212</v>
      </c>
      <c r="AI223" s="17"/>
    </row>
    <row r="224" customFormat="false" ht="15" hidden="false" customHeight="false" outlineLevel="0" collapsed="false">
      <c r="A224" s="10" t="n">
        <v>45292</v>
      </c>
      <c r="B224" s="11" t="n">
        <f aca="false">YEAR(A224)</f>
        <v>2024</v>
      </c>
      <c r="C224" s="11" t="str">
        <f aca="false">"Q"&amp;ROUNDUP(MONTH(A224)/3,0)</f>
        <v>Q1</v>
      </c>
      <c r="D224" s="11" t="str">
        <f aca="false">B224&amp;"-"&amp;C224</f>
        <v>2024-Q1</v>
      </c>
      <c r="E224" s="11" t="n">
        <f aca="false">MONTH(A224)</f>
        <v>1</v>
      </c>
      <c r="F224" s="11" t="str">
        <f aca="false">TEXT(A224,"mmm")</f>
        <v>Jan</v>
      </c>
      <c r="G224" s="11" t="s">
        <v>207</v>
      </c>
      <c r="H224" s="11" t="s">
        <v>203</v>
      </c>
      <c r="I224" s="12" t="n">
        <v>6980390</v>
      </c>
      <c r="J224" s="12" t="n">
        <v>2219230</v>
      </c>
      <c r="K224" s="13" t="n">
        <f aca="false">IF(I224=0,0,J224/I224)</f>
        <v>0.317923497111193</v>
      </c>
      <c r="L224" s="12" t="n">
        <v>1001125</v>
      </c>
      <c r="M224" s="12" t="n">
        <v>434562</v>
      </c>
      <c r="N224" s="12" t="n">
        <v>37365</v>
      </c>
      <c r="O224" s="12" t="n">
        <v>10336</v>
      </c>
      <c r="P224" s="12" t="n">
        <f aca="false">M224+N224+O224</f>
        <v>482263</v>
      </c>
      <c r="Q224" s="13" t="n">
        <f aca="false">IF(I224=0,0,P224/I224)</f>
        <v>0.069088260111541</v>
      </c>
      <c r="R224" s="13" t="n">
        <v>0.0449</v>
      </c>
      <c r="S224" s="14" t="n">
        <v>3379187</v>
      </c>
      <c r="T224" s="14" t="n">
        <v>297897</v>
      </c>
      <c r="U224" s="14" t="n">
        <v>135766</v>
      </c>
      <c r="V224" s="14" t="n">
        <v>225010</v>
      </c>
      <c r="W224" s="14" t="n">
        <f aca="false">S224+T224+U224+V224</f>
        <v>4037860</v>
      </c>
      <c r="X224" s="15" t="n">
        <f aca="false">IF(P224=0,0,S224/P224)</f>
        <v>7.00693812297439</v>
      </c>
      <c r="Y224" s="15" t="n">
        <f aca="false">IF(J224=0,0,W224/J224)</f>
        <v>1.81948693916358</v>
      </c>
      <c r="Z224" s="14" t="n">
        <v>712272</v>
      </c>
      <c r="AA224" s="15" t="n">
        <f aca="false">IF(L224=0,0,Z224/L224)</f>
        <v>0.711471594456237</v>
      </c>
      <c r="AB224" s="12" t="n">
        <v>169886982</v>
      </c>
      <c r="AC224" s="16" t="n">
        <v>12.2</v>
      </c>
      <c r="AD224" s="16" t="n">
        <v>20.3</v>
      </c>
      <c r="AE224" s="13" t="n">
        <v>0.4</v>
      </c>
      <c r="AF224" s="13" t="n">
        <v>0.588</v>
      </c>
      <c r="AG224" s="13" t="n">
        <v>0.348</v>
      </c>
      <c r="AH224" s="13" t="n">
        <v>0.198</v>
      </c>
      <c r="AI224" s="17" t="n">
        <v>4.69</v>
      </c>
    </row>
    <row r="225" customFormat="false" ht="15" hidden="false" customHeight="false" outlineLevel="0" collapsed="false">
      <c r="A225" s="10" t="n">
        <v>45292</v>
      </c>
      <c r="B225" s="11" t="n">
        <f aca="false">YEAR(A225)</f>
        <v>2024</v>
      </c>
      <c r="C225" s="11" t="str">
        <f aca="false">"Q"&amp;ROUNDUP(MONTH(A225)/3,0)</f>
        <v>Q1</v>
      </c>
      <c r="D225" s="11" t="str">
        <f aca="false">B225&amp;"-"&amp;C225</f>
        <v>2024-Q1</v>
      </c>
      <c r="E225" s="11" t="n">
        <f aca="false">MONTH(A225)</f>
        <v>1</v>
      </c>
      <c r="F225" s="11" t="str">
        <f aca="false">TEXT(A225,"mmm")</f>
        <v>Jan</v>
      </c>
      <c r="G225" s="11" t="s">
        <v>207</v>
      </c>
      <c r="H225" s="11" t="s">
        <v>204</v>
      </c>
      <c r="I225" s="12" t="n">
        <v>8886886</v>
      </c>
      <c r="J225" s="12" t="n">
        <v>2501843</v>
      </c>
      <c r="K225" s="13" t="n">
        <f aca="false">IF(I225=0,0,J225/I225)</f>
        <v>0.281520771167763</v>
      </c>
      <c r="L225" s="12" t="n">
        <v>1333352</v>
      </c>
      <c r="M225" s="12" t="n">
        <v>273376</v>
      </c>
      <c r="N225" s="12" t="n">
        <v>28516</v>
      </c>
      <c r="O225" s="12" t="n">
        <v>4932</v>
      </c>
      <c r="P225" s="12" t="n">
        <f aca="false">M225+N225+O225</f>
        <v>306824</v>
      </c>
      <c r="Q225" s="13" t="n">
        <f aca="false">IF(I225=0,0,P225/I225)</f>
        <v>0.0345254794536579</v>
      </c>
      <c r="R225" s="13" t="n">
        <v>0.0443</v>
      </c>
      <c r="S225" s="14" t="n">
        <v>1977611</v>
      </c>
      <c r="T225" s="14" t="n">
        <v>180464</v>
      </c>
      <c r="U225" s="14" t="n">
        <v>83129</v>
      </c>
      <c r="V225" s="14" t="n">
        <v>133646</v>
      </c>
      <c r="W225" s="14" t="n">
        <f aca="false">S225+T225+U225+V225</f>
        <v>2374850</v>
      </c>
      <c r="X225" s="15" t="n">
        <f aca="false">IF(P225=0,0,S225/P225)</f>
        <v>6.44542473861236</v>
      </c>
      <c r="Y225" s="15" t="n">
        <f aca="false">IF(J225=0,0,W225/J225)</f>
        <v>0.949240220109735</v>
      </c>
      <c r="Z225" s="14" t="n">
        <v>433022</v>
      </c>
      <c r="AA225" s="15" t="n">
        <f aca="false">IF(L225=0,0,Z225/L225)</f>
        <v>0.324761953332653</v>
      </c>
      <c r="AB225" s="12" t="n">
        <v>199915133</v>
      </c>
      <c r="AC225" s="16" t="n">
        <v>12</v>
      </c>
      <c r="AD225" s="16" t="n">
        <v>20.8</v>
      </c>
      <c r="AE225" s="13" t="n">
        <v>0.402</v>
      </c>
      <c r="AF225" s="13" t="n">
        <v>0.573</v>
      </c>
      <c r="AG225" s="13" t="n">
        <v>0.347</v>
      </c>
      <c r="AH225" s="13" t="n">
        <v>0.2</v>
      </c>
      <c r="AI225" s="17" t="n">
        <v>4.6</v>
      </c>
    </row>
    <row r="226" customFormat="false" ht="15" hidden="false" customHeight="false" outlineLevel="0" collapsed="false">
      <c r="A226" s="10" t="n">
        <v>45292</v>
      </c>
      <c r="B226" s="11" t="n">
        <f aca="false">YEAR(A226)</f>
        <v>2024</v>
      </c>
      <c r="C226" s="11" t="str">
        <f aca="false">"Q"&amp;ROUNDUP(MONTH(A226)/3,0)</f>
        <v>Q1</v>
      </c>
      <c r="D226" s="11" t="str">
        <f aca="false">B226&amp;"-"&amp;C226</f>
        <v>2024-Q1</v>
      </c>
      <c r="E226" s="11" t="n">
        <f aca="false">MONTH(A226)</f>
        <v>1</v>
      </c>
      <c r="F226" s="11" t="str">
        <f aca="false">TEXT(A226,"mmm")</f>
        <v>Jan</v>
      </c>
      <c r="G226" s="11" t="s">
        <v>207</v>
      </c>
      <c r="H226" s="11" t="s">
        <v>205</v>
      </c>
      <c r="I226" s="12" t="n">
        <v>2616325</v>
      </c>
      <c r="J226" s="12" t="n">
        <v>680237</v>
      </c>
      <c r="K226" s="13" t="n">
        <f aca="false">IF(I226=0,0,J226/I226)</f>
        <v>0.259997133383658</v>
      </c>
      <c r="L226" s="12" t="n">
        <v>314827</v>
      </c>
      <c r="M226" s="12" t="n">
        <v>69958</v>
      </c>
      <c r="N226" s="12" t="n">
        <v>6807</v>
      </c>
      <c r="O226" s="12" t="n">
        <v>832</v>
      </c>
      <c r="P226" s="12" t="n">
        <f aca="false">M226+N226+O226</f>
        <v>77597</v>
      </c>
      <c r="Q226" s="13" t="n">
        <f aca="false">IF(I226=0,0,P226/I226)</f>
        <v>0.0296587771014687</v>
      </c>
      <c r="R226" s="13" t="n">
        <v>0.0459</v>
      </c>
      <c r="S226" s="14" t="n">
        <v>544804</v>
      </c>
      <c r="T226" s="14" t="n">
        <v>46947</v>
      </c>
      <c r="U226" s="14" t="n">
        <v>21819</v>
      </c>
      <c r="V226" s="14" t="n">
        <v>37349</v>
      </c>
      <c r="W226" s="14" t="n">
        <f aca="false">S226+T226+U226+V226</f>
        <v>650919</v>
      </c>
      <c r="X226" s="15" t="n">
        <f aca="false">IF(P226=0,0,S226/P226)</f>
        <v>7.02094153124476</v>
      </c>
      <c r="Y226" s="15" t="n">
        <f aca="false">IF(J226=0,0,W226/J226)</f>
        <v>0.956900315625289</v>
      </c>
      <c r="Z226" s="14" t="n">
        <v>110725</v>
      </c>
      <c r="AA226" s="15" t="n">
        <f aca="false">IF(L226=0,0,Z226/L226)</f>
        <v>0.351701092981225</v>
      </c>
      <c r="AB226" s="12" t="n">
        <v>51480437</v>
      </c>
      <c r="AC226" s="16" t="n">
        <v>10.7</v>
      </c>
      <c r="AD226" s="16" t="n">
        <v>21.3</v>
      </c>
      <c r="AE226" s="13" t="n">
        <v>0.393</v>
      </c>
      <c r="AF226" s="13" t="n">
        <v>0.58</v>
      </c>
      <c r="AG226" s="13" t="n">
        <v>0.338</v>
      </c>
      <c r="AH226" s="13" t="n">
        <v>0.197</v>
      </c>
      <c r="AI226" s="17"/>
    </row>
    <row r="227" customFormat="false" ht="15" hidden="false" customHeight="false" outlineLevel="0" collapsed="false">
      <c r="A227" s="10" t="n">
        <v>45292</v>
      </c>
      <c r="B227" s="11" t="n">
        <f aca="false">YEAR(A227)</f>
        <v>2024</v>
      </c>
      <c r="C227" s="11" t="str">
        <f aca="false">"Q"&amp;ROUNDUP(MONTH(A227)/3,0)</f>
        <v>Q1</v>
      </c>
      <c r="D227" s="11" t="str">
        <f aca="false">B227&amp;"-"&amp;C227</f>
        <v>2024-Q1</v>
      </c>
      <c r="E227" s="11" t="n">
        <f aca="false">MONTH(A227)</f>
        <v>1</v>
      </c>
      <c r="F227" s="11" t="str">
        <f aca="false">TEXT(A227,"mmm")</f>
        <v>Jan</v>
      </c>
      <c r="G227" s="11" t="s">
        <v>208</v>
      </c>
      <c r="H227" s="11" t="s">
        <v>203</v>
      </c>
      <c r="I227" s="12" t="n">
        <v>5508779</v>
      </c>
      <c r="J227" s="12" t="n">
        <v>1797303</v>
      </c>
      <c r="K227" s="13" t="n">
        <f aca="false">IF(I227=0,0,J227/I227)</f>
        <v>0.32626159081713</v>
      </c>
      <c r="L227" s="12" t="n">
        <v>718118</v>
      </c>
      <c r="M227" s="12" t="n">
        <v>232183</v>
      </c>
      <c r="N227" s="12" t="n">
        <v>24936</v>
      </c>
      <c r="O227" s="12" t="n">
        <v>3997</v>
      </c>
      <c r="P227" s="12" t="n">
        <f aca="false">M227+N227+O227</f>
        <v>261116</v>
      </c>
      <c r="Q227" s="13" t="n">
        <f aca="false">IF(I227=0,0,P227/I227)</f>
        <v>0.0473999773815577</v>
      </c>
      <c r="R227" s="13" t="n">
        <v>0.0433</v>
      </c>
      <c r="S227" s="14" t="n">
        <v>1609613</v>
      </c>
      <c r="T227" s="14" t="n">
        <v>141761</v>
      </c>
      <c r="U227" s="14" t="n">
        <v>69510</v>
      </c>
      <c r="V227" s="14" t="n">
        <v>114237</v>
      </c>
      <c r="W227" s="14" t="n">
        <f aca="false">S227+T227+U227+V227</f>
        <v>1935121</v>
      </c>
      <c r="X227" s="15" t="n">
        <f aca="false">IF(P227=0,0,S227/P227)</f>
        <v>6.16435990134653</v>
      </c>
      <c r="Y227" s="15" t="n">
        <f aca="false">IF(J227=0,0,W227/J227)</f>
        <v>1.07668044842745</v>
      </c>
      <c r="Z227" s="14" t="n">
        <v>376136</v>
      </c>
      <c r="AA227" s="15" t="n">
        <f aca="false">IF(L227=0,0,Z227/L227)</f>
        <v>0.523780214393735</v>
      </c>
      <c r="AB227" s="12" t="n">
        <v>134666423</v>
      </c>
      <c r="AC227" s="16" t="n">
        <v>12.2</v>
      </c>
      <c r="AD227" s="16" t="n">
        <v>21</v>
      </c>
      <c r="AE227" s="13" t="n">
        <v>0.395</v>
      </c>
      <c r="AF227" s="13" t="n">
        <v>0.591</v>
      </c>
      <c r="AG227" s="13" t="n">
        <v>0.352</v>
      </c>
      <c r="AH227" s="13" t="n">
        <v>0.215</v>
      </c>
      <c r="AI227" s="17" t="n">
        <v>4.67</v>
      </c>
    </row>
    <row r="228" customFormat="false" ht="15" hidden="false" customHeight="false" outlineLevel="0" collapsed="false">
      <c r="A228" s="10" t="n">
        <v>45292</v>
      </c>
      <c r="B228" s="11" t="n">
        <f aca="false">YEAR(A228)</f>
        <v>2024</v>
      </c>
      <c r="C228" s="11" t="str">
        <f aca="false">"Q"&amp;ROUNDUP(MONTH(A228)/3,0)</f>
        <v>Q1</v>
      </c>
      <c r="D228" s="11" t="str">
        <f aca="false">B228&amp;"-"&amp;C228</f>
        <v>2024-Q1</v>
      </c>
      <c r="E228" s="11" t="n">
        <f aca="false">MONTH(A228)</f>
        <v>1</v>
      </c>
      <c r="F228" s="11" t="str">
        <f aca="false">TEXT(A228,"mmm")</f>
        <v>Jan</v>
      </c>
      <c r="G228" s="11" t="s">
        <v>208</v>
      </c>
      <c r="H228" s="11" t="s">
        <v>204</v>
      </c>
      <c r="I228" s="12" t="n">
        <v>7407632</v>
      </c>
      <c r="J228" s="12" t="n">
        <v>2172668</v>
      </c>
      <c r="K228" s="13" t="n">
        <f aca="false">IF(I228=0,0,J228/I228)</f>
        <v>0.293301287104975</v>
      </c>
      <c r="L228" s="12" t="n">
        <v>1113220</v>
      </c>
      <c r="M228" s="12" t="n">
        <v>126070</v>
      </c>
      <c r="N228" s="12" t="n">
        <v>12626</v>
      </c>
      <c r="O228" s="12" t="n">
        <v>1611</v>
      </c>
      <c r="P228" s="12" t="n">
        <f aca="false">M228+N228+O228</f>
        <v>140307</v>
      </c>
      <c r="Q228" s="13" t="n">
        <f aca="false">IF(I228=0,0,P228/I228)</f>
        <v>0.0189408707128</v>
      </c>
      <c r="R228" s="13" t="n">
        <v>0.0429</v>
      </c>
      <c r="S228" s="14" t="n">
        <v>965292</v>
      </c>
      <c r="T228" s="14" t="n">
        <v>84368</v>
      </c>
      <c r="U228" s="14" t="n">
        <v>35716</v>
      </c>
      <c r="V228" s="14" t="n">
        <v>72654</v>
      </c>
      <c r="W228" s="14" t="n">
        <f aca="false">S228+T228+U228+V228</f>
        <v>1158030</v>
      </c>
      <c r="X228" s="15" t="n">
        <f aca="false">IF(P228=0,0,S228/P228)</f>
        <v>6.8798563150805</v>
      </c>
      <c r="Y228" s="15" t="n">
        <f aca="false">IF(J228=0,0,W228/J228)</f>
        <v>0.532999059221197</v>
      </c>
      <c r="Z228" s="14" t="n">
        <v>227127</v>
      </c>
      <c r="AA228" s="15" t="n">
        <f aca="false">IF(L228=0,0,Z228/L228)</f>
        <v>0.204027056646485</v>
      </c>
      <c r="AB228" s="12" t="n">
        <v>159039088</v>
      </c>
      <c r="AC228" s="16" t="n">
        <v>11.9</v>
      </c>
      <c r="AD228" s="16" t="n">
        <v>20.7</v>
      </c>
      <c r="AE228" s="13" t="n">
        <v>0.391</v>
      </c>
      <c r="AF228" s="13" t="n">
        <v>0.573</v>
      </c>
      <c r="AG228" s="13" t="n">
        <v>0.344</v>
      </c>
      <c r="AH228" s="13" t="n">
        <v>0.203</v>
      </c>
      <c r="AI228" s="17" t="n">
        <v>4.66</v>
      </c>
    </row>
    <row r="229" customFormat="false" ht="15" hidden="false" customHeight="false" outlineLevel="0" collapsed="false">
      <c r="A229" s="10" t="n">
        <v>45292</v>
      </c>
      <c r="B229" s="11" t="n">
        <f aca="false">YEAR(A229)</f>
        <v>2024</v>
      </c>
      <c r="C229" s="11" t="str">
        <f aca="false">"Q"&amp;ROUNDUP(MONTH(A229)/3,0)</f>
        <v>Q1</v>
      </c>
      <c r="D229" s="11" t="str">
        <f aca="false">B229&amp;"-"&amp;C229</f>
        <v>2024-Q1</v>
      </c>
      <c r="E229" s="11" t="n">
        <f aca="false">MONTH(A229)</f>
        <v>1</v>
      </c>
      <c r="F229" s="11" t="str">
        <f aca="false">TEXT(A229,"mmm")</f>
        <v>Jan</v>
      </c>
      <c r="G229" s="11" t="s">
        <v>208</v>
      </c>
      <c r="H229" s="11" t="s">
        <v>205</v>
      </c>
      <c r="I229" s="12" t="n">
        <v>2201433</v>
      </c>
      <c r="J229" s="12" t="n">
        <v>612645</v>
      </c>
      <c r="K229" s="13" t="n">
        <f aca="false">IF(I229=0,0,J229/I229)</f>
        <v>0.278293729584321</v>
      </c>
      <c r="L229" s="12" t="n">
        <v>300131</v>
      </c>
      <c r="M229" s="12" t="n">
        <v>35365</v>
      </c>
      <c r="N229" s="12" t="n">
        <v>3586</v>
      </c>
      <c r="O229" s="12" t="n">
        <v>300</v>
      </c>
      <c r="P229" s="12" t="n">
        <f aca="false">M229+N229+O229</f>
        <v>39251</v>
      </c>
      <c r="Q229" s="13" t="n">
        <f aca="false">IF(I229=0,0,P229/I229)</f>
        <v>0.0178297499855776</v>
      </c>
      <c r="R229" s="13" t="n">
        <v>0.0449</v>
      </c>
      <c r="S229" s="14" t="n">
        <v>243834</v>
      </c>
      <c r="T229" s="14" t="n">
        <v>24430</v>
      </c>
      <c r="U229" s="14" t="n">
        <v>10261</v>
      </c>
      <c r="V229" s="14" t="n">
        <v>16401</v>
      </c>
      <c r="W229" s="14" t="n">
        <f aca="false">S229+T229+U229+V229</f>
        <v>294926</v>
      </c>
      <c r="X229" s="15" t="n">
        <f aca="false">IF(P229=0,0,S229/P229)</f>
        <v>6.21217293826909</v>
      </c>
      <c r="Y229" s="15" t="n">
        <f aca="false">IF(J229=0,0,W229/J229)</f>
        <v>0.481397873156559</v>
      </c>
      <c r="Z229" s="14" t="n">
        <v>50322</v>
      </c>
      <c r="AA229" s="15" t="n">
        <f aca="false">IF(L229=0,0,Z229/L229)</f>
        <v>0.167666785503663</v>
      </c>
      <c r="AB229" s="12" t="n">
        <v>48915021</v>
      </c>
      <c r="AC229" s="16" t="n">
        <v>10.8</v>
      </c>
      <c r="AD229" s="16" t="n">
        <v>20.9</v>
      </c>
      <c r="AE229" s="13" t="n">
        <v>0.398</v>
      </c>
      <c r="AF229" s="13" t="n">
        <v>0.578</v>
      </c>
      <c r="AG229" s="13" t="n">
        <v>0.361</v>
      </c>
      <c r="AH229" s="13" t="n">
        <v>0.205</v>
      </c>
      <c r="AI229" s="17"/>
    </row>
    <row r="230" customFormat="false" ht="15" hidden="false" customHeight="false" outlineLevel="0" collapsed="false">
      <c r="A230" s="10" t="n">
        <v>45292</v>
      </c>
      <c r="B230" s="11" t="n">
        <f aca="false">YEAR(A230)</f>
        <v>2024</v>
      </c>
      <c r="C230" s="11" t="str">
        <f aca="false">"Q"&amp;ROUNDUP(MONTH(A230)/3,0)</f>
        <v>Q1</v>
      </c>
      <c r="D230" s="11" t="str">
        <f aca="false">B230&amp;"-"&amp;C230</f>
        <v>2024-Q1</v>
      </c>
      <c r="E230" s="11" t="n">
        <f aca="false">MONTH(A230)</f>
        <v>1</v>
      </c>
      <c r="F230" s="11" t="str">
        <f aca="false">TEXT(A230,"mmm")</f>
        <v>Jan</v>
      </c>
      <c r="G230" s="11" t="s">
        <v>209</v>
      </c>
      <c r="H230" s="11" t="s">
        <v>203</v>
      </c>
      <c r="I230" s="12" t="n">
        <v>3430964</v>
      </c>
      <c r="J230" s="12" t="n">
        <v>1068001</v>
      </c>
      <c r="K230" s="13" t="n">
        <f aca="false">IF(I230=0,0,J230/I230)</f>
        <v>0.311283067965738</v>
      </c>
      <c r="L230" s="12" t="n">
        <v>600183</v>
      </c>
      <c r="M230" s="12" t="n">
        <v>84486</v>
      </c>
      <c r="N230" s="12" t="n">
        <v>8604</v>
      </c>
      <c r="O230" s="12" t="n">
        <v>1154</v>
      </c>
      <c r="P230" s="12" t="n">
        <f aca="false">M230+N230+O230</f>
        <v>94244</v>
      </c>
      <c r="Q230" s="13" t="n">
        <f aca="false">IF(I230=0,0,P230/I230)</f>
        <v>0.0274686647834253</v>
      </c>
      <c r="R230" s="13" t="n">
        <v>0.045</v>
      </c>
      <c r="S230" s="14" t="n">
        <v>579185</v>
      </c>
      <c r="T230" s="14" t="n">
        <v>52573</v>
      </c>
      <c r="U230" s="14" t="n">
        <v>21797</v>
      </c>
      <c r="V230" s="14" t="n">
        <v>40553</v>
      </c>
      <c r="W230" s="14" t="n">
        <f aca="false">S230+T230+U230+V230</f>
        <v>694108</v>
      </c>
      <c r="X230" s="15" t="n">
        <f aca="false">IF(P230=0,0,S230/P230)</f>
        <v>6.14559017019651</v>
      </c>
      <c r="Y230" s="15" t="n">
        <f aca="false">IF(J230=0,0,W230/J230)</f>
        <v>0.649913249144898</v>
      </c>
      <c r="Z230" s="14" t="n">
        <v>119397</v>
      </c>
      <c r="AA230" s="15" t="n">
        <f aca="false">IF(L230=0,0,Z230/L230)</f>
        <v>0.198934325030866</v>
      </c>
      <c r="AB230" s="12" t="n">
        <v>82689884</v>
      </c>
      <c r="AC230" s="16" t="n">
        <v>12.6</v>
      </c>
      <c r="AD230" s="16" t="n">
        <v>20.9</v>
      </c>
      <c r="AE230" s="13" t="n">
        <v>0.388</v>
      </c>
      <c r="AF230" s="13" t="n">
        <v>0.586</v>
      </c>
      <c r="AG230" s="13" t="n">
        <v>0.341</v>
      </c>
      <c r="AH230" s="13" t="n">
        <v>0.212</v>
      </c>
      <c r="AI230" s="17" t="n">
        <v>4.68</v>
      </c>
    </row>
    <row r="231" customFormat="false" ht="15" hidden="false" customHeight="false" outlineLevel="0" collapsed="false">
      <c r="A231" s="10" t="n">
        <v>45292</v>
      </c>
      <c r="B231" s="11" t="n">
        <f aca="false">YEAR(A231)</f>
        <v>2024</v>
      </c>
      <c r="C231" s="11" t="str">
        <f aca="false">"Q"&amp;ROUNDUP(MONTH(A231)/3,0)</f>
        <v>Q1</v>
      </c>
      <c r="D231" s="11" t="str">
        <f aca="false">B231&amp;"-"&amp;C231</f>
        <v>2024-Q1</v>
      </c>
      <c r="E231" s="11" t="n">
        <f aca="false">MONTH(A231)</f>
        <v>1</v>
      </c>
      <c r="F231" s="11" t="str">
        <f aca="false">TEXT(A231,"mmm")</f>
        <v>Jan</v>
      </c>
      <c r="G231" s="11" t="s">
        <v>209</v>
      </c>
      <c r="H231" s="11" t="s">
        <v>204</v>
      </c>
      <c r="I231" s="12" t="n">
        <v>4537081</v>
      </c>
      <c r="J231" s="12" t="n">
        <v>1272236</v>
      </c>
      <c r="K231" s="13" t="n">
        <f aca="false">IF(I231=0,0,J231/I231)</f>
        <v>0.280408482899027</v>
      </c>
      <c r="L231" s="12" t="n">
        <v>647206</v>
      </c>
      <c r="M231" s="12" t="n">
        <v>48215</v>
      </c>
      <c r="N231" s="12" t="n">
        <v>4928</v>
      </c>
      <c r="O231" s="12" t="n">
        <v>493</v>
      </c>
      <c r="P231" s="12" t="n">
        <f aca="false">M231+N231+O231</f>
        <v>53636</v>
      </c>
      <c r="Q231" s="13" t="n">
        <f aca="false">IF(I231=0,0,P231/I231)</f>
        <v>0.0118216976950599</v>
      </c>
      <c r="R231" s="13" t="n">
        <v>0.0413</v>
      </c>
      <c r="S231" s="14" t="n">
        <v>330490</v>
      </c>
      <c r="T231" s="14" t="n">
        <v>28979</v>
      </c>
      <c r="U231" s="14" t="n">
        <v>13287</v>
      </c>
      <c r="V231" s="14" t="n">
        <v>25570</v>
      </c>
      <c r="W231" s="14" t="n">
        <f aca="false">S231+T231+U231+V231</f>
        <v>398326</v>
      </c>
      <c r="X231" s="15" t="n">
        <f aca="false">IF(P231=0,0,S231/P231)</f>
        <v>6.16171974047282</v>
      </c>
      <c r="Y231" s="15" t="n">
        <f aca="false">IF(J231=0,0,W231/J231)</f>
        <v>0.313091281806206</v>
      </c>
      <c r="Z231" s="14" t="n">
        <v>67101</v>
      </c>
      <c r="AA231" s="15" t="n">
        <f aca="false">IF(L231=0,0,Z231/L231)</f>
        <v>0.1036779634305</v>
      </c>
      <c r="AB231" s="12" t="n">
        <v>100242151</v>
      </c>
      <c r="AC231" s="16" t="n">
        <v>12.2</v>
      </c>
      <c r="AD231" s="16" t="n">
        <v>20</v>
      </c>
      <c r="AE231" s="13" t="n">
        <v>0.387</v>
      </c>
      <c r="AF231" s="13" t="n">
        <v>0.566</v>
      </c>
      <c r="AG231" s="13" t="n">
        <v>0.335</v>
      </c>
      <c r="AH231" s="13" t="n">
        <v>0.21</v>
      </c>
      <c r="AI231" s="17" t="n">
        <v>4.63</v>
      </c>
    </row>
    <row r="232" customFormat="false" ht="15" hidden="false" customHeight="false" outlineLevel="0" collapsed="false">
      <c r="A232" s="10" t="n">
        <v>45292</v>
      </c>
      <c r="B232" s="11" t="n">
        <f aca="false">YEAR(A232)</f>
        <v>2024</v>
      </c>
      <c r="C232" s="11" t="str">
        <f aca="false">"Q"&amp;ROUNDUP(MONTH(A232)/3,0)</f>
        <v>Q1</v>
      </c>
      <c r="D232" s="11" t="str">
        <f aca="false">B232&amp;"-"&amp;C232</f>
        <v>2024-Q1</v>
      </c>
      <c r="E232" s="11" t="n">
        <f aca="false">MONTH(A232)</f>
        <v>1</v>
      </c>
      <c r="F232" s="11" t="str">
        <f aca="false">TEXT(A232,"mmm")</f>
        <v>Jan</v>
      </c>
      <c r="G232" s="11" t="s">
        <v>209</v>
      </c>
      <c r="H232" s="11" t="s">
        <v>205</v>
      </c>
      <c r="I232" s="12" t="n">
        <v>1283703</v>
      </c>
      <c r="J232" s="12" t="n">
        <v>335780</v>
      </c>
      <c r="K232" s="13" t="n">
        <f aca="false">IF(I232=0,0,J232/I232)</f>
        <v>0.261571407093385</v>
      </c>
      <c r="L232" s="12" t="n">
        <v>168617</v>
      </c>
      <c r="M232" s="12" t="n">
        <v>13418</v>
      </c>
      <c r="N232" s="12" t="n">
        <v>1269</v>
      </c>
      <c r="O232" s="12" t="n">
        <v>90</v>
      </c>
      <c r="P232" s="12" t="n">
        <f aca="false">M232+N232+O232</f>
        <v>14777</v>
      </c>
      <c r="Q232" s="13" t="n">
        <f aca="false">IF(I232=0,0,P232/I232)</f>
        <v>0.0115112296224282</v>
      </c>
      <c r="R232" s="13" t="n">
        <v>0.0453</v>
      </c>
      <c r="S232" s="14" t="n">
        <v>88391</v>
      </c>
      <c r="T232" s="14" t="n">
        <v>8886</v>
      </c>
      <c r="U232" s="14" t="n">
        <v>3547</v>
      </c>
      <c r="V232" s="14" t="n">
        <v>5586</v>
      </c>
      <c r="W232" s="14" t="n">
        <f aca="false">S232+T232+U232+V232</f>
        <v>106410</v>
      </c>
      <c r="X232" s="15" t="n">
        <f aca="false">IF(P232=0,0,S232/P232)</f>
        <v>5.98166068890844</v>
      </c>
      <c r="Y232" s="15" t="n">
        <f aca="false">IF(J232=0,0,W232/J232)</f>
        <v>0.316903925189112</v>
      </c>
      <c r="Z232" s="14" t="n">
        <v>19239</v>
      </c>
      <c r="AA232" s="15" t="n">
        <f aca="false">IF(L232=0,0,Z232/L232)</f>
        <v>0.114098815659157</v>
      </c>
      <c r="AB232" s="12" t="n">
        <v>26350407</v>
      </c>
      <c r="AC232" s="16" t="n">
        <v>11</v>
      </c>
      <c r="AD232" s="16" t="n">
        <v>19.8</v>
      </c>
      <c r="AE232" s="13" t="n">
        <v>0.39</v>
      </c>
      <c r="AF232" s="13" t="n">
        <v>0.57</v>
      </c>
      <c r="AG232" s="13" t="n">
        <v>0.347</v>
      </c>
      <c r="AH232" s="13" t="n">
        <v>0.204</v>
      </c>
      <c r="AI232" s="17"/>
    </row>
    <row r="233" customFormat="false" ht="15" hidden="false" customHeight="false" outlineLevel="0" collapsed="false">
      <c r="A233" s="10" t="n">
        <v>45292</v>
      </c>
      <c r="B233" s="11" t="n">
        <f aca="false">YEAR(A233)</f>
        <v>2024</v>
      </c>
      <c r="C233" s="11" t="str">
        <f aca="false">"Q"&amp;ROUNDUP(MONTH(A233)/3,0)</f>
        <v>Q1</v>
      </c>
      <c r="D233" s="11" t="str">
        <f aca="false">B233&amp;"-"&amp;C233</f>
        <v>2024-Q1</v>
      </c>
      <c r="E233" s="11" t="n">
        <f aca="false">MONTH(A233)</f>
        <v>1</v>
      </c>
      <c r="F233" s="11" t="str">
        <f aca="false">TEXT(A233,"mmm")</f>
        <v>Jan</v>
      </c>
      <c r="G233" s="11" t="s">
        <v>210</v>
      </c>
      <c r="H233" s="11" t="s">
        <v>203</v>
      </c>
      <c r="I233" s="12" t="n">
        <v>5361143</v>
      </c>
      <c r="J233" s="12" t="n">
        <v>1643747</v>
      </c>
      <c r="K233" s="13" t="n">
        <f aca="false">IF(I233=0,0,J233/I233)</f>
        <v>0.306603834294291</v>
      </c>
      <c r="L233" s="12" t="n">
        <v>711475</v>
      </c>
      <c r="M233" s="12" t="n">
        <v>166973</v>
      </c>
      <c r="N233" s="12" t="n">
        <v>17312</v>
      </c>
      <c r="O233" s="12" t="n">
        <v>2285</v>
      </c>
      <c r="P233" s="12" t="n">
        <f aca="false">M233+N233+O233</f>
        <v>186570</v>
      </c>
      <c r="Q233" s="13" t="n">
        <f aca="false">IF(I233=0,0,P233/I233)</f>
        <v>0.0348004147622998</v>
      </c>
      <c r="R233" s="13" t="n">
        <v>0.0453</v>
      </c>
      <c r="S233" s="14" t="n">
        <v>1162726</v>
      </c>
      <c r="T233" s="14" t="n">
        <v>103370</v>
      </c>
      <c r="U233" s="14" t="n">
        <v>41232</v>
      </c>
      <c r="V233" s="14" t="n">
        <v>79067</v>
      </c>
      <c r="W233" s="14" t="n">
        <f aca="false">S233+T233+U233+V233</f>
        <v>1386395</v>
      </c>
      <c r="X233" s="15" t="n">
        <f aca="false">IF(P233=0,0,S233/P233)</f>
        <v>6.2321166318272</v>
      </c>
      <c r="Y233" s="15" t="n">
        <f aca="false">IF(J233=0,0,W233/J233)</f>
        <v>0.843435759882756</v>
      </c>
      <c r="Z233" s="14" t="n">
        <v>278327</v>
      </c>
      <c r="AA233" s="15" t="n">
        <f aca="false">IF(L233=0,0,Z233/L233)</f>
        <v>0.391197160827858</v>
      </c>
      <c r="AB233" s="12" t="n">
        <v>125784415</v>
      </c>
      <c r="AC233" s="16" t="n">
        <v>12.4</v>
      </c>
      <c r="AD233" s="16" t="n">
        <v>20.7</v>
      </c>
      <c r="AE233" s="13" t="n">
        <v>0.398</v>
      </c>
      <c r="AF233" s="13" t="n">
        <v>0.577</v>
      </c>
      <c r="AG233" s="13" t="n">
        <v>0.333</v>
      </c>
      <c r="AH233" s="13" t="n">
        <v>0.202</v>
      </c>
      <c r="AI233" s="17" t="n">
        <v>4.69</v>
      </c>
    </row>
    <row r="234" customFormat="false" ht="15" hidden="false" customHeight="false" outlineLevel="0" collapsed="false">
      <c r="A234" s="10" t="n">
        <v>45292</v>
      </c>
      <c r="B234" s="11" t="n">
        <f aca="false">YEAR(A234)</f>
        <v>2024</v>
      </c>
      <c r="C234" s="11" t="str">
        <f aca="false">"Q"&amp;ROUNDUP(MONTH(A234)/3,0)</f>
        <v>Q1</v>
      </c>
      <c r="D234" s="11" t="str">
        <f aca="false">B234&amp;"-"&amp;C234</f>
        <v>2024-Q1</v>
      </c>
      <c r="E234" s="11" t="n">
        <f aca="false">MONTH(A234)</f>
        <v>1</v>
      </c>
      <c r="F234" s="11" t="str">
        <f aca="false">TEXT(A234,"mmm")</f>
        <v>Jan</v>
      </c>
      <c r="G234" s="11" t="s">
        <v>210</v>
      </c>
      <c r="H234" s="11" t="s">
        <v>204</v>
      </c>
      <c r="I234" s="12" t="n">
        <v>7503600</v>
      </c>
      <c r="J234" s="12" t="n">
        <v>2079424</v>
      </c>
      <c r="K234" s="13" t="n">
        <f aca="false">IF(I234=0,0,J234/I234)</f>
        <v>0.277123514046591</v>
      </c>
      <c r="L234" s="12" t="n">
        <v>933121</v>
      </c>
      <c r="M234" s="12" t="n">
        <v>94637</v>
      </c>
      <c r="N234" s="12" t="n">
        <v>9354</v>
      </c>
      <c r="O234" s="12" t="n">
        <v>964</v>
      </c>
      <c r="P234" s="12" t="n">
        <f aca="false">M234+N234+O234</f>
        <v>104955</v>
      </c>
      <c r="Q234" s="13" t="n">
        <f aca="false">IF(I234=0,0,P234/I234)</f>
        <v>0.0139872861026707</v>
      </c>
      <c r="R234" s="13" t="n">
        <v>0.0416</v>
      </c>
      <c r="S234" s="14" t="n">
        <v>655312</v>
      </c>
      <c r="T234" s="14" t="n">
        <v>54990</v>
      </c>
      <c r="U234" s="14" t="n">
        <v>28615</v>
      </c>
      <c r="V234" s="14" t="n">
        <v>47132</v>
      </c>
      <c r="W234" s="14" t="n">
        <f aca="false">S234+T234+U234+V234</f>
        <v>786049</v>
      </c>
      <c r="X234" s="15" t="n">
        <f aca="false">IF(P234=0,0,S234/P234)</f>
        <v>6.24374255633367</v>
      </c>
      <c r="Y234" s="15" t="n">
        <f aca="false">IF(J234=0,0,W234/J234)</f>
        <v>0.378012853559447</v>
      </c>
      <c r="Z234" s="14" t="n">
        <v>131745</v>
      </c>
      <c r="AA234" s="15" t="n">
        <f aca="false">IF(L234=0,0,Z234/L234)</f>
        <v>0.141187477293942</v>
      </c>
      <c r="AB234" s="12" t="n">
        <v>154528078</v>
      </c>
      <c r="AC234" s="16" t="n">
        <v>12.2</v>
      </c>
      <c r="AD234" s="16" t="n">
        <v>20.7</v>
      </c>
      <c r="AE234" s="13" t="n">
        <v>0.381</v>
      </c>
      <c r="AF234" s="13" t="n">
        <v>0.583</v>
      </c>
      <c r="AG234" s="13" t="n">
        <v>0.339</v>
      </c>
      <c r="AH234" s="13" t="n">
        <v>0.212</v>
      </c>
      <c r="AI234" s="17" t="n">
        <v>4.65</v>
      </c>
    </row>
    <row r="235" customFormat="false" ht="15" hidden="false" customHeight="false" outlineLevel="0" collapsed="false">
      <c r="A235" s="10" t="n">
        <v>45292</v>
      </c>
      <c r="B235" s="11" t="n">
        <f aca="false">YEAR(A235)</f>
        <v>2024</v>
      </c>
      <c r="C235" s="11" t="str">
        <f aca="false">"Q"&amp;ROUNDUP(MONTH(A235)/3,0)</f>
        <v>Q1</v>
      </c>
      <c r="D235" s="11" t="str">
        <f aca="false">B235&amp;"-"&amp;C235</f>
        <v>2024-Q1</v>
      </c>
      <c r="E235" s="11" t="n">
        <f aca="false">MONTH(A235)</f>
        <v>1</v>
      </c>
      <c r="F235" s="11" t="str">
        <f aca="false">TEXT(A235,"mmm")</f>
        <v>Jan</v>
      </c>
      <c r="G235" s="11" t="s">
        <v>210</v>
      </c>
      <c r="H235" s="11" t="s">
        <v>205</v>
      </c>
      <c r="I235" s="12" t="n">
        <v>2115408</v>
      </c>
      <c r="J235" s="12" t="n">
        <v>539582</v>
      </c>
      <c r="K235" s="13" t="n">
        <f aca="false">IF(I235=0,0,J235/I235)</f>
        <v>0.255072307564309</v>
      </c>
      <c r="L235" s="12" t="n">
        <v>283490</v>
      </c>
      <c r="M235" s="12" t="n">
        <v>26887</v>
      </c>
      <c r="N235" s="12" t="n">
        <v>2951</v>
      </c>
      <c r="O235" s="12" t="n">
        <v>184</v>
      </c>
      <c r="P235" s="12" t="n">
        <f aca="false">M235+N235+O235</f>
        <v>30022</v>
      </c>
      <c r="Q235" s="13" t="n">
        <f aca="false">IF(I235=0,0,P235/I235)</f>
        <v>0.0141920612950315</v>
      </c>
      <c r="R235" s="13" t="n">
        <v>0.0459</v>
      </c>
      <c r="S235" s="14" t="n">
        <v>181115</v>
      </c>
      <c r="T235" s="14" t="n">
        <v>15092</v>
      </c>
      <c r="U235" s="14" t="n">
        <v>6764</v>
      </c>
      <c r="V235" s="14" t="n">
        <v>13072</v>
      </c>
      <c r="W235" s="14" t="n">
        <f aca="false">S235+T235+U235+V235</f>
        <v>216043</v>
      </c>
      <c r="X235" s="15" t="n">
        <f aca="false">IF(P235=0,0,S235/P235)</f>
        <v>6.03274265538605</v>
      </c>
      <c r="Y235" s="15" t="n">
        <f aca="false">IF(J235=0,0,W235/J235)</f>
        <v>0.400389560808181</v>
      </c>
      <c r="Z235" s="14" t="n">
        <v>38806</v>
      </c>
      <c r="AA235" s="15" t="n">
        <f aca="false">IF(L235=0,0,Z235/L235)</f>
        <v>0.136886662668877</v>
      </c>
      <c r="AB235" s="12" t="n">
        <v>42210126</v>
      </c>
      <c r="AC235" s="16" t="n">
        <v>11</v>
      </c>
      <c r="AD235" s="16" t="n">
        <v>19.9</v>
      </c>
      <c r="AE235" s="13" t="n">
        <v>0.395</v>
      </c>
      <c r="AF235" s="13" t="n">
        <v>0.586</v>
      </c>
      <c r="AG235" s="13" t="n">
        <v>0.334</v>
      </c>
      <c r="AH235" s="13" t="n">
        <v>0.215</v>
      </c>
      <c r="AI235" s="17"/>
    </row>
    <row r="236" customFormat="false" ht="15" hidden="false" customHeight="false" outlineLevel="0" collapsed="false">
      <c r="A236" s="10" t="n">
        <v>45323</v>
      </c>
      <c r="B236" s="11" t="n">
        <f aca="false">YEAR(A236)</f>
        <v>2024</v>
      </c>
      <c r="C236" s="11" t="str">
        <f aca="false">"Q"&amp;ROUNDUP(MONTH(A236)/3,0)</f>
        <v>Q1</v>
      </c>
      <c r="D236" s="11" t="str">
        <f aca="false">B236&amp;"-"&amp;C236</f>
        <v>2024-Q1</v>
      </c>
      <c r="E236" s="11" t="n">
        <f aca="false">MONTH(A236)</f>
        <v>2</v>
      </c>
      <c r="F236" s="11" t="str">
        <f aca="false">TEXT(A236,"mmm")</f>
        <v>Feb</v>
      </c>
      <c r="G236" s="11" t="s">
        <v>202</v>
      </c>
      <c r="H236" s="11" t="s">
        <v>203</v>
      </c>
      <c r="I236" s="12" t="n">
        <v>8561697</v>
      </c>
      <c r="J236" s="12" t="n">
        <v>2766963</v>
      </c>
      <c r="K236" s="13" t="n">
        <f aca="false">IF(I236=0,0,J236/I236)</f>
        <v>0.323179271585995</v>
      </c>
      <c r="L236" s="12" t="n">
        <v>1025162</v>
      </c>
      <c r="M236" s="12" t="n">
        <v>1636634</v>
      </c>
      <c r="N236" s="12" t="n">
        <v>163537</v>
      </c>
      <c r="O236" s="12" t="n">
        <v>100990</v>
      </c>
      <c r="P236" s="12" t="n">
        <f aca="false">M236+N236+O236</f>
        <v>1901161</v>
      </c>
      <c r="Q236" s="13" t="n">
        <f aca="false">IF(I236=0,0,P236/I236)</f>
        <v>0.222054225932079</v>
      </c>
      <c r="R236" s="13" t="n">
        <v>0.0432</v>
      </c>
      <c r="S236" s="14" t="n">
        <v>12376607</v>
      </c>
      <c r="T236" s="14" t="n">
        <v>1102879</v>
      </c>
      <c r="U236" s="14" t="n">
        <v>494018</v>
      </c>
      <c r="V236" s="14" t="n">
        <v>853676</v>
      </c>
      <c r="W236" s="14" t="n">
        <f aca="false">S236+T236+U236+V236</f>
        <v>14827180</v>
      </c>
      <c r="X236" s="15" t="n">
        <f aca="false">IF(P236=0,0,S236/P236)</f>
        <v>6.5100257158652</v>
      </c>
      <c r="Y236" s="15" t="n">
        <f aca="false">IF(J236=0,0,W236/J236)</f>
        <v>5.35864773038165</v>
      </c>
      <c r="Z236" s="14" t="n">
        <v>2555496</v>
      </c>
      <c r="AA236" s="15" t="n">
        <f aca="false">IF(L236=0,0,Z236/L236)</f>
        <v>2.49277284955939</v>
      </c>
      <c r="AB236" s="12" t="n">
        <v>226133195</v>
      </c>
      <c r="AC236" s="16" t="n">
        <v>12.3</v>
      </c>
      <c r="AD236" s="16" t="n">
        <v>21.4</v>
      </c>
      <c r="AE236" s="13" t="n">
        <v>0.389</v>
      </c>
      <c r="AF236" s="13" t="n">
        <v>0.564</v>
      </c>
      <c r="AG236" s="13" t="n">
        <v>0.34</v>
      </c>
      <c r="AH236" s="13" t="n">
        <v>0.209</v>
      </c>
      <c r="AI236" s="17" t="n">
        <v>4.7</v>
      </c>
    </row>
    <row r="237" customFormat="false" ht="15" hidden="false" customHeight="false" outlineLevel="0" collapsed="false">
      <c r="A237" s="10" t="n">
        <v>45323</v>
      </c>
      <c r="B237" s="11" t="n">
        <f aca="false">YEAR(A237)</f>
        <v>2024</v>
      </c>
      <c r="C237" s="11" t="str">
        <f aca="false">"Q"&amp;ROUNDUP(MONTH(A237)/3,0)</f>
        <v>Q1</v>
      </c>
      <c r="D237" s="11" t="str">
        <f aca="false">B237&amp;"-"&amp;C237</f>
        <v>2024-Q1</v>
      </c>
      <c r="E237" s="11" t="n">
        <f aca="false">MONTH(A237)</f>
        <v>2</v>
      </c>
      <c r="F237" s="11" t="str">
        <f aca="false">TEXT(A237,"mmm")</f>
        <v>Feb</v>
      </c>
      <c r="G237" s="11" t="s">
        <v>202</v>
      </c>
      <c r="H237" s="11" t="s">
        <v>204</v>
      </c>
      <c r="I237" s="12" t="n">
        <v>9437671</v>
      </c>
      <c r="J237" s="12" t="n">
        <v>2949161</v>
      </c>
      <c r="K237" s="13" t="n">
        <f aca="false">IF(I237=0,0,J237/I237)</f>
        <v>0.312488218756513</v>
      </c>
      <c r="L237" s="12" t="n">
        <v>1242005</v>
      </c>
      <c r="M237" s="12" t="n">
        <v>884031</v>
      </c>
      <c r="N237" s="12" t="n">
        <v>88510</v>
      </c>
      <c r="O237" s="12" t="n">
        <v>40354</v>
      </c>
      <c r="P237" s="12" t="n">
        <f aca="false">M237+N237+O237</f>
        <v>1012895</v>
      </c>
      <c r="Q237" s="13" t="n">
        <f aca="false">IF(I237=0,0,P237/I237)</f>
        <v>0.107324677878684</v>
      </c>
      <c r="R237" s="13" t="n">
        <v>0.046</v>
      </c>
      <c r="S237" s="14" t="n">
        <v>7072363</v>
      </c>
      <c r="T237" s="14" t="n">
        <v>606012</v>
      </c>
      <c r="U237" s="14" t="n">
        <v>276144</v>
      </c>
      <c r="V237" s="14" t="n">
        <v>467553</v>
      </c>
      <c r="W237" s="14" t="n">
        <f aca="false">S237+T237+U237+V237</f>
        <v>8422072</v>
      </c>
      <c r="X237" s="15" t="n">
        <f aca="false">IF(P237=0,0,S237/P237)</f>
        <v>6.98232590742377</v>
      </c>
      <c r="Y237" s="15" t="n">
        <f aca="false">IF(J237=0,0,W237/J237)</f>
        <v>2.85575185620588</v>
      </c>
      <c r="Z237" s="14" t="n">
        <v>1524614</v>
      </c>
      <c r="AA237" s="15" t="n">
        <f aca="false">IF(L237=0,0,Z237/L237)</f>
        <v>1.22754256222801</v>
      </c>
      <c r="AB237" s="12" t="n">
        <v>233724559</v>
      </c>
      <c r="AC237" s="16" t="n">
        <v>11.9</v>
      </c>
      <c r="AD237" s="16" t="n">
        <v>21.2</v>
      </c>
      <c r="AE237" s="13" t="n">
        <v>0.389</v>
      </c>
      <c r="AF237" s="13" t="n">
        <v>0.585</v>
      </c>
      <c r="AG237" s="13" t="n">
        <v>0.35</v>
      </c>
      <c r="AH237" s="13" t="n">
        <v>0.209</v>
      </c>
      <c r="AI237" s="17" t="n">
        <v>4.63</v>
      </c>
    </row>
    <row r="238" customFormat="false" ht="15" hidden="false" customHeight="false" outlineLevel="0" collapsed="false">
      <c r="A238" s="10" t="n">
        <v>45323</v>
      </c>
      <c r="B238" s="11" t="n">
        <f aca="false">YEAR(A238)</f>
        <v>2024</v>
      </c>
      <c r="C238" s="11" t="str">
        <f aca="false">"Q"&amp;ROUNDUP(MONTH(A238)/3,0)</f>
        <v>Q1</v>
      </c>
      <c r="D238" s="11" t="str">
        <f aca="false">B238&amp;"-"&amp;C238</f>
        <v>2024-Q1</v>
      </c>
      <c r="E238" s="11" t="n">
        <f aca="false">MONTH(A238)</f>
        <v>2</v>
      </c>
      <c r="F238" s="11" t="str">
        <f aca="false">TEXT(A238,"mmm")</f>
        <v>Feb</v>
      </c>
      <c r="G238" s="11" t="s">
        <v>202</v>
      </c>
      <c r="H238" s="11" t="s">
        <v>205</v>
      </c>
      <c r="I238" s="12" t="n">
        <v>3236107</v>
      </c>
      <c r="J238" s="12" t="n">
        <v>906645</v>
      </c>
      <c r="K238" s="13" t="n">
        <f aca="false">IF(I238=0,0,J238/I238)</f>
        <v>0.280165334458966</v>
      </c>
      <c r="L238" s="12" t="n">
        <v>341405</v>
      </c>
      <c r="M238" s="12" t="n">
        <v>257862</v>
      </c>
      <c r="N238" s="12" t="n">
        <v>24987</v>
      </c>
      <c r="O238" s="12" t="n">
        <v>7717</v>
      </c>
      <c r="P238" s="12" t="n">
        <f aca="false">M238+N238+O238</f>
        <v>290566</v>
      </c>
      <c r="Q238" s="13" t="n">
        <f aca="false">IF(I238=0,0,P238/I238)</f>
        <v>0.089788749259527</v>
      </c>
      <c r="R238" s="13" t="n">
        <v>0.0452</v>
      </c>
      <c r="S238" s="14" t="n">
        <v>1911469</v>
      </c>
      <c r="T238" s="14" t="n">
        <v>160914</v>
      </c>
      <c r="U238" s="14" t="n">
        <v>82622</v>
      </c>
      <c r="V238" s="14" t="n">
        <v>134089</v>
      </c>
      <c r="W238" s="14" t="n">
        <f aca="false">S238+T238+U238+V238</f>
        <v>2289094</v>
      </c>
      <c r="X238" s="15" t="n">
        <f aca="false">IF(P238=0,0,S238/P238)</f>
        <v>6.57843312706924</v>
      </c>
      <c r="Y238" s="15" t="n">
        <f aca="false">IF(J238=0,0,W238/J238)</f>
        <v>2.52479636461901</v>
      </c>
      <c r="Z238" s="14" t="n">
        <v>398362</v>
      </c>
      <c r="AA238" s="15" t="n">
        <f aca="false">IF(L238=0,0,Z238/L238)</f>
        <v>1.16683118290593</v>
      </c>
      <c r="AB238" s="12" t="n">
        <v>72255303</v>
      </c>
      <c r="AC238" s="16" t="n">
        <v>10.8</v>
      </c>
      <c r="AD238" s="16" t="n">
        <v>21.7</v>
      </c>
      <c r="AE238" s="13" t="n">
        <v>0.406</v>
      </c>
      <c r="AF238" s="13" t="n">
        <v>0.564</v>
      </c>
      <c r="AG238" s="13" t="n">
        <v>0.335</v>
      </c>
      <c r="AH238" s="13" t="n">
        <v>0.205</v>
      </c>
      <c r="AI238" s="17"/>
    </row>
    <row r="239" customFormat="false" ht="15" hidden="false" customHeight="false" outlineLevel="0" collapsed="false">
      <c r="A239" s="10" t="n">
        <v>45323</v>
      </c>
      <c r="B239" s="11" t="n">
        <f aca="false">YEAR(A239)</f>
        <v>2024</v>
      </c>
      <c r="C239" s="11" t="str">
        <f aca="false">"Q"&amp;ROUNDUP(MONTH(A239)/3,0)</f>
        <v>Q1</v>
      </c>
      <c r="D239" s="11" t="str">
        <f aca="false">B239&amp;"-"&amp;C239</f>
        <v>2024-Q1</v>
      </c>
      <c r="E239" s="11" t="n">
        <f aca="false">MONTH(A239)</f>
        <v>2</v>
      </c>
      <c r="F239" s="11" t="str">
        <f aca="false">TEXT(A239,"mmm")</f>
        <v>Feb</v>
      </c>
      <c r="G239" s="11" t="s">
        <v>206</v>
      </c>
      <c r="H239" s="11" t="s">
        <v>203</v>
      </c>
      <c r="I239" s="12" t="n">
        <v>8278327</v>
      </c>
      <c r="J239" s="12" t="n">
        <v>2897135</v>
      </c>
      <c r="K239" s="13" t="n">
        <f aca="false">IF(I239=0,0,J239/I239)</f>
        <v>0.349966243179328</v>
      </c>
      <c r="L239" s="12" t="n">
        <v>1175683</v>
      </c>
      <c r="M239" s="12" t="n">
        <v>1000159</v>
      </c>
      <c r="N239" s="12" t="n">
        <v>92454</v>
      </c>
      <c r="O239" s="12" t="n">
        <v>37520</v>
      </c>
      <c r="P239" s="12" t="n">
        <f aca="false">M239+N239+O239</f>
        <v>1130133</v>
      </c>
      <c r="Q239" s="13" t="n">
        <f aca="false">IF(I239=0,0,P239/I239)</f>
        <v>0.136517076457598</v>
      </c>
      <c r="R239" s="13" t="n">
        <v>0.0462</v>
      </c>
      <c r="S239" s="14" t="n">
        <v>7278534</v>
      </c>
      <c r="T239" s="14" t="n">
        <v>605667</v>
      </c>
      <c r="U239" s="14" t="n">
        <v>289838</v>
      </c>
      <c r="V239" s="14" t="n">
        <v>465884</v>
      </c>
      <c r="W239" s="14" t="n">
        <f aca="false">S239+T239+U239+V239</f>
        <v>8639923</v>
      </c>
      <c r="X239" s="15" t="n">
        <f aca="false">IF(P239=0,0,S239/P239)</f>
        <v>6.44042249894481</v>
      </c>
      <c r="Y239" s="15" t="n">
        <f aca="false">IF(J239=0,0,W239/J239)</f>
        <v>2.98223003070275</v>
      </c>
      <c r="Z239" s="14" t="n">
        <v>1384924</v>
      </c>
      <c r="AA239" s="15" t="n">
        <f aca="false">IF(L239=0,0,Z239/L239)</f>
        <v>1.17797399469075</v>
      </c>
      <c r="AB239" s="12" t="n">
        <v>221337612</v>
      </c>
      <c r="AC239" s="16" t="n">
        <v>12.4</v>
      </c>
      <c r="AD239" s="16" t="n">
        <v>20.4</v>
      </c>
      <c r="AE239" s="13" t="n">
        <v>0.403</v>
      </c>
      <c r="AF239" s="13" t="n">
        <v>0.579</v>
      </c>
      <c r="AG239" s="13" t="n">
        <v>0.342</v>
      </c>
      <c r="AH239" s="13" t="n">
        <v>0.199</v>
      </c>
      <c r="AI239" s="17" t="n">
        <v>4.69</v>
      </c>
    </row>
    <row r="240" customFormat="false" ht="15" hidden="false" customHeight="false" outlineLevel="0" collapsed="false">
      <c r="A240" s="10" t="n">
        <v>45323</v>
      </c>
      <c r="B240" s="11" t="n">
        <f aca="false">YEAR(A240)</f>
        <v>2024</v>
      </c>
      <c r="C240" s="11" t="str">
        <f aca="false">"Q"&amp;ROUNDUP(MONTH(A240)/3,0)</f>
        <v>Q1</v>
      </c>
      <c r="D240" s="11" t="str">
        <f aca="false">B240&amp;"-"&amp;C240</f>
        <v>2024-Q1</v>
      </c>
      <c r="E240" s="11" t="n">
        <f aca="false">MONTH(A240)</f>
        <v>2</v>
      </c>
      <c r="F240" s="11" t="str">
        <f aca="false">TEXT(A240,"mmm")</f>
        <v>Feb</v>
      </c>
      <c r="G240" s="11" t="s">
        <v>206</v>
      </c>
      <c r="H240" s="11" t="s">
        <v>204</v>
      </c>
      <c r="I240" s="12" t="n">
        <v>11814306</v>
      </c>
      <c r="J240" s="12" t="n">
        <v>3614060</v>
      </c>
      <c r="K240" s="13" t="n">
        <f aca="false">IF(I240=0,0,J240/I240)</f>
        <v>0.305905399775493</v>
      </c>
      <c r="L240" s="12" t="n">
        <v>1499726</v>
      </c>
      <c r="M240" s="12" t="n">
        <v>612773</v>
      </c>
      <c r="N240" s="12" t="n">
        <v>62986</v>
      </c>
      <c r="O240" s="12" t="n">
        <v>17256</v>
      </c>
      <c r="P240" s="12" t="n">
        <f aca="false">M240+N240+O240</f>
        <v>693015</v>
      </c>
      <c r="Q240" s="13" t="n">
        <f aca="false">IF(I240=0,0,P240/I240)</f>
        <v>0.0586589682034645</v>
      </c>
      <c r="R240" s="13" t="n">
        <v>0.0431</v>
      </c>
      <c r="S240" s="14" t="n">
        <v>4221416</v>
      </c>
      <c r="T240" s="14" t="n">
        <v>379814</v>
      </c>
      <c r="U240" s="14" t="n">
        <v>159539</v>
      </c>
      <c r="V240" s="14" t="n">
        <v>270651</v>
      </c>
      <c r="W240" s="14" t="n">
        <f aca="false">S240+T240+U240+V240</f>
        <v>5031420</v>
      </c>
      <c r="X240" s="15" t="n">
        <f aca="false">IF(P240=0,0,S240/P240)</f>
        <v>6.09137753151086</v>
      </c>
      <c r="Y240" s="15" t="n">
        <f aca="false">IF(J240=0,0,W240/J240)</f>
        <v>1.39217943254954</v>
      </c>
      <c r="Z240" s="14" t="n">
        <v>899290</v>
      </c>
      <c r="AA240" s="15" t="n">
        <f aca="false">IF(L240=0,0,Z240/L240)</f>
        <v>0.599636200212572</v>
      </c>
      <c r="AB240" s="12" t="n">
        <v>267956042</v>
      </c>
      <c r="AC240" s="16" t="n">
        <v>12.2</v>
      </c>
      <c r="AD240" s="16" t="n">
        <v>21</v>
      </c>
      <c r="AE240" s="13" t="n">
        <v>0.399</v>
      </c>
      <c r="AF240" s="13" t="n">
        <v>0.579</v>
      </c>
      <c r="AG240" s="13" t="n">
        <v>0.344</v>
      </c>
      <c r="AH240" s="13" t="n">
        <v>0.193</v>
      </c>
      <c r="AI240" s="17" t="n">
        <v>4.64</v>
      </c>
    </row>
    <row r="241" customFormat="false" ht="15" hidden="false" customHeight="false" outlineLevel="0" collapsed="false">
      <c r="A241" s="10" t="n">
        <v>45323</v>
      </c>
      <c r="B241" s="11" t="n">
        <f aca="false">YEAR(A241)</f>
        <v>2024</v>
      </c>
      <c r="C241" s="11" t="str">
        <f aca="false">"Q"&amp;ROUNDUP(MONTH(A241)/3,0)</f>
        <v>Q1</v>
      </c>
      <c r="D241" s="11" t="str">
        <f aca="false">B241&amp;"-"&amp;C241</f>
        <v>2024-Q1</v>
      </c>
      <c r="E241" s="11" t="n">
        <f aca="false">MONTH(A241)</f>
        <v>2</v>
      </c>
      <c r="F241" s="11" t="str">
        <f aca="false">TEXT(A241,"mmm")</f>
        <v>Feb</v>
      </c>
      <c r="G241" s="11" t="s">
        <v>206</v>
      </c>
      <c r="H241" s="11" t="s">
        <v>205</v>
      </c>
      <c r="I241" s="12" t="n">
        <v>3524026</v>
      </c>
      <c r="J241" s="12" t="n">
        <v>970653</v>
      </c>
      <c r="K241" s="13" t="n">
        <f aca="false">IF(I241=0,0,J241/I241)</f>
        <v>0.275438660214198</v>
      </c>
      <c r="L241" s="12" t="n">
        <v>389331</v>
      </c>
      <c r="M241" s="12" t="n">
        <v>149950</v>
      </c>
      <c r="N241" s="12" t="n">
        <v>14433</v>
      </c>
      <c r="O241" s="12" t="n">
        <v>2775</v>
      </c>
      <c r="P241" s="12" t="n">
        <f aca="false">M241+N241+O241</f>
        <v>167158</v>
      </c>
      <c r="Q241" s="13" t="n">
        <f aca="false">IF(I241=0,0,P241/I241)</f>
        <v>0.0474338157550484</v>
      </c>
      <c r="R241" s="13" t="n">
        <v>0.0446</v>
      </c>
      <c r="S241" s="14" t="n">
        <v>1142498</v>
      </c>
      <c r="T241" s="14" t="n">
        <v>101303</v>
      </c>
      <c r="U241" s="14" t="n">
        <v>44901</v>
      </c>
      <c r="V241" s="14" t="n">
        <v>81290</v>
      </c>
      <c r="W241" s="14" t="n">
        <f aca="false">S241+T241+U241+V241</f>
        <v>1369992</v>
      </c>
      <c r="X241" s="15" t="n">
        <f aca="false">IF(P241=0,0,S241/P241)</f>
        <v>6.83483889493772</v>
      </c>
      <c r="Y241" s="15" t="n">
        <f aca="false">IF(J241=0,0,W241/J241)</f>
        <v>1.41141272936879</v>
      </c>
      <c r="Z241" s="14" t="n">
        <v>210959</v>
      </c>
      <c r="AA241" s="15" t="n">
        <f aca="false">IF(L241=0,0,Z241/L241)</f>
        <v>0.541849993964005</v>
      </c>
      <c r="AB241" s="12" t="n">
        <v>74177237</v>
      </c>
      <c r="AC241" s="16" t="n">
        <v>11</v>
      </c>
      <c r="AD241" s="16" t="n">
        <v>20.5</v>
      </c>
      <c r="AE241" s="13" t="n">
        <v>0.392</v>
      </c>
      <c r="AF241" s="13" t="n">
        <v>0.576</v>
      </c>
      <c r="AG241" s="13" t="n">
        <v>0.34</v>
      </c>
      <c r="AH241" s="13" t="n">
        <v>0.203</v>
      </c>
      <c r="AI241" s="17"/>
    </row>
    <row r="242" customFormat="false" ht="15" hidden="false" customHeight="false" outlineLevel="0" collapsed="false">
      <c r="A242" s="10" t="n">
        <v>45323</v>
      </c>
      <c r="B242" s="11" t="n">
        <f aca="false">YEAR(A242)</f>
        <v>2024</v>
      </c>
      <c r="C242" s="11" t="str">
        <f aca="false">"Q"&amp;ROUNDUP(MONTH(A242)/3,0)</f>
        <v>Q1</v>
      </c>
      <c r="D242" s="11" t="str">
        <f aca="false">B242&amp;"-"&amp;C242</f>
        <v>2024-Q1</v>
      </c>
      <c r="E242" s="11" t="n">
        <f aca="false">MONTH(A242)</f>
        <v>2</v>
      </c>
      <c r="F242" s="11" t="str">
        <f aca="false">TEXT(A242,"mmm")</f>
        <v>Feb</v>
      </c>
      <c r="G242" s="11" t="s">
        <v>207</v>
      </c>
      <c r="H242" s="11" t="s">
        <v>203</v>
      </c>
      <c r="I242" s="12" t="n">
        <v>6925495</v>
      </c>
      <c r="J242" s="12" t="n">
        <v>2169605</v>
      </c>
      <c r="K242" s="13" t="n">
        <f aca="false">IF(I242=0,0,J242/I242)</f>
        <v>0.313277967856449</v>
      </c>
      <c r="L242" s="12" t="n">
        <v>826459</v>
      </c>
      <c r="M242" s="12" t="n">
        <v>497930</v>
      </c>
      <c r="N242" s="12" t="n">
        <v>51273</v>
      </c>
      <c r="O242" s="12" t="n">
        <v>13067</v>
      </c>
      <c r="P242" s="12" t="n">
        <f aca="false">M242+N242+O242</f>
        <v>562270</v>
      </c>
      <c r="Q242" s="13" t="n">
        <f aca="false">IF(I242=0,0,P242/I242)</f>
        <v>0.0811884204666959</v>
      </c>
      <c r="R242" s="13" t="n">
        <v>0.0444</v>
      </c>
      <c r="S242" s="14" t="n">
        <v>3565544</v>
      </c>
      <c r="T242" s="14" t="n">
        <v>289727</v>
      </c>
      <c r="U242" s="14" t="n">
        <v>148751</v>
      </c>
      <c r="V242" s="14" t="n">
        <v>233690</v>
      </c>
      <c r="W242" s="14" t="n">
        <f aca="false">S242+T242+U242+V242</f>
        <v>4237712</v>
      </c>
      <c r="X242" s="15" t="n">
        <f aca="false">IF(P242=0,0,S242/P242)</f>
        <v>6.34133779145251</v>
      </c>
      <c r="Y242" s="15" t="n">
        <f aca="false">IF(J242=0,0,W242/J242)</f>
        <v>1.95321821253177</v>
      </c>
      <c r="Z242" s="14" t="n">
        <v>710784</v>
      </c>
      <c r="AA242" s="15" t="n">
        <f aca="false">IF(L242=0,0,Z242/L242)</f>
        <v>0.860035404055132</v>
      </c>
      <c r="AB242" s="12" t="n">
        <v>176244111</v>
      </c>
      <c r="AC242" s="16" t="n">
        <v>12.7</v>
      </c>
      <c r="AD242" s="16" t="n">
        <v>21.1</v>
      </c>
      <c r="AE242" s="13" t="n">
        <v>0.404</v>
      </c>
      <c r="AF242" s="13" t="n">
        <v>0.594</v>
      </c>
      <c r="AG242" s="13" t="n">
        <v>0.333</v>
      </c>
      <c r="AH242" s="13" t="n">
        <v>0.204</v>
      </c>
      <c r="AI242" s="17" t="n">
        <v>4.68</v>
      </c>
    </row>
    <row r="243" customFormat="false" ht="15" hidden="false" customHeight="false" outlineLevel="0" collapsed="false">
      <c r="A243" s="10" t="n">
        <v>45323</v>
      </c>
      <c r="B243" s="11" t="n">
        <f aca="false">YEAR(A243)</f>
        <v>2024</v>
      </c>
      <c r="C243" s="11" t="str">
        <f aca="false">"Q"&amp;ROUNDUP(MONTH(A243)/3,0)</f>
        <v>Q1</v>
      </c>
      <c r="D243" s="11" t="str">
        <f aca="false">B243&amp;"-"&amp;C243</f>
        <v>2024-Q1</v>
      </c>
      <c r="E243" s="11" t="n">
        <f aca="false">MONTH(A243)</f>
        <v>2</v>
      </c>
      <c r="F243" s="11" t="str">
        <f aca="false">TEXT(A243,"mmm")</f>
        <v>Feb</v>
      </c>
      <c r="G243" s="11" t="s">
        <v>207</v>
      </c>
      <c r="H243" s="11" t="s">
        <v>204</v>
      </c>
      <c r="I243" s="12" t="n">
        <v>8620266</v>
      </c>
      <c r="J243" s="12" t="n">
        <v>2553812</v>
      </c>
      <c r="K243" s="13" t="n">
        <f aca="false">IF(I243=0,0,J243/I243)</f>
        <v>0.296256751241783</v>
      </c>
      <c r="L243" s="12" t="n">
        <v>935501</v>
      </c>
      <c r="M243" s="12" t="n">
        <v>278699</v>
      </c>
      <c r="N243" s="12" t="n">
        <v>31062</v>
      </c>
      <c r="O243" s="12" t="n">
        <v>5495</v>
      </c>
      <c r="P243" s="12" t="n">
        <f aca="false">M243+N243+O243</f>
        <v>315256</v>
      </c>
      <c r="Q243" s="13" t="n">
        <f aca="false">IF(I243=0,0,P243/I243)</f>
        <v>0.0365714932694652</v>
      </c>
      <c r="R243" s="13" t="n">
        <v>0.0411</v>
      </c>
      <c r="S243" s="14" t="n">
        <v>1983984</v>
      </c>
      <c r="T243" s="14" t="n">
        <v>165431</v>
      </c>
      <c r="U243" s="14" t="n">
        <v>76071</v>
      </c>
      <c r="V243" s="14" t="n">
        <v>130253</v>
      </c>
      <c r="W243" s="14" t="n">
        <f aca="false">S243+T243+U243+V243</f>
        <v>2355739</v>
      </c>
      <c r="X243" s="15" t="n">
        <f aca="false">IF(P243=0,0,S243/P243)</f>
        <v>6.29324739259522</v>
      </c>
      <c r="Y243" s="15" t="n">
        <f aca="false">IF(J243=0,0,W243/J243)</f>
        <v>0.92244025793598</v>
      </c>
      <c r="Z243" s="14" t="n">
        <v>389857</v>
      </c>
      <c r="AA243" s="15" t="n">
        <f aca="false">IF(L243=0,0,Z243/L243)</f>
        <v>0.416736059074229</v>
      </c>
      <c r="AB243" s="12" t="n">
        <v>202610179</v>
      </c>
      <c r="AC243" s="16" t="n">
        <v>12</v>
      </c>
      <c r="AD243" s="16" t="n">
        <v>21.8</v>
      </c>
      <c r="AE243" s="13" t="n">
        <v>0.41</v>
      </c>
      <c r="AF243" s="13" t="n">
        <v>0.575</v>
      </c>
      <c r="AG243" s="13" t="n">
        <v>0.354</v>
      </c>
      <c r="AH243" s="13" t="n">
        <v>0.201</v>
      </c>
      <c r="AI243" s="17" t="n">
        <v>4.62</v>
      </c>
    </row>
    <row r="244" customFormat="false" ht="15" hidden="false" customHeight="false" outlineLevel="0" collapsed="false">
      <c r="A244" s="10" t="n">
        <v>45323</v>
      </c>
      <c r="B244" s="11" t="n">
        <f aca="false">YEAR(A244)</f>
        <v>2024</v>
      </c>
      <c r="C244" s="11" t="str">
        <f aca="false">"Q"&amp;ROUNDUP(MONTH(A244)/3,0)</f>
        <v>Q1</v>
      </c>
      <c r="D244" s="11" t="str">
        <f aca="false">B244&amp;"-"&amp;C244</f>
        <v>2024-Q1</v>
      </c>
      <c r="E244" s="11" t="n">
        <f aca="false">MONTH(A244)</f>
        <v>2</v>
      </c>
      <c r="F244" s="11" t="str">
        <f aca="false">TEXT(A244,"mmm")</f>
        <v>Feb</v>
      </c>
      <c r="G244" s="11" t="s">
        <v>207</v>
      </c>
      <c r="H244" s="11" t="s">
        <v>205</v>
      </c>
      <c r="I244" s="12" t="n">
        <v>2704556</v>
      </c>
      <c r="J244" s="12" t="n">
        <v>709891</v>
      </c>
      <c r="K244" s="13" t="n">
        <f aca="false">IF(I244=0,0,J244/I244)</f>
        <v>0.262479682432163</v>
      </c>
      <c r="L244" s="12" t="n">
        <v>283914</v>
      </c>
      <c r="M244" s="12" t="n">
        <v>77719</v>
      </c>
      <c r="N244" s="12" t="n">
        <v>7318</v>
      </c>
      <c r="O244" s="12" t="n">
        <v>1000</v>
      </c>
      <c r="P244" s="12" t="n">
        <f aca="false">M244+N244+O244</f>
        <v>86037</v>
      </c>
      <c r="Q244" s="13" t="n">
        <f aca="false">IF(I244=0,0,P244/I244)</f>
        <v>0.0318118759604164</v>
      </c>
      <c r="R244" s="13" t="n">
        <v>0.0439</v>
      </c>
      <c r="S244" s="14" t="n">
        <v>521026</v>
      </c>
      <c r="T244" s="14" t="n">
        <v>46798</v>
      </c>
      <c r="U244" s="14" t="n">
        <v>22610</v>
      </c>
      <c r="V244" s="14" t="n">
        <v>36211</v>
      </c>
      <c r="W244" s="14" t="n">
        <f aca="false">S244+T244+U244+V244</f>
        <v>626645</v>
      </c>
      <c r="X244" s="15" t="n">
        <f aca="false">IF(P244=0,0,S244/P244)</f>
        <v>6.0558364424608</v>
      </c>
      <c r="Y244" s="15" t="n">
        <f aca="false">IF(J244=0,0,W244/J244)</f>
        <v>0.882734109884475</v>
      </c>
      <c r="Z244" s="14" t="n">
        <v>106739</v>
      </c>
      <c r="AA244" s="15" t="n">
        <f aca="false">IF(L244=0,0,Z244/L244)</f>
        <v>0.375955394943539</v>
      </c>
      <c r="AB244" s="12" t="n">
        <v>54615181</v>
      </c>
      <c r="AC244" s="16" t="n">
        <v>11</v>
      </c>
      <c r="AD244" s="16" t="n">
        <v>21.2</v>
      </c>
      <c r="AE244" s="13" t="n">
        <v>0.399</v>
      </c>
      <c r="AF244" s="13" t="n">
        <v>0.57</v>
      </c>
      <c r="AG244" s="13" t="n">
        <v>0.353</v>
      </c>
      <c r="AH244" s="13" t="n">
        <v>0.209</v>
      </c>
      <c r="AI244" s="17"/>
    </row>
    <row r="245" customFormat="false" ht="15" hidden="false" customHeight="false" outlineLevel="0" collapsed="false">
      <c r="A245" s="10" t="n">
        <v>45323</v>
      </c>
      <c r="B245" s="11" t="n">
        <f aca="false">YEAR(A245)</f>
        <v>2024</v>
      </c>
      <c r="C245" s="11" t="str">
        <f aca="false">"Q"&amp;ROUNDUP(MONTH(A245)/3,0)</f>
        <v>Q1</v>
      </c>
      <c r="D245" s="11" t="str">
        <f aca="false">B245&amp;"-"&amp;C245</f>
        <v>2024-Q1</v>
      </c>
      <c r="E245" s="11" t="n">
        <f aca="false">MONTH(A245)</f>
        <v>2</v>
      </c>
      <c r="F245" s="11" t="str">
        <f aca="false">TEXT(A245,"mmm")</f>
        <v>Feb</v>
      </c>
      <c r="G245" s="11" t="s">
        <v>208</v>
      </c>
      <c r="H245" s="11" t="s">
        <v>203</v>
      </c>
      <c r="I245" s="12" t="n">
        <v>5530248</v>
      </c>
      <c r="J245" s="12" t="n">
        <v>1893721</v>
      </c>
      <c r="K245" s="13" t="n">
        <f aca="false">IF(I245=0,0,J245/I245)</f>
        <v>0.34242967042346</v>
      </c>
      <c r="L245" s="12" t="n">
        <v>772643</v>
      </c>
      <c r="M245" s="12" t="n">
        <v>246549</v>
      </c>
      <c r="N245" s="12" t="n">
        <v>25059</v>
      </c>
      <c r="O245" s="12" t="n">
        <v>4585</v>
      </c>
      <c r="P245" s="12" t="n">
        <f aca="false">M245+N245+O245</f>
        <v>276193</v>
      </c>
      <c r="Q245" s="13" t="n">
        <f aca="false">IF(I245=0,0,P245/I245)</f>
        <v>0.0499422449047493</v>
      </c>
      <c r="R245" s="13" t="n">
        <v>0.0456</v>
      </c>
      <c r="S245" s="14" t="n">
        <v>1718033</v>
      </c>
      <c r="T245" s="14" t="n">
        <v>133049</v>
      </c>
      <c r="U245" s="14" t="n">
        <v>74305</v>
      </c>
      <c r="V245" s="14" t="n">
        <v>121891</v>
      </c>
      <c r="W245" s="14" t="n">
        <f aca="false">S245+T245+U245+V245</f>
        <v>2047278</v>
      </c>
      <c r="X245" s="15" t="n">
        <f aca="false">IF(P245=0,0,S245/P245)</f>
        <v>6.22040746869037</v>
      </c>
      <c r="Y245" s="15" t="n">
        <f aca="false">IF(J245=0,0,W245/J245)</f>
        <v>1.08108744635561</v>
      </c>
      <c r="Z245" s="14" t="n">
        <v>391745</v>
      </c>
      <c r="AA245" s="15" t="n">
        <f aca="false">IF(L245=0,0,Z245/L245)</f>
        <v>0.507019412587702</v>
      </c>
      <c r="AB245" s="12" t="n">
        <v>153113514</v>
      </c>
      <c r="AC245" s="16" t="n">
        <v>12.5</v>
      </c>
      <c r="AD245" s="16" t="n">
        <v>20.2</v>
      </c>
      <c r="AE245" s="13" t="n">
        <v>0.406</v>
      </c>
      <c r="AF245" s="13" t="n">
        <v>0.573</v>
      </c>
      <c r="AG245" s="13" t="n">
        <v>0.343</v>
      </c>
      <c r="AH245" s="13" t="n">
        <v>0.196</v>
      </c>
      <c r="AI245" s="17" t="n">
        <v>4.68</v>
      </c>
    </row>
    <row r="246" customFormat="false" ht="15" hidden="false" customHeight="false" outlineLevel="0" collapsed="false">
      <c r="A246" s="10" t="n">
        <v>45323</v>
      </c>
      <c r="B246" s="11" t="n">
        <f aca="false">YEAR(A246)</f>
        <v>2024</v>
      </c>
      <c r="C246" s="11" t="str">
        <f aca="false">"Q"&amp;ROUNDUP(MONTH(A246)/3,0)</f>
        <v>Q1</v>
      </c>
      <c r="D246" s="11" t="str">
        <f aca="false">B246&amp;"-"&amp;C246</f>
        <v>2024-Q1</v>
      </c>
      <c r="E246" s="11" t="n">
        <f aca="false">MONTH(A246)</f>
        <v>2</v>
      </c>
      <c r="F246" s="11" t="str">
        <f aca="false">TEXT(A246,"mmm")</f>
        <v>Feb</v>
      </c>
      <c r="G246" s="11" t="s">
        <v>208</v>
      </c>
      <c r="H246" s="11" t="s">
        <v>204</v>
      </c>
      <c r="I246" s="12" t="n">
        <v>7231425</v>
      </c>
      <c r="J246" s="12" t="n">
        <v>2279820</v>
      </c>
      <c r="K246" s="13" t="n">
        <f aca="false">IF(I246=0,0,J246/I246)</f>
        <v>0.31526566340659</v>
      </c>
      <c r="L246" s="12" t="n">
        <v>783128</v>
      </c>
      <c r="M246" s="12" t="n">
        <v>138395</v>
      </c>
      <c r="N246" s="12" t="n">
        <v>14695</v>
      </c>
      <c r="O246" s="12" t="n">
        <v>1930</v>
      </c>
      <c r="P246" s="12" t="n">
        <f aca="false">M246+N246+O246</f>
        <v>155020</v>
      </c>
      <c r="Q246" s="13" t="n">
        <f aca="false">IF(I246=0,0,P246/I246)</f>
        <v>0.0214369920174793</v>
      </c>
      <c r="R246" s="13" t="n">
        <v>0.0415</v>
      </c>
      <c r="S246" s="14" t="n">
        <v>945914</v>
      </c>
      <c r="T246" s="14" t="n">
        <v>87649</v>
      </c>
      <c r="U246" s="14" t="n">
        <v>38930</v>
      </c>
      <c r="V246" s="14" t="n">
        <v>67850</v>
      </c>
      <c r="W246" s="14" t="n">
        <f aca="false">S246+T246+U246+V246</f>
        <v>1140343</v>
      </c>
      <c r="X246" s="15" t="n">
        <f aca="false">IF(P246=0,0,S246/P246)</f>
        <v>6.10188362791898</v>
      </c>
      <c r="Y246" s="15" t="n">
        <f aca="false">IF(J246=0,0,W246/J246)</f>
        <v>0.50018992727496</v>
      </c>
      <c r="Z246" s="14" t="n">
        <v>221918</v>
      </c>
      <c r="AA246" s="15" t="n">
        <f aca="false">IF(L246=0,0,Z246/L246)</f>
        <v>0.283373854593374</v>
      </c>
      <c r="AB246" s="12" t="n">
        <v>174585334</v>
      </c>
      <c r="AC246" s="16" t="n">
        <v>12</v>
      </c>
      <c r="AD246" s="16" t="n">
        <v>20.7</v>
      </c>
      <c r="AE246" s="13" t="n">
        <v>0.41</v>
      </c>
      <c r="AF246" s="13" t="n">
        <v>0.566</v>
      </c>
      <c r="AG246" s="13" t="n">
        <v>0.351</v>
      </c>
      <c r="AH246" s="13" t="n">
        <v>0.201</v>
      </c>
      <c r="AI246" s="17" t="n">
        <v>4.62</v>
      </c>
    </row>
    <row r="247" customFormat="false" ht="15" hidden="false" customHeight="false" outlineLevel="0" collapsed="false">
      <c r="A247" s="10" t="n">
        <v>45323</v>
      </c>
      <c r="B247" s="11" t="n">
        <f aca="false">YEAR(A247)</f>
        <v>2024</v>
      </c>
      <c r="C247" s="11" t="str">
        <f aca="false">"Q"&amp;ROUNDUP(MONTH(A247)/3,0)</f>
        <v>Q1</v>
      </c>
      <c r="D247" s="11" t="str">
        <f aca="false">B247&amp;"-"&amp;C247</f>
        <v>2024-Q1</v>
      </c>
      <c r="E247" s="11" t="n">
        <f aca="false">MONTH(A247)</f>
        <v>2</v>
      </c>
      <c r="F247" s="11" t="str">
        <f aca="false">TEXT(A247,"mmm")</f>
        <v>Feb</v>
      </c>
      <c r="G247" s="11" t="s">
        <v>208</v>
      </c>
      <c r="H247" s="11" t="s">
        <v>205</v>
      </c>
      <c r="I247" s="12" t="n">
        <v>2300139</v>
      </c>
      <c r="J247" s="12" t="n">
        <v>643059</v>
      </c>
      <c r="K247" s="13" t="n">
        <f aca="false">IF(I247=0,0,J247/I247)</f>
        <v>0.279573973572902</v>
      </c>
      <c r="L247" s="12" t="n">
        <v>218268</v>
      </c>
      <c r="M247" s="12" t="n">
        <v>35822</v>
      </c>
      <c r="N247" s="12" t="n">
        <v>3524</v>
      </c>
      <c r="O247" s="12" t="n">
        <v>329</v>
      </c>
      <c r="P247" s="12" t="n">
        <f aca="false">M247+N247+O247</f>
        <v>39675</v>
      </c>
      <c r="Q247" s="13" t="n">
        <f aca="false">IF(I247=0,0,P247/I247)</f>
        <v>0.0172489575629995</v>
      </c>
      <c r="R247" s="13" t="n">
        <v>0.0435</v>
      </c>
      <c r="S247" s="14" t="n">
        <v>260426</v>
      </c>
      <c r="T247" s="14" t="n">
        <v>22511</v>
      </c>
      <c r="U247" s="14" t="n">
        <v>11560</v>
      </c>
      <c r="V247" s="14" t="n">
        <v>17676</v>
      </c>
      <c r="W247" s="14" t="n">
        <f aca="false">S247+T247+U247+V247</f>
        <v>312173</v>
      </c>
      <c r="X247" s="15" t="n">
        <f aca="false">IF(P247=0,0,S247/P247)</f>
        <v>6.56398235664776</v>
      </c>
      <c r="Y247" s="15" t="n">
        <f aca="false">IF(J247=0,0,W247/J247)</f>
        <v>0.485450013140318</v>
      </c>
      <c r="Z247" s="14" t="n">
        <v>53184</v>
      </c>
      <c r="AA247" s="15" t="n">
        <f aca="false">IF(L247=0,0,Z247/L247)</f>
        <v>0.243663752817637</v>
      </c>
      <c r="AB247" s="12" t="n">
        <v>47845673</v>
      </c>
      <c r="AC247" s="16" t="n">
        <v>10.9</v>
      </c>
      <c r="AD247" s="16" t="n">
        <v>21.9</v>
      </c>
      <c r="AE247" s="13" t="n">
        <v>0.414</v>
      </c>
      <c r="AF247" s="13" t="n">
        <v>0.579</v>
      </c>
      <c r="AG247" s="13" t="n">
        <v>0.346</v>
      </c>
      <c r="AH247" s="13" t="n">
        <v>0.197</v>
      </c>
      <c r="AI247" s="17"/>
    </row>
    <row r="248" customFormat="false" ht="15" hidden="false" customHeight="false" outlineLevel="0" collapsed="false">
      <c r="A248" s="10" t="n">
        <v>45323</v>
      </c>
      <c r="B248" s="11" t="n">
        <f aca="false">YEAR(A248)</f>
        <v>2024</v>
      </c>
      <c r="C248" s="11" t="str">
        <f aca="false">"Q"&amp;ROUNDUP(MONTH(A248)/3,0)</f>
        <v>Q1</v>
      </c>
      <c r="D248" s="11" t="str">
        <f aca="false">B248&amp;"-"&amp;C248</f>
        <v>2024-Q1</v>
      </c>
      <c r="E248" s="11" t="n">
        <f aca="false">MONTH(A248)</f>
        <v>2</v>
      </c>
      <c r="F248" s="11" t="str">
        <f aca="false">TEXT(A248,"mmm")</f>
        <v>Feb</v>
      </c>
      <c r="G248" s="11" t="s">
        <v>209</v>
      </c>
      <c r="H248" s="11" t="s">
        <v>203</v>
      </c>
      <c r="I248" s="12" t="n">
        <v>3470985</v>
      </c>
      <c r="J248" s="12" t="n">
        <v>1110007</v>
      </c>
      <c r="K248" s="13" t="n">
        <f aca="false">IF(I248=0,0,J248/I248)</f>
        <v>0.319795965698498</v>
      </c>
      <c r="L248" s="12" t="n">
        <v>434671</v>
      </c>
      <c r="M248" s="12" t="n">
        <v>88484</v>
      </c>
      <c r="N248" s="12" t="n">
        <v>9398</v>
      </c>
      <c r="O248" s="12" t="n">
        <v>1317</v>
      </c>
      <c r="P248" s="12" t="n">
        <f aca="false">M248+N248+O248</f>
        <v>99199</v>
      </c>
      <c r="Q248" s="13" t="n">
        <f aca="false">IF(I248=0,0,P248/I248)</f>
        <v>0.0285794954458173</v>
      </c>
      <c r="R248" s="13" t="n">
        <v>0.0439</v>
      </c>
      <c r="S248" s="14" t="n">
        <v>686876</v>
      </c>
      <c r="T248" s="14" t="n">
        <v>58614</v>
      </c>
      <c r="U248" s="14" t="n">
        <v>28219</v>
      </c>
      <c r="V248" s="14" t="n">
        <v>51657</v>
      </c>
      <c r="W248" s="14" t="n">
        <f aca="false">S248+T248+U248+V248</f>
        <v>825366</v>
      </c>
      <c r="X248" s="15" t="n">
        <f aca="false">IF(P248=0,0,S248/P248)</f>
        <v>6.9242230264418</v>
      </c>
      <c r="Y248" s="15" t="n">
        <f aca="false">IF(J248=0,0,W248/J248)</f>
        <v>0.743568283803616</v>
      </c>
      <c r="Z248" s="14" t="n">
        <v>148727</v>
      </c>
      <c r="AA248" s="15" t="n">
        <f aca="false">IF(L248=0,0,Z248/L248)</f>
        <v>0.342159932454661</v>
      </c>
      <c r="AB248" s="12" t="n">
        <v>85810033</v>
      </c>
      <c r="AC248" s="16" t="n">
        <v>12.5</v>
      </c>
      <c r="AD248" s="16" t="n">
        <v>21.1</v>
      </c>
      <c r="AE248" s="13" t="n">
        <v>0.398</v>
      </c>
      <c r="AF248" s="13" t="n">
        <v>0.575</v>
      </c>
      <c r="AG248" s="13" t="n">
        <v>0.354</v>
      </c>
      <c r="AH248" s="13" t="n">
        <v>0.207</v>
      </c>
      <c r="AI248" s="17" t="n">
        <v>4.65</v>
      </c>
    </row>
    <row r="249" customFormat="false" ht="15" hidden="false" customHeight="false" outlineLevel="0" collapsed="false">
      <c r="A249" s="10" t="n">
        <v>45323</v>
      </c>
      <c r="B249" s="11" t="n">
        <f aca="false">YEAR(A249)</f>
        <v>2024</v>
      </c>
      <c r="C249" s="11" t="str">
        <f aca="false">"Q"&amp;ROUNDUP(MONTH(A249)/3,0)</f>
        <v>Q1</v>
      </c>
      <c r="D249" s="11" t="str">
        <f aca="false">B249&amp;"-"&amp;C249</f>
        <v>2024-Q1</v>
      </c>
      <c r="E249" s="11" t="n">
        <f aca="false">MONTH(A249)</f>
        <v>2</v>
      </c>
      <c r="F249" s="11" t="str">
        <f aca="false">TEXT(A249,"mmm")</f>
        <v>Feb</v>
      </c>
      <c r="G249" s="11" t="s">
        <v>209</v>
      </c>
      <c r="H249" s="11" t="s">
        <v>204</v>
      </c>
      <c r="I249" s="12" t="n">
        <v>4376670</v>
      </c>
      <c r="J249" s="12" t="n">
        <v>1294468</v>
      </c>
      <c r="K249" s="13" t="n">
        <f aca="false">IF(I249=0,0,J249/I249)</f>
        <v>0.295765502082634</v>
      </c>
      <c r="L249" s="12" t="n">
        <v>508753</v>
      </c>
      <c r="M249" s="12" t="n">
        <v>52702</v>
      </c>
      <c r="N249" s="12" t="n">
        <v>5374</v>
      </c>
      <c r="O249" s="12" t="n">
        <v>584</v>
      </c>
      <c r="P249" s="12" t="n">
        <f aca="false">M249+N249+O249</f>
        <v>58660</v>
      </c>
      <c r="Q249" s="13" t="n">
        <f aca="false">IF(I249=0,0,P249/I249)</f>
        <v>0.013402883927735</v>
      </c>
      <c r="R249" s="13" t="n">
        <v>0.0418</v>
      </c>
      <c r="S249" s="14" t="n">
        <v>364044</v>
      </c>
      <c r="T249" s="14" t="n">
        <v>33284</v>
      </c>
      <c r="U249" s="14" t="n">
        <v>15897</v>
      </c>
      <c r="V249" s="14" t="n">
        <v>26533</v>
      </c>
      <c r="W249" s="14" t="n">
        <f aca="false">S249+T249+U249+V249</f>
        <v>439758</v>
      </c>
      <c r="X249" s="15" t="n">
        <f aca="false">IF(P249=0,0,S249/P249)</f>
        <v>6.20600068189567</v>
      </c>
      <c r="Y249" s="15" t="n">
        <f aca="false">IF(J249=0,0,W249/J249)</f>
        <v>0.339721028252533</v>
      </c>
      <c r="Z249" s="14" t="n">
        <v>79078</v>
      </c>
      <c r="AA249" s="15" t="n">
        <f aca="false">IF(L249=0,0,Z249/L249)</f>
        <v>0.155434955666109</v>
      </c>
      <c r="AB249" s="12" t="n">
        <v>100696100</v>
      </c>
      <c r="AC249" s="16" t="n">
        <v>12.3</v>
      </c>
      <c r="AD249" s="16" t="n">
        <v>20.5</v>
      </c>
      <c r="AE249" s="13" t="n">
        <v>0.416</v>
      </c>
      <c r="AF249" s="13" t="n">
        <v>0.581</v>
      </c>
      <c r="AG249" s="13" t="n">
        <v>0.352</v>
      </c>
      <c r="AH249" s="13" t="n">
        <v>0.203</v>
      </c>
      <c r="AI249" s="17" t="n">
        <v>4.64</v>
      </c>
    </row>
    <row r="250" customFormat="false" ht="15" hidden="false" customHeight="false" outlineLevel="0" collapsed="false">
      <c r="A250" s="10" t="n">
        <v>45323</v>
      </c>
      <c r="B250" s="11" t="n">
        <f aca="false">YEAR(A250)</f>
        <v>2024</v>
      </c>
      <c r="C250" s="11" t="str">
        <f aca="false">"Q"&amp;ROUNDUP(MONTH(A250)/3,0)</f>
        <v>Q1</v>
      </c>
      <c r="D250" s="11" t="str">
        <f aca="false">B250&amp;"-"&amp;C250</f>
        <v>2024-Q1</v>
      </c>
      <c r="E250" s="11" t="n">
        <f aca="false">MONTH(A250)</f>
        <v>2</v>
      </c>
      <c r="F250" s="11" t="str">
        <f aca="false">TEXT(A250,"mmm")</f>
        <v>Feb</v>
      </c>
      <c r="G250" s="11" t="s">
        <v>209</v>
      </c>
      <c r="H250" s="11" t="s">
        <v>205</v>
      </c>
      <c r="I250" s="12" t="n">
        <v>1365614</v>
      </c>
      <c r="J250" s="12" t="n">
        <v>359053</v>
      </c>
      <c r="K250" s="13" t="n">
        <f aca="false">IF(I250=0,0,J250/I250)</f>
        <v>0.262924223096717</v>
      </c>
      <c r="L250" s="12" t="n">
        <v>147841</v>
      </c>
      <c r="M250" s="12" t="n">
        <v>13410</v>
      </c>
      <c r="N250" s="12" t="n">
        <v>1358</v>
      </c>
      <c r="O250" s="12" t="n">
        <v>99</v>
      </c>
      <c r="P250" s="12" t="n">
        <f aca="false">M250+N250+O250</f>
        <v>14867</v>
      </c>
      <c r="Q250" s="13" t="n">
        <f aca="false">IF(I250=0,0,P250/I250)</f>
        <v>0.010886678080336</v>
      </c>
      <c r="R250" s="13" t="n">
        <v>0.0479</v>
      </c>
      <c r="S250" s="14" t="n">
        <v>101576</v>
      </c>
      <c r="T250" s="14" t="n">
        <v>9196</v>
      </c>
      <c r="U250" s="14" t="n">
        <v>4142</v>
      </c>
      <c r="V250" s="14" t="n">
        <v>6961</v>
      </c>
      <c r="W250" s="14" t="n">
        <f aca="false">S250+T250+U250+V250</f>
        <v>121875</v>
      </c>
      <c r="X250" s="15" t="n">
        <f aca="false">IF(P250=0,0,S250/P250)</f>
        <v>6.8323131768346</v>
      </c>
      <c r="Y250" s="15" t="n">
        <f aca="false">IF(J250=0,0,W250/J250)</f>
        <v>0.339434568155676</v>
      </c>
      <c r="Z250" s="14" t="n">
        <v>22288</v>
      </c>
      <c r="AA250" s="15" t="n">
        <f aca="false">IF(L250=0,0,Z250/L250)</f>
        <v>0.150756556029789</v>
      </c>
      <c r="AB250" s="12" t="n">
        <v>26590013</v>
      </c>
      <c r="AC250" s="16" t="n">
        <v>10.8</v>
      </c>
      <c r="AD250" s="16" t="n">
        <v>21.1</v>
      </c>
      <c r="AE250" s="13" t="n">
        <v>0.397</v>
      </c>
      <c r="AF250" s="13" t="n">
        <v>0.576</v>
      </c>
      <c r="AG250" s="13" t="n">
        <v>0.351</v>
      </c>
      <c r="AH250" s="13" t="n">
        <v>0.202</v>
      </c>
      <c r="AI250" s="17"/>
    </row>
    <row r="251" customFormat="false" ht="15" hidden="false" customHeight="false" outlineLevel="0" collapsed="false">
      <c r="A251" s="10" t="n">
        <v>45323</v>
      </c>
      <c r="B251" s="11" t="n">
        <f aca="false">YEAR(A251)</f>
        <v>2024</v>
      </c>
      <c r="C251" s="11" t="str">
        <f aca="false">"Q"&amp;ROUNDUP(MONTH(A251)/3,0)</f>
        <v>Q1</v>
      </c>
      <c r="D251" s="11" t="str">
        <f aca="false">B251&amp;"-"&amp;C251</f>
        <v>2024-Q1</v>
      </c>
      <c r="E251" s="11" t="n">
        <f aca="false">MONTH(A251)</f>
        <v>2</v>
      </c>
      <c r="F251" s="11" t="str">
        <f aca="false">TEXT(A251,"mmm")</f>
        <v>Feb</v>
      </c>
      <c r="G251" s="11" t="s">
        <v>210</v>
      </c>
      <c r="H251" s="11" t="s">
        <v>203</v>
      </c>
      <c r="I251" s="12" t="n">
        <v>6339082</v>
      </c>
      <c r="J251" s="12" t="n">
        <v>2003027</v>
      </c>
      <c r="K251" s="13" t="n">
        <f aca="false">IF(I251=0,0,J251/I251)</f>
        <v>0.315980610441701</v>
      </c>
      <c r="L251" s="12" t="n">
        <v>666449</v>
      </c>
      <c r="M251" s="12" t="n">
        <v>171655</v>
      </c>
      <c r="N251" s="12" t="n">
        <v>16473</v>
      </c>
      <c r="O251" s="12" t="n">
        <v>2532</v>
      </c>
      <c r="P251" s="12" t="n">
        <f aca="false">M251+N251+O251</f>
        <v>190660</v>
      </c>
      <c r="Q251" s="13" t="n">
        <f aca="false">IF(I251=0,0,P251/I251)</f>
        <v>0.0300769101898351</v>
      </c>
      <c r="R251" s="13" t="n">
        <v>0.0452</v>
      </c>
      <c r="S251" s="14" t="n">
        <v>1252182</v>
      </c>
      <c r="T251" s="14" t="n">
        <v>101400</v>
      </c>
      <c r="U251" s="14" t="n">
        <v>48425</v>
      </c>
      <c r="V251" s="14" t="n">
        <v>87474</v>
      </c>
      <c r="W251" s="14" t="n">
        <f aca="false">S251+T251+U251+V251</f>
        <v>1489481</v>
      </c>
      <c r="X251" s="15" t="n">
        <f aca="false">IF(P251=0,0,S251/P251)</f>
        <v>6.56761774887234</v>
      </c>
      <c r="Y251" s="15" t="n">
        <f aca="false">IF(J251=0,0,W251/J251)</f>
        <v>0.74361503863902</v>
      </c>
      <c r="Z251" s="14" t="n">
        <v>230690</v>
      </c>
      <c r="AA251" s="15" t="n">
        <f aca="false">IF(L251=0,0,Z251/L251)</f>
        <v>0.346148017327658</v>
      </c>
      <c r="AB251" s="12" t="n">
        <v>158667455</v>
      </c>
      <c r="AC251" s="16" t="n">
        <v>12.4</v>
      </c>
      <c r="AD251" s="16" t="n">
        <v>20.4</v>
      </c>
      <c r="AE251" s="13" t="n">
        <v>0.387</v>
      </c>
      <c r="AF251" s="13" t="n">
        <v>0.569</v>
      </c>
      <c r="AG251" s="13" t="n">
        <v>0.352</v>
      </c>
      <c r="AH251" s="13" t="n">
        <v>0.204</v>
      </c>
      <c r="AI251" s="17" t="n">
        <v>4.72</v>
      </c>
    </row>
    <row r="252" customFormat="false" ht="15" hidden="false" customHeight="false" outlineLevel="0" collapsed="false">
      <c r="A252" s="10" t="n">
        <v>45323</v>
      </c>
      <c r="B252" s="11" t="n">
        <f aca="false">YEAR(A252)</f>
        <v>2024</v>
      </c>
      <c r="C252" s="11" t="str">
        <f aca="false">"Q"&amp;ROUNDUP(MONTH(A252)/3,0)</f>
        <v>Q1</v>
      </c>
      <c r="D252" s="11" t="str">
        <f aca="false">B252&amp;"-"&amp;C252</f>
        <v>2024-Q1</v>
      </c>
      <c r="E252" s="11" t="n">
        <f aca="false">MONTH(A252)</f>
        <v>2</v>
      </c>
      <c r="F252" s="11" t="str">
        <f aca="false">TEXT(A252,"mmm")</f>
        <v>Feb</v>
      </c>
      <c r="G252" s="11" t="s">
        <v>210</v>
      </c>
      <c r="H252" s="11" t="s">
        <v>204</v>
      </c>
      <c r="I252" s="12" t="n">
        <v>7420126</v>
      </c>
      <c r="J252" s="12" t="n">
        <v>2073592</v>
      </c>
      <c r="K252" s="13" t="n">
        <f aca="false">IF(I252=0,0,J252/I252)</f>
        <v>0.279455092811092</v>
      </c>
      <c r="L252" s="12" t="n">
        <v>853484</v>
      </c>
      <c r="M252" s="12" t="n">
        <v>97718</v>
      </c>
      <c r="N252" s="12" t="n">
        <v>9815</v>
      </c>
      <c r="O252" s="12" t="n">
        <v>1082</v>
      </c>
      <c r="P252" s="12" t="n">
        <f aca="false">M252+N252+O252</f>
        <v>108615</v>
      </c>
      <c r="Q252" s="13" t="n">
        <f aca="false">IF(I252=0,0,P252/I252)</f>
        <v>0.0146378915937546</v>
      </c>
      <c r="R252" s="13" t="n">
        <v>0.0455</v>
      </c>
      <c r="S252" s="14" t="n">
        <v>691346</v>
      </c>
      <c r="T252" s="14" t="n">
        <v>63316</v>
      </c>
      <c r="U252" s="14" t="n">
        <v>27962</v>
      </c>
      <c r="V252" s="14" t="n">
        <v>50853</v>
      </c>
      <c r="W252" s="14" t="n">
        <f aca="false">S252+T252+U252+V252</f>
        <v>833477</v>
      </c>
      <c r="X252" s="15" t="n">
        <f aca="false">IF(P252=0,0,S252/P252)</f>
        <v>6.36510610873268</v>
      </c>
      <c r="Y252" s="15" t="n">
        <f aca="false">IF(J252=0,0,W252/J252)</f>
        <v>0.401948406436753</v>
      </c>
      <c r="Z252" s="14" t="n">
        <v>141016</v>
      </c>
      <c r="AA252" s="15" t="n">
        <f aca="false">IF(L252=0,0,Z252/L252)</f>
        <v>0.165223952645861</v>
      </c>
      <c r="AB252" s="12" t="n">
        <v>162157174</v>
      </c>
      <c r="AC252" s="16" t="n">
        <v>12</v>
      </c>
      <c r="AD252" s="16" t="n">
        <v>20.5</v>
      </c>
      <c r="AE252" s="13" t="n">
        <v>0.402</v>
      </c>
      <c r="AF252" s="13" t="n">
        <v>0.587</v>
      </c>
      <c r="AG252" s="13" t="n">
        <v>0.342</v>
      </c>
      <c r="AH252" s="13" t="n">
        <v>0.208</v>
      </c>
      <c r="AI252" s="17" t="n">
        <v>4.66</v>
      </c>
    </row>
    <row r="253" customFormat="false" ht="15" hidden="false" customHeight="false" outlineLevel="0" collapsed="false">
      <c r="A253" s="10" t="n">
        <v>45323</v>
      </c>
      <c r="B253" s="11" t="n">
        <f aca="false">YEAR(A253)</f>
        <v>2024</v>
      </c>
      <c r="C253" s="11" t="str">
        <f aca="false">"Q"&amp;ROUNDUP(MONTH(A253)/3,0)</f>
        <v>Q1</v>
      </c>
      <c r="D253" s="11" t="str">
        <f aca="false">B253&amp;"-"&amp;C253</f>
        <v>2024-Q1</v>
      </c>
      <c r="E253" s="11" t="n">
        <f aca="false">MONTH(A253)</f>
        <v>2</v>
      </c>
      <c r="F253" s="11" t="str">
        <f aca="false">TEXT(A253,"mmm")</f>
        <v>Feb</v>
      </c>
      <c r="G253" s="11" t="s">
        <v>210</v>
      </c>
      <c r="H253" s="11" t="s">
        <v>205</v>
      </c>
      <c r="I253" s="12" t="n">
        <v>1957580</v>
      </c>
      <c r="J253" s="12" t="n">
        <v>519327</v>
      </c>
      <c r="K253" s="13" t="n">
        <f aca="false">IF(I253=0,0,J253/I253)</f>
        <v>0.265290307420386</v>
      </c>
      <c r="L253" s="12" t="n">
        <v>210578</v>
      </c>
      <c r="M253" s="12" t="n">
        <v>28848</v>
      </c>
      <c r="N253" s="12" t="n">
        <v>2894</v>
      </c>
      <c r="O253" s="12" t="n">
        <v>212</v>
      </c>
      <c r="P253" s="12" t="n">
        <f aca="false">M253+N253+O253</f>
        <v>31954</v>
      </c>
      <c r="Q253" s="13" t="n">
        <f aca="false">IF(I253=0,0,P253/I253)</f>
        <v>0.0163232153986044</v>
      </c>
      <c r="R253" s="13" t="n">
        <v>0.047</v>
      </c>
      <c r="S253" s="14" t="n">
        <v>192040</v>
      </c>
      <c r="T253" s="14" t="n">
        <v>17360</v>
      </c>
      <c r="U253" s="14" t="n">
        <v>7531</v>
      </c>
      <c r="V253" s="14" t="n">
        <v>13637</v>
      </c>
      <c r="W253" s="14" t="n">
        <f aca="false">S253+T253+U253+V253</f>
        <v>230568</v>
      </c>
      <c r="X253" s="15" t="n">
        <f aca="false">IF(P253=0,0,S253/P253)</f>
        <v>6.00988921574764</v>
      </c>
      <c r="Y253" s="15" t="n">
        <f aca="false">IF(J253=0,0,W253/J253)</f>
        <v>0.443974605595319</v>
      </c>
      <c r="Z253" s="14" t="n">
        <v>40840</v>
      </c>
      <c r="AA253" s="15" t="n">
        <f aca="false">IF(L253=0,0,Z253/L253)</f>
        <v>0.193942387143956</v>
      </c>
      <c r="AB253" s="12" t="n">
        <v>39103200</v>
      </c>
      <c r="AC253" s="16" t="n">
        <v>10.8</v>
      </c>
      <c r="AD253" s="16" t="n">
        <v>21.4</v>
      </c>
      <c r="AE253" s="13" t="n">
        <v>0.407</v>
      </c>
      <c r="AF253" s="13" t="n">
        <v>0.578</v>
      </c>
      <c r="AG253" s="13" t="n">
        <v>0.343</v>
      </c>
      <c r="AH253" s="13" t="n">
        <v>0.195</v>
      </c>
      <c r="AI253" s="17"/>
    </row>
    <row r="254" customFormat="false" ht="15" hidden="false" customHeight="false" outlineLevel="0" collapsed="false">
      <c r="A254" s="10" t="n">
        <v>45352</v>
      </c>
      <c r="B254" s="11" t="n">
        <f aca="false">YEAR(A254)</f>
        <v>2024</v>
      </c>
      <c r="C254" s="11" t="str">
        <f aca="false">"Q"&amp;ROUNDUP(MONTH(A254)/3,0)</f>
        <v>Q1</v>
      </c>
      <c r="D254" s="11" t="str">
        <f aca="false">B254&amp;"-"&amp;C254</f>
        <v>2024-Q1</v>
      </c>
      <c r="E254" s="11" t="n">
        <f aca="false">MONTH(A254)</f>
        <v>3</v>
      </c>
      <c r="F254" s="11" t="str">
        <f aca="false">TEXT(A254,"mmm")</f>
        <v>Mar</v>
      </c>
      <c r="G254" s="11" t="s">
        <v>202</v>
      </c>
      <c r="H254" s="11" t="s">
        <v>203</v>
      </c>
      <c r="I254" s="12" t="n">
        <v>7598236</v>
      </c>
      <c r="J254" s="12" t="n">
        <v>2504224</v>
      </c>
      <c r="K254" s="13" t="n">
        <f aca="false">IF(I254=0,0,J254/I254)</f>
        <v>0.329579655067308</v>
      </c>
      <c r="L254" s="12" t="n">
        <v>960052</v>
      </c>
      <c r="M254" s="12" t="n">
        <v>1538902</v>
      </c>
      <c r="N254" s="12" t="n">
        <v>156261</v>
      </c>
      <c r="O254" s="12" t="n">
        <v>102943</v>
      </c>
      <c r="P254" s="12" t="n">
        <f aca="false">M254+N254+O254</f>
        <v>1798106</v>
      </c>
      <c r="Q254" s="13" t="n">
        <f aca="false">IF(I254=0,0,P254/I254)</f>
        <v>0.23664782194183</v>
      </c>
      <c r="R254" s="13" t="n">
        <v>0.044</v>
      </c>
      <c r="S254" s="14" t="n">
        <v>13348612</v>
      </c>
      <c r="T254" s="14" t="n">
        <v>1234193</v>
      </c>
      <c r="U254" s="14" t="n">
        <v>529080</v>
      </c>
      <c r="V254" s="14" t="n">
        <v>867756</v>
      </c>
      <c r="W254" s="14" t="n">
        <f aca="false">S254+T254+U254+V254</f>
        <v>15979641</v>
      </c>
      <c r="X254" s="15" t="n">
        <f aca="false">IF(P254=0,0,S254/P254)</f>
        <v>7.42370694497432</v>
      </c>
      <c r="Y254" s="15" t="n">
        <f aca="false">IF(J254=0,0,W254/J254)</f>
        <v>6.38107493578849</v>
      </c>
      <c r="Z254" s="14" t="n">
        <v>2551970</v>
      </c>
      <c r="AA254" s="15" t="n">
        <f aca="false">IF(L254=0,0,Z254/L254)</f>
        <v>2.6581580997696</v>
      </c>
      <c r="AB254" s="12" t="n">
        <v>207357743</v>
      </c>
      <c r="AC254" s="16" t="n">
        <v>12.7</v>
      </c>
      <c r="AD254" s="16" t="n">
        <v>21.5</v>
      </c>
      <c r="AE254" s="13" t="n">
        <v>0.395</v>
      </c>
      <c r="AF254" s="13" t="n">
        <v>0.572</v>
      </c>
      <c r="AG254" s="13" t="n">
        <v>0.363</v>
      </c>
      <c r="AH254" s="13" t="n">
        <v>0.214</v>
      </c>
      <c r="AI254" s="17" t="n">
        <v>4.72</v>
      </c>
    </row>
    <row r="255" customFormat="false" ht="15" hidden="false" customHeight="false" outlineLevel="0" collapsed="false">
      <c r="A255" s="10" t="n">
        <v>45352</v>
      </c>
      <c r="B255" s="11" t="n">
        <f aca="false">YEAR(A255)</f>
        <v>2024</v>
      </c>
      <c r="C255" s="11" t="str">
        <f aca="false">"Q"&amp;ROUNDUP(MONTH(A255)/3,0)</f>
        <v>Q1</v>
      </c>
      <c r="D255" s="11" t="str">
        <f aca="false">B255&amp;"-"&amp;C255</f>
        <v>2024-Q1</v>
      </c>
      <c r="E255" s="11" t="n">
        <f aca="false">MONTH(A255)</f>
        <v>3</v>
      </c>
      <c r="F255" s="11" t="str">
        <f aca="false">TEXT(A255,"mmm")</f>
        <v>Mar</v>
      </c>
      <c r="G255" s="11" t="s">
        <v>202</v>
      </c>
      <c r="H255" s="11" t="s">
        <v>204</v>
      </c>
      <c r="I255" s="12" t="n">
        <v>10187983</v>
      </c>
      <c r="J255" s="12" t="n">
        <v>3103677</v>
      </c>
      <c r="K255" s="13" t="n">
        <f aca="false">IF(I255=0,0,J255/I255)</f>
        <v>0.304640967696943</v>
      </c>
      <c r="L255" s="12" t="n">
        <v>1103088</v>
      </c>
      <c r="M255" s="12" t="n">
        <v>1018986</v>
      </c>
      <c r="N255" s="12" t="n">
        <v>104205</v>
      </c>
      <c r="O255" s="12" t="n">
        <v>50391</v>
      </c>
      <c r="P255" s="12" t="n">
        <f aca="false">M255+N255+O255</f>
        <v>1173582</v>
      </c>
      <c r="Q255" s="13" t="n">
        <f aca="false">IF(I255=0,0,P255/I255)</f>
        <v>0.115192771719387</v>
      </c>
      <c r="R255" s="13" t="n">
        <v>0.0436</v>
      </c>
      <c r="S255" s="14" t="n">
        <v>7801573</v>
      </c>
      <c r="T255" s="14" t="n">
        <v>628609</v>
      </c>
      <c r="U255" s="14" t="n">
        <v>329436</v>
      </c>
      <c r="V255" s="14" t="n">
        <v>533226</v>
      </c>
      <c r="W255" s="14" t="n">
        <f aca="false">S255+T255+U255+V255</f>
        <v>9292844</v>
      </c>
      <c r="X255" s="15" t="n">
        <f aca="false">IF(P255=0,0,S255/P255)</f>
        <v>6.64765904725874</v>
      </c>
      <c r="Y255" s="15" t="n">
        <f aca="false">IF(J255=0,0,W255/J255)</f>
        <v>2.99414017631345</v>
      </c>
      <c r="Z255" s="14" t="n">
        <v>2051708</v>
      </c>
      <c r="AA255" s="15" t="n">
        <f aca="false">IF(L255=0,0,Z255/L255)</f>
        <v>1.85996765443917</v>
      </c>
      <c r="AB255" s="12" t="n">
        <v>243355542</v>
      </c>
      <c r="AC255" s="16" t="n">
        <v>12.3</v>
      </c>
      <c r="AD255" s="16" t="n">
        <v>20.9</v>
      </c>
      <c r="AE255" s="13" t="n">
        <v>0.408</v>
      </c>
      <c r="AF255" s="13" t="n">
        <v>0.587</v>
      </c>
      <c r="AG255" s="13" t="n">
        <v>0.355</v>
      </c>
      <c r="AH255" s="13" t="n">
        <v>0.2</v>
      </c>
      <c r="AI255" s="17" t="n">
        <v>4.63</v>
      </c>
    </row>
    <row r="256" customFormat="false" ht="15" hidden="false" customHeight="false" outlineLevel="0" collapsed="false">
      <c r="A256" s="10" t="n">
        <v>45352</v>
      </c>
      <c r="B256" s="11" t="n">
        <f aca="false">YEAR(A256)</f>
        <v>2024</v>
      </c>
      <c r="C256" s="11" t="str">
        <f aca="false">"Q"&amp;ROUNDUP(MONTH(A256)/3,0)</f>
        <v>Q1</v>
      </c>
      <c r="D256" s="11" t="str">
        <f aca="false">B256&amp;"-"&amp;C256</f>
        <v>2024-Q1</v>
      </c>
      <c r="E256" s="11" t="n">
        <f aca="false">MONTH(A256)</f>
        <v>3</v>
      </c>
      <c r="F256" s="11" t="str">
        <f aca="false">TEXT(A256,"mmm")</f>
        <v>Mar</v>
      </c>
      <c r="G256" s="11" t="s">
        <v>202</v>
      </c>
      <c r="H256" s="11" t="s">
        <v>205</v>
      </c>
      <c r="I256" s="12" t="n">
        <v>3046703</v>
      </c>
      <c r="J256" s="12" t="n">
        <v>843551</v>
      </c>
      <c r="K256" s="13" t="n">
        <f aca="false">IF(I256=0,0,J256/I256)</f>
        <v>0.276873393960619</v>
      </c>
      <c r="L256" s="12" t="n">
        <v>301839</v>
      </c>
      <c r="M256" s="12" t="n">
        <v>278372</v>
      </c>
      <c r="N256" s="12" t="n">
        <v>32853</v>
      </c>
      <c r="O256" s="12" t="n">
        <v>9171</v>
      </c>
      <c r="P256" s="12" t="n">
        <f aca="false">M256+N256+O256</f>
        <v>320396</v>
      </c>
      <c r="Q256" s="13" t="n">
        <f aca="false">IF(I256=0,0,P256/I256)</f>
        <v>0.105161546760547</v>
      </c>
      <c r="R256" s="13" t="n">
        <v>0.0463</v>
      </c>
      <c r="S256" s="14" t="n">
        <v>1991262</v>
      </c>
      <c r="T256" s="14" t="n">
        <v>173433</v>
      </c>
      <c r="U256" s="14" t="n">
        <v>82714</v>
      </c>
      <c r="V256" s="14" t="n">
        <v>136963</v>
      </c>
      <c r="W256" s="14" t="n">
        <f aca="false">S256+T256+U256+V256</f>
        <v>2384372</v>
      </c>
      <c r="X256" s="15" t="n">
        <f aca="false">IF(P256=0,0,S256/P256)</f>
        <v>6.21500268417833</v>
      </c>
      <c r="Y256" s="15" t="n">
        <f aca="false">IF(J256=0,0,W256/J256)</f>
        <v>2.82658902662672</v>
      </c>
      <c r="Z256" s="14" t="n">
        <v>434268</v>
      </c>
      <c r="AA256" s="15" t="n">
        <f aca="false">IF(L256=0,0,Z256/L256)</f>
        <v>1.43874052060867</v>
      </c>
      <c r="AB256" s="12" t="n">
        <v>67655728</v>
      </c>
      <c r="AC256" s="16" t="n">
        <v>11.1</v>
      </c>
      <c r="AD256" s="16" t="n">
        <v>20.5</v>
      </c>
      <c r="AE256" s="13" t="n">
        <v>0.39</v>
      </c>
      <c r="AF256" s="13" t="n">
        <v>0.602</v>
      </c>
      <c r="AG256" s="13" t="n">
        <v>0.331</v>
      </c>
      <c r="AH256" s="13" t="n">
        <v>0.216</v>
      </c>
      <c r="AI256" s="17"/>
    </row>
    <row r="257" customFormat="false" ht="15" hidden="false" customHeight="false" outlineLevel="0" collapsed="false">
      <c r="A257" s="10" t="n">
        <v>45352</v>
      </c>
      <c r="B257" s="11" t="n">
        <f aca="false">YEAR(A257)</f>
        <v>2024</v>
      </c>
      <c r="C257" s="11" t="str">
        <f aca="false">"Q"&amp;ROUNDUP(MONTH(A257)/3,0)</f>
        <v>Q1</v>
      </c>
      <c r="D257" s="11" t="str">
        <f aca="false">B257&amp;"-"&amp;C257</f>
        <v>2024-Q1</v>
      </c>
      <c r="E257" s="11" t="n">
        <f aca="false">MONTH(A257)</f>
        <v>3</v>
      </c>
      <c r="F257" s="11" t="str">
        <f aca="false">TEXT(A257,"mmm")</f>
        <v>Mar</v>
      </c>
      <c r="G257" s="11" t="s">
        <v>206</v>
      </c>
      <c r="H257" s="11" t="s">
        <v>203</v>
      </c>
      <c r="I257" s="12" t="n">
        <v>8371273</v>
      </c>
      <c r="J257" s="12" t="n">
        <v>2942264</v>
      </c>
      <c r="K257" s="13" t="n">
        <f aca="false">IF(I257=0,0,J257/I257)</f>
        <v>0.351471514547429</v>
      </c>
      <c r="L257" s="12" t="n">
        <v>942949</v>
      </c>
      <c r="M257" s="12" t="n">
        <v>1133971</v>
      </c>
      <c r="N257" s="12" t="n">
        <v>116602</v>
      </c>
      <c r="O257" s="12" t="n">
        <v>46408</v>
      </c>
      <c r="P257" s="12" t="n">
        <f aca="false">M257+N257+O257</f>
        <v>1296981</v>
      </c>
      <c r="Q257" s="13" t="n">
        <f aca="false">IF(I257=0,0,P257/I257)</f>
        <v>0.154932350193334</v>
      </c>
      <c r="R257" s="13" t="n">
        <v>0.0419</v>
      </c>
      <c r="S257" s="14" t="n">
        <v>8189501</v>
      </c>
      <c r="T257" s="14" t="n">
        <v>772368</v>
      </c>
      <c r="U257" s="14" t="n">
        <v>352959</v>
      </c>
      <c r="V257" s="14" t="n">
        <v>580415</v>
      </c>
      <c r="W257" s="14" t="n">
        <f aca="false">S257+T257+U257+V257</f>
        <v>9895243</v>
      </c>
      <c r="X257" s="15" t="n">
        <f aca="false">IF(P257=0,0,S257/P257)</f>
        <v>6.3142798545237</v>
      </c>
      <c r="Y257" s="15" t="n">
        <f aca="false">IF(J257=0,0,W257/J257)</f>
        <v>3.36313906569907</v>
      </c>
      <c r="Z257" s="14" t="n">
        <v>1457769</v>
      </c>
      <c r="AA257" s="15" t="n">
        <f aca="false">IF(L257=0,0,Z257/L257)</f>
        <v>1.54596802160032</v>
      </c>
      <c r="AB257" s="12" t="n">
        <v>230793124</v>
      </c>
      <c r="AC257" s="16" t="n">
        <v>12.4</v>
      </c>
      <c r="AD257" s="16" t="n">
        <v>21.4</v>
      </c>
      <c r="AE257" s="13" t="n">
        <v>0.404</v>
      </c>
      <c r="AF257" s="13" t="n">
        <v>0.574</v>
      </c>
      <c r="AG257" s="13" t="n">
        <v>0.347</v>
      </c>
      <c r="AH257" s="13" t="n">
        <v>0.197</v>
      </c>
      <c r="AI257" s="17" t="n">
        <v>4.69</v>
      </c>
    </row>
    <row r="258" customFormat="false" ht="15" hidden="false" customHeight="false" outlineLevel="0" collapsed="false">
      <c r="A258" s="10" t="n">
        <v>45352</v>
      </c>
      <c r="B258" s="11" t="n">
        <f aca="false">YEAR(A258)</f>
        <v>2024</v>
      </c>
      <c r="C258" s="11" t="str">
        <f aca="false">"Q"&amp;ROUNDUP(MONTH(A258)/3,0)</f>
        <v>Q1</v>
      </c>
      <c r="D258" s="11" t="str">
        <f aca="false">B258&amp;"-"&amp;C258</f>
        <v>2024-Q1</v>
      </c>
      <c r="E258" s="11" t="n">
        <f aca="false">MONTH(A258)</f>
        <v>3</v>
      </c>
      <c r="F258" s="11" t="str">
        <f aca="false">TEXT(A258,"mmm")</f>
        <v>Mar</v>
      </c>
      <c r="G258" s="11" t="s">
        <v>206</v>
      </c>
      <c r="H258" s="11" t="s">
        <v>204</v>
      </c>
      <c r="I258" s="12" t="n">
        <v>11334310</v>
      </c>
      <c r="J258" s="12" t="n">
        <v>3424973</v>
      </c>
      <c r="K258" s="13" t="n">
        <f aca="false">IF(I258=0,0,J258/I258)</f>
        <v>0.302177459413056</v>
      </c>
      <c r="L258" s="12" t="n">
        <v>1394255</v>
      </c>
      <c r="M258" s="12" t="n">
        <v>577029</v>
      </c>
      <c r="N258" s="12" t="n">
        <v>52969</v>
      </c>
      <c r="O258" s="12" t="n">
        <v>17373</v>
      </c>
      <c r="P258" s="12" t="n">
        <f aca="false">M258+N258+O258</f>
        <v>647371</v>
      </c>
      <c r="Q258" s="13" t="n">
        <f aca="false">IF(I258=0,0,P258/I258)</f>
        <v>0.0571160485287591</v>
      </c>
      <c r="R258" s="13" t="n">
        <v>0.0425</v>
      </c>
      <c r="S258" s="14" t="n">
        <v>4455530</v>
      </c>
      <c r="T258" s="14" t="n">
        <v>362526</v>
      </c>
      <c r="U258" s="14" t="n">
        <v>192042</v>
      </c>
      <c r="V258" s="14" t="n">
        <v>300469</v>
      </c>
      <c r="W258" s="14" t="n">
        <f aca="false">S258+T258+U258+V258</f>
        <v>5310567</v>
      </c>
      <c r="X258" s="15" t="n">
        <f aca="false">IF(P258=0,0,S258/P258)</f>
        <v>6.88249859817632</v>
      </c>
      <c r="Y258" s="15" t="n">
        <f aca="false">IF(J258=0,0,W258/J258)</f>
        <v>1.5505427342055</v>
      </c>
      <c r="Z258" s="14" t="n">
        <v>894834</v>
      </c>
      <c r="AA258" s="15" t="n">
        <f aca="false">IF(L258=0,0,Z258/L258)</f>
        <v>0.641800818358191</v>
      </c>
      <c r="AB258" s="12" t="n">
        <v>270740797</v>
      </c>
      <c r="AC258" s="16" t="n">
        <v>12.1</v>
      </c>
      <c r="AD258" s="16" t="n">
        <v>20.7</v>
      </c>
      <c r="AE258" s="13" t="n">
        <v>0.402</v>
      </c>
      <c r="AF258" s="13" t="n">
        <v>0.577</v>
      </c>
      <c r="AG258" s="13" t="n">
        <v>0.353</v>
      </c>
      <c r="AH258" s="13" t="n">
        <v>0.203</v>
      </c>
      <c r="AI258" s="17" t="n">
        <v>4.64</v>
      </c>
    </row>
    <row r="259" customFormat="false" ht="15" hidden="false" customHeight="false" outlineLevel="0" collapsed="false">
      <c r="A259" s="10" t="n">
        <v>45352</v>
      </c>
      <c r="B259" s="11" t="n">
        <f aca="false">YEAR(A259)</f>
        <v>2024</v>
      </c>
      <c r="C259" s="11" t="str">
        <f aca="false">"Q"&amp;ROUNDUP(MONTH(A259)/3,0)</f>
        <v>Q1</v>
      </c>
      <c r="D259" s="11" t="str">
        <f aca="false">B259&amp;"-"&amp;C259</f>
        <v>2024-Q1</v>
      </c>
      <c r="E259" s="11" t="n">
        <f aca="false">MONTH(A259)</f>
        <v>3</v>
      </c>
      <c r="F259" s="11" t="str">
        <f aca="false">TEXT(A259,"mmm")</f>
        <v>Mar</v>
      </c>
      <c r="G259" s="11" t="s">
        <v>206</v>
      </c>
      <c r="H259" s="11" t="s">
        <v>205</v>
      </c>
      <c r="I259" s="12" t="n">
        <v>3610311</v>
      </c>
      <c r="J259" s="12" t="n">
        <v>1030724</v>
      </c>
      <c r="K259" s="13" t="n">
        <f aca="false">IF(I259=0,0,J259/I259)</f>
        <v>0.285494518339279</v>
      </c>
      <c r="L259" s="12" t="n">
        <v>356433</v>
      </c>
      <c r="M259" s="12" t="n">
        <v>168294</v>
      </c>
      <c r="N259" s="12" t="n">
        <v>17882</v>
      </c>
      <c r="O259" s="12" t="n">
        <v>3392</v>
      </c>
      <c r="P259" s="12" t="n">
        <f aca="false">M259+N259+O259</f>
        <v>189568</v>
      </c>
      <c r="Q259" s="13" t="n">
        <f aca="false">IF(I259=0,0,P259/I259)</f>
        <v>0.0525073878676934</v>
      </c>
      <c r="R259" s="13" t="n">
        <v>0.0472</v>
      </c>
      <c r="S259" s="14" t="n">
        <v>1235390</v>
      </c>
      <c r="T259" s="14" t="n">
        <v>109021</v>
      </c>
      <c r="U259" s="14" t="n">
        <v>52122</v>
      </c>
      <c r="V259" s="14" t="n">
        <v>81099</v>
      </c>
      <c r="W259" s="14" t="n">
        <f aca="false">S259+T259+U259+V259</f>
        <v>1477632</v>
      </c>
      <c r="X259" s="15" t="n">
        <f aca="false">IF(P259=0,0,S259/P259)</f>
        <v>6.51686993585415</v>
      </c>
      <c r="Y259" s="15" t="n">
        <f aca="false">IF(J259=0,0,W259/J259)</f>
        <v>1.43358648872055</v>
      </c>
      <c r="Z259" s="14" t="n">
        <v>256937</v>
      </c>
      <c r="AA259" s="15" t="n">
        <f aca="false">IF(L259=0,0,Z259/L259)</f>
        <v>0.720856374129219</v>
      </c>
      <c r="AB259" s="12" t="n">
        <v>81893762</v>
      </c>
      <c r="AC259" s="16" t="n">
        <v>11</v>
      </c>
      <c r="AD259" s="16" t="n">
        <v>21.6</v>
      </c>
      <c r="AE259" s="13" t="n">
        <v>0.386</v>
      </c>
      <c r="AF259" s="13" t="n">
        <v>0.576</v>
      </c>
      <c r="AG259" s="13" t="n">
        <v>0.334</v>
      </c>
      <c r="AH259" s="13" t="n">
        <v>0.219</v>
      </c>
      <c r="AI259" s="17"/>
    </row>
    <row r="260" customFormat="false" ht="15" hidden="false" customHeight="false" outlineLevel="0" collapsed="false">
      <c r="A260" s="10" t="n">
        <v>45352</v>
      </c>
      <c r="B260" s="11" t="n">
        <f aca="false">YEAR(A260)</f>
        <v>2024</v>
      </c>
      <c r="C260" s="11" t="str">
        <f aca="false">"Q"&amp;ROUNDUP(MONTH(A260)/3,0)</f>
        <v>Q1</v>
      </c>
      <c r="D260" s="11" t="str">
        <f aca="false">B260&amp;"-"&amp;C260</f>
        <v>2024-Q1</v>
      </c>
      <c r="E260" s="11" t="n">
        <f aca="false">MONTH(A260)</f>
        <v>3</v>
      </c>
      <c r="F260" s="11" t="str">
        <f aca="false">TEXT(A260,"mmm")</f>
        <v>Mar</v>
      </c>
      <c r="G260" s="11" t="s">
        <v>207</v>
      </c>
      <c r="H260" s="11" t="s">
        <v>203</v>
      </c>
      <c r="I260" s="12" t="n">
        <v>6894026</v>
      </c>
      <c r="J260" s="12" t="n">
        <v>2239627</v>
      </c>
      <c r="K260" s="13" t="n">
        <f aca="false">IF(I260=0,0,J260/I260)</f>
        <v>0.324864890268763</v>
      </c>
      <c r="L260" s="12" t="n">
        <v>740731</v>
      </c>
      <c r="M260" s="12" t="n">
        <v>511026</v>
      </c>
      <c r="N260" s="12" t="n">
        <v>54986</v>
      </c>
      <c r="O260" s="12" t="n">
        <v>14541</v>
      </c>
      <c r="P260" s="12" t="n">
        <f aca="false">M260+N260+O260</f>
        <v>580553</v>
      </c>
      <c r="Q260" s="13" t="n">
        <f aca="false">IF(I260=0,0,P260/I260)</f>
        <v>0.0842110256039069</v>
      </c>
      <c r="R260" s="13" t="n">
        <v>0.043</v>
      </c>
      <c r="S260" s="14" t="n">
        <v>3948178</v>
      </c>
      <c r="T260" s="14" t="n">
        <v>308135</v>
      </c>
      <c r="U260" s="14" t="n">
        <v>167740</v>
      </c>
      <c r="V260" s="14" t="n">
        <v>269422</v>
      </c>
      <c r="W260" s="14" t="n">
        <f aca="false">S260+T260+U260+V260</f>
        <v>4693475</v>
      </c>
      <c r="X260" s="15" t="n">
        <f aca="false">IF(P260=0,0,S260/P260)</f>
        <v>6.80071931417114</v>
      </c>
      <c r="Y260" s="15" t="n">
        <f aca="false">IF(J260=0,0,W260/J260)</f>
        <v>2.0956503024834</v>
      </c>
      <c r="Z260" s="14" t="n">
        <v>743052</v>
      </c>
      <c r="AA260" s="15" t="n">
        <f aca="false">IF(L260=0,0,Z260/L260)</f>
        <v>1.00313339120409</v>
      </c>
      <c r="AB260" s="12" t="n">
        <v>170442532</v>
      </c>
      <c r="AC260" s="16" t="n">
        <v>12.8</v>
      </c>
      <c r="AD260" s="16" t="n">
        <v>21.2</v>
      </c>
      <c r="AE260" s="13" t="n">
        <v>0.4</v>
      </c>
      <c r="AF260" s="13" t="n">
        <v>0.588</v>
      </c>
      <c r="AG260" s="13" t="n">
        <v>0.352</v>
      </c>
      <c r="AH260" s="13" t="n">
        <v>0.207</v>
      </c>
      <c r="AI260" s="17" t="n">
        <v>4.73</v>
      </c>
    </row>
    <row r="261" customFormat="false" ht="15" hidden="false" customHeight="false" outlineLevel="0" collapsed="false">
      <c r="A261" s="10" t="n">
        <v>45352</v>
      </c>
      <c r="B261" s="11" t="n">
        <f aca="false">YEAR(A261)</f>
        <v>2024</v>
      </c>
      <c r="C261" s="11" t="str">
        <f aca="false">"Q"&amp;ROUNDUP(MONTH(A261)/3,0)</f>
        <v>Q1</v>
      </c>
      <c r="D261" s="11" t="str">
        <f aca="false">B261&amp;"-"&amp;C261</f>
        <v>2024-Q1</v>
      </c>
      <c r="E261" s="11" t="n">
        <f aca="false">MONTH(A261)</f>
        <v>3</v>
      </c>
      <c r="F261" s="11" t="str">
        <f aca="false">TEXT(A261,"mmm")</f>
        <v>Mar</v>
      </c>
      <c r="G261" s="11" t="s">
        <v>207</v>
      </c>
      <c r="H261" s="11" t="s">
        <v>204</v>
      </c>
      <c r="I261" s="12" t="n">
        <v>9308908</v>
      </c>
      <c r="J261" s="12" t="n">
        <v>2715145</v>
      </c>
      <c r="K261" s="13" t="n">
        <f aca="false">IF(I261=0,0,J261/I261)</f>
        <v>0.291671697689998</v>
      </c>
      <c r="L261" s="12" t="n">
        <v>1054498</v>
      </c>
      <c r="M261" s="12" t="n">
        <v>268959</v>
      </c>
      <c r="N261" s="12" t="n">
        <v>26839</v>
      </c>
      <c r="O261" s="12" t="n">
        <v>5663</v>
      </c>
      <c r="P261" s="12" t="n">
        <f aca="false">M261+N261+O261</f>
        <v>301461</v>
      </c>
      <c r="Q261" s="13" t="n">
        <f aca="false">IF(I261=0,0,P261/I261)</f>
        <v>0.0323841421571682</v>
      </c>
      <c r="R261" s="13" t="n">
        <v>0.0421</v>
      </c>
      <c r="S261" s="14" t="n">
        <v>2283173</v>
      </c>
      <c r="T261" s="14" t="n">
        <v>190078</v>
      </c>
      <c r="U261" s="14" t="n">
        <v>97304</v>
      </c>
      <c r="V261" s="14" t="n">
        <v>163336</v>
      </c>
      <c r="W261" s="14" t="n">
        <f aca="false">S261+T261+U261+V261</f>
        <v>2733891</v>
      </c>
      <c r="X261" s="15" t="n">
        <f aca="false">IF(P261=0,0,S261/P261)</f>
        <v>7.57369278281436</v>
      </c>
      <c r="Y261" s="15" t="n">
        <f aca="false">IF(J261=0,0,W261/J261)</f>
        <v>1.00690423531708</v>
      </c>
      <c r="Z261" s="14" t="n">
        <v>458314</v>
      </c>
      <c r="AA261" s="15" t="n">
        <f aca="false">IF(L261=0,0,Z261/L261)</f>
        <v>0.434627661693052</v>
      </c>
      <c r="AB261" s="12" t="n">
        <v>212996662</v>
      </c>
      <c r="AC261" s="16" t="n">
        <v>12.1</v>
      </c>
      <c r="AD261" s="16" t="n">
        <v>20.4</v>
      </c>
      <c r="AE261" s="13" t="n">
        <v>0.388</v>
      </c>
      <c r="AF261" s="13" t="n">
        <v>0.598</v>
      </c>
      <c r="AG261" s="13" t="n">
        <v>0.357</v>
      </c>
      <c r="AH261" s="13" t="n">
        <v>0.201</v>
      </c>
      <c r="AI261" s="17" t="n">
        <v>4.65</v>
      </c>
    </row>
    <row r="262" customFormat="false" ht="15" hidden="false" customHeight="false" outlineLevel="0" collapsed="false">
      <c r="A262" s="10" t="n">
        <v>45352</v>
      </c>
      <c r="B262" s="11" t="n">
        <f aca="false">YEAR(A262)</f>
        <v>2024</v>
      </c>
      <c r="C262" s="11" t="str">
        <f aca="false">"Q"&amp;ROUNDUP(MONTH(A262)/3,0)</f>
        <v>Q1</v>
      </c>
      <c r="D262" s="11" t="str">
        <f aca="false">B262&amp;"-"&amp;C262</f>
        <v>2024-Q1</v>
      </c>
      <c r="E262" s="11" t="n">
        <f aca="false">MONTH(A262)</f>
        <v>3</v>
      </c>
      <c r="F262" s="11" t="str">
        <f aca="false">TEXT(A262,"mmm")</f>
        <v>Mar</v>
      </c>
      <c r="G262" s="11" t="s">
        <v>207</v>
      </c>
      <c r="H262" s="11" t="s">
        <v>205</v>
      </c>
      <c r="I262" s="12" t="n">
        <v>2857749</v>
      </c>
      <c r="J262" s="12" t="n">
        <v>771865</v>
      </c>
      <c r="K262" s="13" t="n">
        <f aca="false">IF(I262=0,0,J262/I262)</f>
        <v>0.270095449250442</v>
      </c>
      <c r="L262" s="12" t="n">
        <v>239286</v>
      </c>
      <c r="M262" s="12" t="n">
        <v>84341</v>
      </c>
      <c r="N262" s="12" t="n">
        <v>8825</v>
      </c>
      <c r="O262" s="12" t="n">
        <v>1182</v>
      </c>
      <c r="P262" s="12" t="n">
        <f aca="false">M262+N262+O262</f>
        <v>94348</v>
      </c>
      <c r="Q262" s="13" t="n">
        <f aca="false">IF(I262=0,0,P262/I262)</f>
        <v>0.0330147959110475</v>
      </c>
      <c r="R262" s="13" t="n">
        <v>0.0481</v>
      </c>
      <c r="S262" s="14" t="n">
        <v>657652</v>
      </c>
      <c r="T262" s="14" t="n">
        <v>55376</v>
      </c>
      <c r="U262" s="14" t="n">
        <v>24861</v>
      </c>
      <c r="V262" s="14" t="n">
        <v>44916</v>
      </c>
      <c r="W262" s="14" t="n">
        <f aca="false">S262+T262+U262+V262</f>
        <v>782805</v>
      </c>
      <c r="X262" s="15" t="n">
        <f aca="false">IF(P262=0,0,S262/P262)</f>
        <v>6.97049222029084</v>
      </c>
      <c r="Y262" s="15" t="n">
        <f aca="false">IF(J262=0,0,W262/J262)</f>
        <v>1.01417346297604</v>
      </c>
      <c r="Z262" s="14" t="n">
        <v>154436</v>
      </c>
      <c r="AA262" s="15" t="n">
        <f aca="false">IF(L262=0,0,Z262/L262)</f>
        <v>0.645403408473542</v>
      </c>
      <c r="AB262" s="12" t="n">
        <v>60634067</v>
      </c>
      <c r="AC262" s="16" t="n">
        <v>10.9</v>
      </c>
      <c r="AD262" s="16" t="n">
        <v>22.5</v>
      </c>
      <c r="AE262" s="13" t="n">
        <v>0.411</v>
      </c>
      <c r="AF262" s="13" t="n">
        <v>0.566</v>
      </c>
      <c r="AG262" s="13" t="n">
        <v>0.348</v>
      </c>
      <c r="AH262" s="13" t="n">
        <v>0.202</v>
      </c>
      <c r="AI262" s="17"/>
    </row>
    <row r="263" customFormat="false" ht="15" hidden="false" customHeight="false" outlineLevel="0" collapsed="false">
      <c r="A263" s="10" t="n">
        <v>45352</v>
      </c>
      <c r="B263" s="11" t="n">
        <f aca="false">YEAR(A263)</f>
        <v>2024</v>
      </c>
      <c r="C263" s="11" t="str">
        <f aca="false">"Q"&amp;ROUNDUP(MONTH(A263)/3,0)</f>
        <v>Q1</v>
      </c>
      <c r="D263" s="11" t="str">
        <f aca="false">B263&amp;"-"&amp;C263</f>
        <v>2024-Q1</v>
      </c>
      <c r="E263" s="11" t="n">
        <f aca="false">MONTH(A263)</f>
        <v>3</v>
      </c>
      <c r="F263" s="11" t="str">
        <f aca="false">TEXT(A263,"mmm")</f>
        <v>Mar</v>
      </c>
      <c r="G263" s="11" t="s">
        <v>208</v>
      </c>
      <c r="H263" s="11" t="s">
        <v>203</v>
      </c>
      <c r="I263" s="12" t="n">
        <v>6505333</v>
      </c>
      <c r="J263" s="12" t="n">
        <v>2114189</v>
      </c>
      <c r="K263" s="13" t="n">
        <f aca="false">IF(I263=0,0,J263/I263)</f>
        <v>0.324993201731564</v>
      </c>
      <c r="L263" s="12" t="n">
        <v>713173</v>
      </c>
      <c r="M263" s="12" t="n">
        <v>260976</v>
      </c>
      <c r="N263" s="12" t="n">
        <v>27546</v>
      </c>
      <c r="O263" s="12" t="n">
        <v>5256</v>
      </c>
      <c r="P263" s="12" t="n">
        <f aca="false">M263+N263+O263</f>
        <v>293778</v>
      </c>
      <c r="Q263" s="13" t="n">
        <f aca="false">IF(I263=0,0,P263/I263)</f>
        <v>0.0451595636995062</v>
      </c>
      <c r="R263" s="13" t="n">
        <v>0.0425</v>
      </c>
      <c r="S263" s="14" t="n">
        <v>1843612</v>
      </c>
      <c r="T263" s="14" t="n">
        <v>144036</v>
      </c>
      <c r="U263" s="14" t="n">
        <v>76772</v>
      </c>
      <c r="V263" s="14" t="n">
        <v>130347</v>
      </c>
      <c r="W263" s="14" t="n">
        <f aca="false">S263+T263+U263+V263</f>
        <v>2194767</v>
      </c>
      <c r="X263" s="15" t="n">
        <f aca="false">IF(P263=0,0,S263/P263)</f>
        <v>6.27552777947974</v>
      </c>
      <c r="Y263" s="15" t="n">
        <f aca="false">IF(J263=0,0,W263/J263)</f>
        <v>1.0381129596266</v>
      </c>
      <c r="Z263" s="14" t="n">
        <v>372016</v>
      </c>
      <c r="AA263" s="15" t="n">
        <f aca="false">IF(L263=0,0,Z263/L263)</f>
        <v>0.521635003007685</v>
      </c>
      <c r="AB263" s="12" t="n">
        <v>165469034</v>
      </c>
      <c r="AC263" s="16" t="n">
        <v>12.7</v>
      </c>
      <c r="AD263" s="16" t="n">
        <v>21.5</v>
      </c>
      <c r="AE263" s="13" t="n">
        <v>0.391</v>
      </c>
      <c r="AF263" s="13" t="n">
        <v>0.57</v>
      </c>
      <c r="AG263" s="13" t="n">
        <v>0.345</v>
      </c>
      <c r="AH263" s="13" t="n">
        <v>0.209</v>
      </c>
      <c r="AI263" s="17" t="n">
        <v>4.68</v>
      </c>
    </row>
    <row r="264" customFormat="false" ht="15" hidden="false" customHeight="false" outlineLevel="0" collapsed="false">
      <c r="A264" s="10" t="n">
        <v>45352</v>
      </c>
      <c r="B264" s="11" t="n">
        <f aca="false">YEAR(A264)</f>
        <v>2024</v>
      </c>
      <c r="C264" s="11" t="str">
        <f aca="false">"Q"&amp;ROUNDUP(MONTH(A264)/3,0)</f>
        <v>Q1</v>
      </c>
      <c r="D264" s="11" t="str">
        <f aca="false">B264&amp;"-"&amp;C264</f>
        <v>2024-Q1</v>
      </c>
      <c r="E264" s="11" t="n">
        <f aca="false">MONTH(A264)</f>
        <v>3</v>
      </c>
      <c r="F264" s="11" t="str">
        <f aca="false">TEXT(A264,"mmm")</f>
        <v>Mar</v>
      </c>
      <c r="G264" s="11" t="s">
        <v>208</v>
      </c>
      <c r="H264" s="11" t="s">
        <v>204</v>
      </c>
      <c r="I264" s="12" t="n">
        <v>8104326</v>
      </c>
      <c r="J264" s="12" t="n">
        <v>2479911</v>
      </c>
      <c r="K264" s="13" t="n">
        <f aca="false">IF(I264=0,0,J264/I264)</f>
        <v>0.305998426025804</v>
      </c>
      <c r="L264" s="12" t="n">
        <v>944856</v>
      </c>
      <c r="M264" s="12" t="n">
        <v>134396</v>
      </c>
      <c r="N264" s="12" t="n">
        <v>14171</v>
      </c>
      <c r="O264" s="12" t="n">
        <v>2021</v>
      </c>
      <c r="P264" s="12" t="n">
        <f aca="false">M264+N264+O264</f>
        <v>150588</v>
      </c>
      <c r="Q264" s="13" t="n">
        <f aca="false">IF(I264=0,0,P264/I264)</f>
        <v>0.0185811873806656</v>
      </c>
      <c r="R264" s="13" t="n">
        <v>0.0455</v>
      </c>
      <c r="S264" s="14" t="n">
        <v>1005713</v>
      </c>
      <c r="T264" s="14" t="n">
        <v>83311</v>
      </c>
      <c r="U264" s="14" t="n">
        <v>42831</v>
      </c>
      <c r="V264" s="14" t="n">
        <v>73963</v>
      </c>
      <c r="W264" s="14" t="n">
        <f aca="false">S264+T264+U264+V264</f>
        <v>1205818</v>
      </c>
      <c r="X264" s="15" t="n">
        <f aca="false">IF(P264=0,0,S264/P264)</f>
        <v>6.67857332589582</v>
      </c>
      <c r="Y264" s="15" t="n">
        <f aca="false">IF(J264=0,0,W264/J264)</f>
        <v>0.486234385024301</v>
      </c>
      <c r="Z264" s="14" t="n">
        <v>231255</v>
      </c>
      <c r="AA264" s="15" t="n">
        <f aca="false">IF(L264=0,0,Z264/L264)</f>
        <v>0.244751581193325</v>
      </c>
      <c r="AB264" s="12" t="n">
        <v>195832239</v>
      </c>
      <c r="AC264" s="16" t="n">
        <v>12.2</v>
      </c>
      <c r="AD264" s="16" t="n">
        <v>20.6</v>
      </c>
      <c r="AE264" s="13" t="n">
        <v>0.404</v>
      </c>
      <c r="AF264" s="13" t="n">
        <v>0.588</v>
      </c>
      <c r="AG264" s="13" t="n">
        <v>0.345</v>
      </c>
      <c r="AH264" s="13" t="n">
        <v>0.209</v>
      </c>
      <c r="AI264" s="17" t="n">
        <v>4.6</v>
      </c>
    </row>
    <row r="265" customFormat="false" ht="15" hidden="false" customHeight="false" outlineLevel="0" collapsed="false">
      <c r="A265" s="10" t="n">
        <v>45352</v>
      </c>
      <c r="B265" s="11" t="n">
        <f aca="false">YEAR(A265)</f>
        <v>2024</v>
      </c>
      <c r="C265" s="11" t="str">
        <f aca="false">"Q"&amp;ROUNDUP(MONTH(A265)/3,0)</f>
        <v>Q1</v>
      </c>
      <c r="D265" s="11" t="str">
        <f aca="false">B265&amp;"-"&amp;C265</f>
        <v>2024-Q1</v>
      </c>
      <c r="E265" s="11" t="n">
        <f aca="false">MONTH(A265)</f>
        <v>3</v>
      </c>
      <c r="F265" s="11" t="str">
        <f aca="false">TEXT(A265,"mmm")</f>
        <v>Mar</v>
      </c>
      <c r="G265" s="11" t="s">
        <v>208</v>
      </c>
      <c r="H265" s="11" t="s">
        <v>205</v>
      </c>
      <c r="I265" s="12" t="n">
        <v>2230608</v>
      </c>
      <c r="J265" s="12" t="n">
        <v>637447</v>
      </c>
      <c r="K265" s="13" t="n">
        <f aca="false">IF(I265=0,0,J265/I265)</f>
        <v>0.28577275792071</v>
      </c>
      <c r="L265" s="12" t="n">
        <v>260278</v>
      </c>
      <c r="M265" s="12" t="n">
        <v>38471</v>
      </c>
      <c r="N265" s="12" t="n">
        <v>4015</v>
      </c>
      <c r="O265" s="12" t="n">
        <v>383</v>
      </c>
      <c r="P265" s="12" t="n">
        <f aca="false">M265+N265+O265</f>
        <v>42869</v>
      </c>
      <c r="Q265" s="13" t="n">
        <f aca="false">IF(I265=0,0,P265/I265)</f>
        <v>0.0192185269666387</v>
      </c>
      <c r="R265" s="13" t="n">
        <v>0.0438</v>
      </c>
      <c r="S265" s="14" t="n">
        <v>292981</v>
      </c>
      <c r="T265" s="14" t="n">
        <v>25489</v>
      </c>
      <c r="U265" s="14" t="n">
        <v>12154</v>
      </c>
      <c r="V265" s="14" t="n">
        <v>21302</v>
      </c>
      <c r="W265" s="14" t="n">
        <f aca="false">S265+T265+U265+V265</f>
        <v>351926</v>
      </c>
      <c r="X265" s="15" t="n">
        <f aca="false">IF(P265=0,0,S265/P265)</f>
        <v>6.8343325013413</v>
      </c>
      <c r="Y265" s="15" t="n">
        <f aca="false">IF(J265=0,0,W265/J265)</f>
        <v>0.552086683285042</v>
      </c>
      <c r="Z265" s="14" t="n">
        <v>60806</v>
      </c>
      <c r="AA265" s="15" t="n">
        <f aca="false">IF(L265=0,0,Z265/L265)</f>
        <v>0.233619437678175</v>
      </c>
      <c r="AB265" s="12" t="n">
        <v>49282619</v>
      </c>
      <c r="AC265" s="16" t="n">
        <v>11</v>
      </c>
      <c r="AD265" s="16" t="n">
        <v>20.2</v>
      </c>
      <c r="AE265" s="13" t="n">
        <v>0.399</v>
      </c>
      <c r="AF265" s="13" t="n">
        <v>0.567</v>
      </c>
      <c r="AG265" s="13" t="n">
        <v>0.335</v>
      </c>
      <c r="AH265" s="13" t="n">
        <v>0.211</v>
      </c>
      <c r="AI265" s="17"/>
    </row>
    <row r="266" customFormat="false" ht="15" hidden="false" customHeight="false" outlineLevel="0" collapsed="false">
      <c r="A266" s="10" t="n">
        <v>45352</v>
      </c>
      <c r="B266" s="11" t="n">
        <f aca="false">YEAR(A266)</f>
        <v>2024</v>
      </c>
      <c r="C266" s="11" t="str">
        <f aca="false">"Q"&amp;ROUNDUP(MONTH(A266)/3,0)</f>
        <v>Q1</v>
      </c>
      <c r="D266" s="11" t="str">
        <f aca="false">B266&amp;"-"&amp;C266</f>
        <v>2024-Q1</v>
      </c>
      <c r="E266" s="11" t="n">
        <f aca="false">MONTH(A266)</f>
        <v>3</v>
      </c>
      <c r="F266" s="11" t="str">
        <f aca="false">TEXT(A266,"mmm")</f>
        <v>Mar</v>
      </c>
      <c r="G266" s="11" t="s">
        <v>209</v>
      </c>
      <c r="H266" s="11" t="s">
        <v>203</v>
      </c>
      <c r="I266" s="12" t="n">
        <v>3596712</v>
      </c>
      <c r="J266" s="12" t="n">
        <v>1168639</v>
      </c>
      <c r="K266" s="13" t="n">
        <f aca="false">IF(I266=0,0,J266/I266)</f>
        <v>0.324918703526999</v>
      </c>
      <c r="L266" s="12" t="n">
        <v>425283</v>
      </c>
      <c r="M266" s="12" t="n">
        <v>90955</v>
      </c>
      <c r="N266" s="12" t="n">
        <v>9514</v>
      </c>
      <c r="O266" s="12" t="n">
        <v>1459</v>
      </c>
      <c r="P266" s="12" t="n">
        <f aca="false">M266+N266+O266</f>
        <v>101928</v>
      </c>
      <c r="Q266" s="13" t="n">
        <f aca="false">IF(I266=0,0,P266/I266)</f>
        <v>0.0283392164843891</v>
      </c>
      <c r="R266" s="13" t="n">
        <v>0.0457</v>
      </c>
      <c r="S266" s="14" t="n">
        <v>691755</v>
      </c>
      <c r="T266" s="14" t="n">
        <v>54998</v>
      </c>
      <c r="U266" s="14" t="n">
        <v>26913</v>
      </c>
      <c r="V266" s="14" t="n">
        <v>50760</v>
      </c>
      <c r="W266" s="14" t="n">
        <f aca="false">S266+T266+U266+V266</f>
        <v>824426</v>
      </c>
      <c r="X266" s="15" t="n">
        <f aca="false">IF(P266=0,0,S266/P266)</f>
        <v>6.78670237814928</v>
      </c>
      <c r="Y266" s="15" t="n">
        <f aca="false">IF(J266=0,0,W266/J266)</f>
        <v>0.705458229615818</v>
      </c>
      <c r="Z266" s="14" t="n">
        <v>152470</v>
      </c>
      <c r="AA266" s="15" t="n">
        <f aca="false">IF(L266=0,0,Z266/L266)</f>
        <v>0.358514212888829</v>
      </c>
      <c r="AB266" s="12" t="n">
        <v>92647344</v>
      </c>
      <c r="AC266" s="16" t="n">
        <v>12.6</v>
      </c>
      <c r="AD266" s="16" t="n">
        <v>21.9</v>
      </c>
      <c r="AE266" s="13" t="n">
        <v>0.407</v>
      </c>
      <c r="AF266" s="13" t="n">
        <v>0.582</v>
      </c>
      <c r="AG266" s="13" t="n">
        <v>0.343</v>
      </c>
      <c r="AH266" s="13" t="n">
        <v>0.198</v>
      </c>
      <c r="AI266" s="17" t="n">
        <v>4.7</v>
      </c>
    </row>
    <row r="267" customFormat="false" ht="15" hidden="false" customHeight="false" outlineLevel="0" collapsed="false">
      <c r="A267" s="10" t="n">
        <v>45352</v>
      </c>
      <c r="B267" s="11" t="n">
        <f aca="false">YEAR(A267)</f>
        <v>2024</v>
      </c>
      <c r="C267" s="11" t="str">
        <f aca="false">"Q"&amp;ROUNDUP(MONTH(A267)/3,0)</f>
        <v>Q1</v>
      </c>
      <c r="D267" s="11" t="str">
        <f aca="false">B267&amp;"-"&amp;C267</f>
        <v>2024-Q1</v>
      </c>
      <c r="E267" s="11" t="n">
        <f aca="false">MONTH(A267)</f>
        <v>3</v>
      </c>
      <c r="F267" s="11" t="str">
        <f aca="false">TEXT(A267,"mmm")</f>
        <v>Mar</v>
      </c>
      <c r="G267" s="11" t="s">
        <v>209</v>
      </c>
      <c r="H267" s="11" t="s">
        <v>204</v>
      </c>
      <c r="I267" s="12" t="n">
        <v>4668993</v>
      </c>
      <c r="J267" s="12" t="n">
        <v>1375761</v>
      </c>
      <c r="K267" s="13" t="n">
        <f aca="false">IF(I267=0,0,J267/I267)</f>
        <v>0.29465904103947</v>
      </c>
      <c r="L267" s="12" t="n">
        <v>488723</v>
      </c>
      <c r="M267" s="12" t="n">
        <v>53562</v>
      </c>
      <c r="N267" s="12" t="n">
        <v>5540</v>
      </c>
      <c r="O267" s="12" t="n">
        <v>641</v>
      </c>
      <c r="P267" s="12" t="n">
        <f aca="false">M267+N267+O267</f>
        <v>59743</v>
      </c>
      <c r="Q267" s="13" t="n">
        <f aca="false">IF(I267=0,0,P267/I267)</f>
        <v>0.0127956927757227</v>
      </c>
      <c r="R267" s="13" t="n">
        <v>0.045</v>
      </c>
      <c r="S267" s="14" t="n">
        <v>420335</v>
      </c>
      <c r="T267" s="14" t="n">
        <v>36305</v>
      </c>
      <c r="U267" s="14" t="n">
        <v>18140</v>
      </c>
      <c r="V267" s="14" t="n">
        <v>28418</v>
      </c>
      <c r="W267" s="14" t="n">
        <f aca="false">S267+T267+U267+V267</f>
        <v>503198</v>
      </c>
      <c r="X267" s="15" t="n">
        <f aca="false">IF(P267=0,0,S267/P267)</f>
        <v>7.03571966590228</v>
      </c>
      <c r="Y267" s="15" t="n">
        <f aca="false">IF(J267=0,0,W267/J267)</f>
        <v>0.365759750421767</v>
      </c>
      <c r="Z267" s="14" t="n">
        <v>91242</v>
      </c>
      <c r="AA267" s="15" t="n">
        <f aca="false">IF(L267=0,0,Z267/L267)</f>
        <v>0.18669471254678</v>
      </c>
      <c r="AB267" s="12" t="n">
        <v>103711813</v>
      </c>
      <c r="AC267" s="16" t="n">
        <v>11.9</v>
      </c>
      <c r="AD267" s="16" t="n">
        <v>20.6</v>
      </c>
      <c r="AE267" s="13" t="n">
        <v>0.406</v>
      </c>
      <c r="AF267" s="13" t="n">
        <v>0.582</v>
      </c>
      <c r="AG267" s="13" t="n">
        <v>0.346</v>
      </c>
      <c r="AH267" s="13" t="n">
        <v>0.198</v>
      </c>
      <c r="AI267" s="17" t="n">
        <v>4.6</v>
      </c>
    </row>
    <row r="268" customFormat="false" ht="15" hidden="false" customHeight="false" outlineLevel="0" collapsed="false">
      <c r="A268" s="10" t="n">
        <v>45352</v>
      </c>
      <c r="B268" s="11" t="n">
        <f aca="false">YEAR(A268)</f>
        <v>2024</v>
      </c>
      <c r="C268" s="11" t="str">
        <f aca="false">"Q"&amp;ROUNDUP(MONTH(A268)/3,0)</f>
        <v>Q1</v>
      </c>
      <c r="D268" s="11" t="str">
        <f aca="false">B268&amp;"-"&amp;C268</f>
        <v>2024-Q1</v>
      </c>
      <c r="E268" s="11" t="n">
        <f aca="false">MONTH(A268)</f>
        <v>3</v>
      </c>
      <c r="F268" s="11" t="str">
        <f aca="false">TEXT(A268,"mmm")</f>
        <v>Mar</v>
      </c>
      <c r="G268" s="11" t="s">
        <v>209</v>
      </c>
      <c r="H268" s="11" t="s">
        <v>205</v>
      </c>
      <c r="I268" s="12" t="n">
        <v>1535504</v>
      </c>
      <c r="J268" s="12" t="n">
        <v>406360</v>
      </c>
      <c r="K268" s="13" t="n">
        <f aca="false">IF(I268=0,0,J268/I268)</f>
        <v>0.264642749221103</v>
      </c>
      <c r="L268" s="12" t="n">
        <v>145630</v>
      </c>
      <c r="M268" s="12" t="n">
        <v>13982</v>
      </c>
      <c r="N268" s="12" t="n">
        <v>1499</v>
      </c>
      <c r="O268" s="12" t="n">
        <v>112</v>
      </c>
      <c r="P268" s="12" t="n">
        <f aca="false">M268+N268+O268</f>
        <v>15593</v>
      </c>
      <c r="Q268" s="13" t="n">
        <f aca="false">IF(I268=0,0,P268/I268)</f>
        <v>0.0101549719180152</v>
      </c>
      <c r="R268" s="13" t="n">
        <v>0.0484</v>
      </c>
      <c r="S268" s="14" t="n">
        <v>114401</v>
      </c>
      <c r="T268" s="14" t="n">
        <v>10377</v>
      </c>
      <c r="U268" s="14" t="n">
        <v>4774</v>
      </c>
      <c r="V268" s="14" t="n">
        <v>8074</v>
      </c>
      <c r="W268" s="14" t="n">
        <f aca="false">S268+T268+U268+V268</f>
        <v>137626</v>
      </c>
      <c r="X268" s="15" t="n">
        <f aca="false">IF(P268=0,0,S268/P268)</f>
        <v>7.33668954017829</v>
      </c>
      <c r="Y268" s="15" t="n">
        <f aca="false">IF(J268=0,0,W268/J268)</f>
        <v>0.338679988187814</v>
      </c>
      <c r="Z268" s="14" t="n">
        <v>23215</v>
      </c>
      <c r="AA268" s="15" t="n">
        <f aca="false">IF(L268=0,0,Z268/L268)</f>
        <v>0.159410835679462</v>
      </c>
      <c r="AB268" s="12" t="n">
        <v>31547515</v>
      </c>
      <c r="AC268" s="16" t="n">
        <v>10.9</v>
      </c>
      <c r="AD268" s="16" t="n">
        <v>21.2</v>
      </c>
      <c r="AE268" s="13" t="n">
        <v>0.391</v>
      </c>
      <c r="AF268" s="13" t="n">
        <v>0.571</v>
      </c>
      <c r="AG268" s="13" t="n">
        <v>0.342</v>
      </c>
      <c r="AH268" s="13" t="n">
        <v>0.197</v>
      </c>
      <c r="AI268" s="17"/>
    </row>
    <row r="269" customFormat="false" ht="15" hidden="false" customHeight="false" outlineLevel="0" collapsed="false">
      <c r="A269" s="10" t="n">
        <v>45352</v>
      </c>
      <c r="B269" s="11" t="n">
        <f aca="false">YEAR(A269)</f>
        <v>2024</v>
      </c>
      <c r="C269" s="11" t="str">
        <f aca="false">"Q"&amp;ROUNDUP(MONTH(A269)/3,0)</f>
        <v>Q1</v>
      </c>
      <c r="D269" s="11" t="str">
        <f aca="false">B269&amp;"-"&amp;C269</f>
        <v>2024-Q1</v>
      </c>
      <c r="E269" s="11" t="n">
        <f aca="false">MONTH(A269)</f>
        <v>3</v>
      </c>
      <c r="F269" s="11" t="str">
        <f aca="false">TEXT(A269,"mmm")</f>
        <v>Mar</v>
      </c>
      <c r="G269" s="11" t="s">
        <v>210</v>
      </c>
      <c r="H269" s="11" t="s">
        <v>203</v>
      </c>
      <c r="I269" s="12" t="n">
        <v>6161454</v>
      </c>
      <c r="J269" s="12" t="n">
        <v>1961759</v>
      </c>
      <c r="K269" s="13" t="n">
        <f aca="false">IF(I269=0,0,J269/I269)</f>
        <v>0.318392217161728</v>
      </c>
      <c r="L269" s="12" t="n">
        <v>721117</v>
      </c>
      <c r="M269" s="12" t="n">
        <v>167382</v>
      </c>
      <c r="N269" s="12" t="n">
        <v>15870</v>
      </c>
      <c r="O269" s="12" t="n">
        <v>2661</v>
      </c>
      <c r="P269" s="12" t="n">
        <f aca="false">M269+N269+O269</f>
        <v>185913</v>
      </c>
      <c r="Q269" s="13" t="n">
        <f aca="false">IF(I269=0,0,P269/I269)</f>
        <v>0.0301735596825035</v>
      </c>
      <c r="R269" s="13" t="n">
        <v>0.0397</v>
      </c>
      <c r="S269" s="14" t="n">
        <v>1365478</v>
      </c>
      <c r="T269" s="14" t="n">
        <v>106521</v>
      </c>
      <c r="U269" s="14" t="n">
        <v>59560</v>
      </c>
      <c r="V269" s="14" t="n">
        <v>94815</v>
      </c>
      <c r="W269" s="14" t="n">
        <f aca="false">S269+T269+U269+V269</f>
        <v>1626374</v>
      </c>
      <c r="X269" s="15" t="n">
        <f aca="false">IF(P269=0,0,S269/P269)</f>
        <v>7.34471500110267</v>
      </c>
      <c r="Y269" s="15" t="n">
        <f aca="false">IF(J269=0,0,W269/J269)</f>
        <v>0.82903863318583</v>
      </c>
      <c r="Z269" s="14" t="n">
        <v>312921</v>
      </c>
      <c r="AA269" s="15" t="n">
        <f aca="false">IF(L269=0,0,Z269/L269)</f>
        <v>0.433939291404862</v>
      </c>
      <c r="AB269" s="12" t="n">
        <v>152511024</v>
      </c>
      <c r="AC269" s="16" t="n">
        <v>12.4</v>
      </c>
      <c r="AD269" s="16" t="n">
        <v>21.3</v>
      </c>
      <c r="AE269" s="13" t="n">
        <v>0.412</v>
      </c>
      <c r="AF269" s="13" t="n">
        <v>0.576</v>
      </c>
      <c r="AG269" s="13" t="n">
        <v>0.368</v>
      </c>
      <c r="AH269" s="13" t="n">
        <v>0.204</v>
      </c>
      <c r="AI269" s="17" t="n">
        <v>4.69</v>
      </c>
    </row>
    <row r="270" customFormat="false" ht="15" hidden="false" customHeight="false" outlineLevel="0" collapsed="false">
      <c r="A270" s="10" t="n">
        <v>45352</v>
      </c>
      <c r="B270" s="11" t="n">
        <f aca="false">YEAR(A270)</f>
        <v>2024</v>
      </c>
      <c r="C270" s="11" t="str">
        <f aca="false">"Q"&amp;ROUNDUP(MONTH(A270)/3,0)</f>
        <v>Q1</v>
      </c>
      <c r="D270" s="11" t="str">
        <f aca="false">B270&amp;"-"&amp;C270</f>
        <v>2024-Q1</v>
      </c>
      <c r="E270" s="11" t="n">
        <f aca="false">MONTH(A270)</f>
        <v>3</v>
      </c>
      <c r="F270" s="11" t="str">
        <f aca="false">TEXT(A270,"mmm")</f>
        <v>Mar</v>
      </c>
      <c r="G270" s="11" t="s">
        <v>210</v>
      </c>
      <c r="H270" s="11" t="s">
        <v>204</v>
      </c>
      <c r="I270" s="12" t="n">
        <v>7023737</v>
      </c>
      <c r="J270" s="12" t="n">
        <v>2023455</v>
      </c>
      <c r="K270" s="13" t="n">
        <f aca="false">IF(I270=0,0,J270/I270)</f>
        <v>0.288088093275702</v>
      </c>
      <c r="L270" s="12" t="n">
        <v>858371</v>
      </c>
      <c r="M270" s="12" t="n">
        <v>103244</v>
      </c>
      <c r="N270" s="12" t="n">
        <v>9896</v>
      </c>
      <c r="O270" s="12" t="n">
        <v>1228</v>
      </c>
      <c r="P270" s="12" t="n">
        <f aca="false">M270+N270+O270</f>
        <v>114368</v>
      </c>
      <c r="Q270" s="13" t="n">
        <f aca="false">IF(I270=0,0,P270/I270)</f>
        <v>0.0162830698245108</v>
      </c>
      <c r="R270" s="13" t="n">
        <v>0.044</v>
      </c>
      <c r="S270" s="14" t="n">
        <v>793260</v>
      </c>
      <c r="T270" s="14" t="n">
        <v>63462</v>
      </c>
      <c r="U270" s="14" t="n">
        <v>32333</v>
      </c>
      <c r="V270" s="14" t="n">
        <v>53441</v>
      </c>
      <c r="W270" s="14" t="n">
        <f aca="false">S270+T270+U270+V270</f>
        <v>942496</v>
      </c>
      <c r="X270" s="15" t="n">
        <f aca="false">IF(P270=0,0,S270/P270)</f>
        <v>6.9360310576385</v>
      </c>
      <c r="Y270" s="15" t="n">
        <f aca="false">IF(J270=0,0,W270/J270)</f>
        <v>0.465785500542389</v>
      </c>
      <c r="Z270" s="14" t="n">
        <v>165547</v>
      </c>
      <c r="AA270" s="15" t="n">
        <f aca="false">IF(L270=0,0,Z270/L270)</f>
        <v>0.192861827811051</v>
      </c>
      <c r="AB270" s="12" t="n">
        <v>155278460</v>
      </c>
      <c r="AC270" s="16" t="n">
        <v>12.1</v>
      </c>
      <c r="AD270" s="16" t="n">
        <v>21.1</v>
      </c>
      <c r="AE270" s="13" t="n">
        <v>0.399</v>
      </c>
      <c r="AF270" s="13" t="n">
        <v>0.568</v>
      </c>
      <c r="AG270" s="13" t="n">
        <v>0.346</v>
      </c>
      <c r="AH270" s="13" t="n">
        <v>0.203</v>
      </c>
      <c r="AI270" s="17" t="n">
        <v>4.64</v>
      </c>
    </row>
    <row r="271" customFormat="false" ht="15" hidden="false" customHeight="false" outlineLevel="0" collapsed="false">
      <c r="A271" s="10" t="n">
        <v>45352</v>
      </c>
      <c r="B271" s="11" t="n">
        <f aca="false">YEAR(A271)</f>
        <v>2024</v>
      </c>
      <c r="C271" s="11" t="str">
        <f aca="false">"Q"&amp;ROUNDUP(MONTH(A271)/3,0)</f>
        <v>Q1</v>
      </c>
      <c r="D271" s="11" t="str">
        <f aca="false">B271&amp;"-"&amp;C271</f>
        <v>2024-Q1</v>
      </c>
      <c r="E271" s="11" t="n">
        <f aca="false">MONTH(A271)</f>
        <v>3</v>
      </c>
      <c r="F271" s="11" t="str">
        <f aca="false">TEXT(A271,"mmm")</f>
        <v>Mar</v>
      </c>
      <c r="G271" s="11" t="s">
        <v>210</v>
      </c>
      <c r="H271" s="11" t="s">
        <v>205</v>
      </c>
      <c r="I271" s="12" t="n">
        <v>2222486</v>
      </c>
      <c r="J271" s="12" t="n">
        <v>556429</v>
      </c>
      <c r="K271" s="13" t="n">
        <f aca="false">IF(I271=0,0,J271/I271)</f>
        <v>0.250363331872507</v>
      </c>
      <c r="L271" s="12" t="n">
        <v>249439</v>
      </c>
      <c r="M271" s="12" t="n">
        <v>29607</v>
      </c>
      <c r="N271" s="12" t="n">
        <v>3013</v>
      </c>
      <c r="O271" s="12" t="n">
        <v>235</v>
      </c>
      <c r="P271" s="12" t="n">
        <f aca="false">M271+N271+O271</f>
        <v>32855</v>
      </c>
      <c r="Q271" s="13" t="n">
        <f aca="false">IF(I271=0,0,P271/I271)</f>
        <v>0.0147829952584628</v>
      </c>
      <c r="R271" s="13" t="n">
        <v>0.0458</v>
      </c>
      <c r="S271" s="14" t="n">
        <v>215728</v>
      </c>
      <c r="T271" s="14" t="n">
        <v>18155</v>
      </c>
      <c r="U271" s="14" t="n">
        <v>8951</v>
      </c>
      <c r="V271" s="14" t="n">
        <v>15345</v>
      </c>
      <c r="W271" s="14" t="n">
        <f aca="false">S271+T271+U271+V271</f>
        <v>258179</v>
      </c>
      <c r="X271" s="15" t="n">
        <f aca="false">IF(P271=0,0,S271/P271)</f>
        <v>6.56606300410896</v>
      </c>
      <c r="Y271" s="15" t="n">
        <f aca="false">IF(J271=0,0,W271/J271)</f>
        <v>0.4639927106603</v>
      </c>
      <c r="Z271" s="14" t="n">
        <v>43170</v>
      </c>
      <c r="AA271" s="15" t="n">
        <f aca="false">IF(L271=0,0,Z271/L271)</f>
        <v>0.173068365411985</v>
      </c>
      <c r="AB271" s="12" t="n">
        <v>41535405</v>
      </c>
      <c r="AC271" s="16" t="n">
        <v>10.9</v>
      </c>
      <c r="AD271" s="16" t="n">
        <v>20.9</v>
      </c>
      <c r="AE271" s="13" t="n">
        <v>0.397</v>
      </c>
      <c r="AF271" s="13" t="n">
        <v>0.57</v>
      </c>
      <c r="AG271" s="13" t="n">
        <v>0.346</v>
      </c>
      <c r="AH271" s="13" t="n">
        <v>0.211</v>
      </c>
      <c r="AI271" s="17"/>
    </row>
    <row r="272" customFormat="false" ht="15" hidden="false" customHeight="false" outlineLevel="0" collapsed="false">
      <c r="A272" s="10" t="n">
        <v>45383</v>
      </c>
      <c r="B272" s="11" t="n">
        <f aca="false">YEAR(A272)</f>
        <v>2024</v>
      </c>
      <c r="C272" s="11" t="str">
        <f aca="false">"Q"&amp;ROUNDUP(MONTH(A272)/3,0)</f>
        <v>Q2</v>
      </c>
      <c r="D272" s="11" t="str">
        <f aca="false">B272&amp;"-"&amp;C272</f>
        <v>2024-Q2</v>
      </c>
      <c r="E272" s="11" t="n">
        <f aca="false">MONTH(A272)</f>
        <v>4</v>
      </c>
      <c r="F272" s="11" t="str">
        <f aca="false">TEXT(A272,"mmm")</f>
        <v>Apr</v>
      </c>
      <c r="G272" s="11" t="s">
        <v>202</v>
      </c>
      <c r="H272" s="11" t="s">
        <v>203</v>
      </c>
      <c r="I272" s="12" t="n">
        <v>8120498</v>
      </c>
      <c r="J272" s="12" t="n">
        <v>2650785</v>
      </c>
      <c r="K272" s="13" t="n">
        <f aca="false">IF(I272=0,0,J272/I272)</f>
        <v>0.32643133462997</v>
      </c>
      <c r="L272" s="12" t="n">
        <v>1062179</v>
      </c>
      <c r="M272" s="12" t="n">
        <v>1671617</v>
      </c>
      <c r="N272" s="12" t="n">
        <v>192534</v>
      </c>
      <c r="O272" s="12" t="n">
        <v>121908</v>
      </c>
      <c r="P272" s="12" t="n">
        <f aca="false">M272+N272+O272</f>
        <v>1986059</v>
      </c>
      <c r="Q272" s="13" t="n">
        <f aca="false">IF(I272=0,0,P272/I272)</f>
        <v>0.244573547090339</v>
      </c>
      <c r="R272" s="13" t="n">
        <v>0.0429</v>
      </c>
      <c r="S272" s="14" t="n">
        <v>12266063</v>
      </c>
      <c r="T272" s="14" t="n">
        <v>973525</v>
      </c>
      <c r="U272" s="14" t="n">
        <v>496569</v>
      </c>
      <c r="V272" s="14" t="n">
        <v>921995</v>
      </c>
      <c r="W272" s="14" t="n">
        <f aca="false">S272+T272+U272+V272</f>
        <v>14658152</v>
      </c>
      <c r="X272" s="15" t="n">
        <f aca="false">IF(P272=0,0,S272/P272)</f>
        <v>6.17608187873573</v>
      </c>
      <c r="Y272" s="15" t="n">
        <f aca="false">IF(J272=0,0,W272/J272)</f>
        <v>5.52974005813372</v>
      </c>
      <c r="Z272" s="14" t="n">
        <v>2069997</v>
      </c>
      <c r="AA272" s="15" t="n">
        <f aca="false">IF(L272=0,0,Z272/L272)</f>
        <v>1.94882124387697</v>
      </c>
      <c r="AB272" s="12" t="n">
        <v>196166795</v>
      </c>
      <c r="AC272" s="16" t="n">
        <v>12.6</v>
      </c>
      <c r="AD272" s="16" t="n">
        <v>20.3</v>
      </c>
      <c r="AE272" s="13" t="n">
        <v>0.408</v>
      </c>
      <c r="AF272" s="13" t="n">
        <v>0.588</v>
      </c>
      <c r="AG272" s="13" t="n">
        <v>0.367</v>
      </c>
      <c r="AH272" s="13" t="n">
        <v>0.202</v>
      </c>
      <c r="AI272" s="17" t="n">
        <v>4.69</v>
      </c>
    </row>
    <row r="273" customFormat="false" ht="15" hidden="false" customHeight="false" outlineLevel="0" collapsed="false">
      <c r="A273" s="10" t="n">
        <v>45383</v>
      </c>
      <c r="B273" s="11" t="n">
        <f aca="false">YEAR(A273)</f>
        <v>2024</v>
      </c>
      <c r="C273" s="11" t="str">
        <f aca="false">"Q"&amp;ROUNDUP(MONTH(A273)/3,0)</f>
        <v>Q2</v>
      </c>
      <c r="D273" s="11" t="str">
        <f aca="false">B273&amp;"-"&amp;C273</f>
        <v>2024-Q2</v>
      </c>
      <c r="E273" s="11" t="n">
        <f aca="false">MONTH(A273)</f>
        <v>4</v>
      </c>
      <c r="F273" s="11" t="str">
        <f aca="false">TEXT(A273,"mmm")</f>
        <v>Apr</v>
      </c>
      <c r="G273" s="11" t="s">
        <v>202</v>
      </c>
      <c r="H273" s="11" t="s">
        <v>204</v>
      </c>
      <c r="I273" s="12" t="n">
        <v>10862928</v>
      </c>
      <c r="J273" s="12" t="n">
        <v>3406667</v>
      </c>
      <c r="K273" s="13" t="n">
        <f aca="false">IF(I273=0,0,J273/I273)</f>
        <v>0.31360485865321</v>
      </c>
      <c r="L273" s="12" t="n">
        <v>1128903</v>
      </c>
      <c r="M273" s="12" t="n">
        <v>958165</v>
      </c>
      <c r="N273" s="12" t="n">
        <v>102293</v>
      </c>
      <c r="O273" s="12" t="n">
        <v>51176</v>
      </c>
      <c r="P273" s="12" t="n">
        <f aca="false">M273+N273+O273</f>
        <v>1111634</v>
      </c>
      <c r="Q273" s="13" t="n">
        <f aca="false">IF(I273=0,0,P273/I273)</f>
        <v>0.102332814872749</v>
      </c>
      <c r="R273" s="13" t="n">
        <v>0.0415</v>
      </c>
      <c r="S273" s="14" t="n">
        <v>6728482</v>
      </c>
      <c r="T273" s="14" t="n">
        <v>600926</v>
      </c>
      <c r="U273" s="14" t="n">
        <v>315482</v>
      </c>
      <c r="V273" s="14" t="n">
        <v>427756</v>
      </c>
      <c r="W273" s="14" t="n">
        <f aca="false">S273+T273+U273+V273</f>
        <v>8072646</v>
      </c>
      <c r="X273" s="15" t="n">
        <f aca="false">IF(P273=0,0,S273/P273)</f>
        <v>6.05278535920996</v>
      </c>
      <c r="Y273" s="15" t="n">
        <f aca="false">IF(J273=0,0,W273/J273)</f>
        <v>2.36966102058111</v>
      </c>
      <c r="Z273" s="14" t="n">
        <v>1444255</v>
      </c>
      <c r="AA273" s="15" t="n">
        <f aca="false">IF(L273=0,0,Z273/L273)</f>
        <v>1.27934375229758</v>
      </c>
      <c r="AB273" s="12" t="n">
        <v>273409693</v>
      </c>
      <c r="AC273" s="16" t="n">
        <v>12.1</v>
      </c>
      <c r="AD273" s="16" t="n">
        <v>22.1</v>
      </c>
      <c r="AE273" s="13" t="n">
        <v>0.416</v>
      </c>
      <c r="AF273" s="13" t="n">
        <v>0.592</v>
      </c>
      <c r="AG273" s="13" t="n">
        <v>0.353</v>
      </c>
      <c r="AH273" s="13" t="n">
        <v>0.21</v>
      </c>
      <c r="AI273" s="17" t="n">
        <v>4.63</v>
      </c>
    </row>
    <row r="274" customFormat="false" ht="15" hidden="false" customHeight="false" outlineLevel="0" collapsed="false">
      <c r="A274" s="10" t="n">
        <v>45383</v>
      </c>
      <c r="B274" s="11" t="n">
        <f aca="false">YEAR(A274)</f>
        <v>2024</v>
      </c>
      <c r="C274" s="11" t="str">
        <f aca="false">"Q"&amp;ROUNDUP(MONTH(A274)/3,0)</f>
        <v>Q2</v>
      </c>
      <c r="D274" s="11" t="str">
        <f aca="false">B274&amp;"-"&amp;C274</f>
        <v>2024-Q2</v>
      </c>
      <c r="E274" s="11" t="n">
        <f aca="false">MONTH(A274)</f>
        <v>4</v>
      </c>
      <c r="F274" s="11" t="str">
        <f aca="false">TEXT(A274,"mmm")</f>
        <v>Apr</v>
      </c>
      <c r="G274" s="11" t="s">
        <v>202</v>
      </c>
      <c r="H274" s="11" t="s">
        <v>205</v>
      </c>
      <c r="I274" s="12" t="n">
        <v>2929504</v>
      </c>
      <c r="J274" s="12" t="n">
        <v>838258</v>
      </c>
      <c r="K274" s="13" t="n">
        <f aca="false">IF(I274=0,0,J274/I274)</f>
        <v>0.286143319824789</v>
      </c>
      <c r="L274" s="12" t="n">
        <v>304599</v>
      </c>
      <c r="M274" s="12" t="n">
        <v>267571</v>
      </c>
      <c r="N274" s="12" t="n">
        <v>29053</v>
      </c>
      <c r="O274" s="12" t="n">
        <v>9392</v>
      </c>
      <c r="P274" s="12" t="n">
        <f aca="false">M274+N274+O274</f>
        <v>306016</v>
      </c>
      <c r="Q274" s="13" t="n">
        <f aca="false">IF(I274=0,0,P274/I274)</f>
        <v>0.104460004150873</v>
      </c>
      <c r="R274" s="13" t="n">
        <v>0.0458</v>
      </c>
      <c r="S274" s="14" t="n">
        <v>1936714</v>
      </c>
      <c r="T274" s="14" t="n">
        <v>172742</v>
      </c>
      <c r="U274" s="14" t="n">
        <v>82144</v>
      </c>
      <c r="V274" s="14" t="n">
        <v>144912</v>
      </c>
      <c r="W274" s="14" t="n">
        <f aca="false">S274+T274+U274+V274</f>
        <v>2336512</v>
      </c>
      <c r="X274" s="15" t="n">
        <f aca="false">IF(P274=0,0,S274/P274)</f>
        <v>6.32879980131758</v>
      </c>
      <c r="Y274" s="15" t="n">
        <f aca="false">IF(J274=0,0,W274/J274)</f>
        <v>2.787342321815</v>
      </c>
      <c r="Z274" s="14" t="n">
        <v>392061</v>
      </c>
      <c r="AA274" s="15" t="n">
        <f aca="false">IF(L274=0,0,Z274/L274)</f>
        <v>1.28713817182591</v>
      </c>
      <c r="AB274" s="12" t="n">
        <v>64827498</v>
      </c>
      <c r="AC274" s="16" t="n">
        <v>11.4</v>
      </c>
      <c r="AD274" s="16" t="n">
        <v>21.2</v>
      </c>
      <c r="AE274" s="13" t="n">
        <v>0.395</v>
      </c>
      <c r="AF274" s="13" t="n">
        <v>0.57</v>
      </c>
      <c r="AG274" s="13" t="n">
        <v>0.345</v>
      </c>
      <c r="AH274" s="13" t="n">
        <v>0.209</v>
      </c>
      <c r="AI274" s="17"/>
    </row>
    <row r="275" customFormat="false" ht="15" hidden="false" customHeight="false" outlineLevel="0" collapsed="false">
      <c r="A275" s="10" t="n">
        <v>45383</v>
      </c>
      <c r="B275" s="11" t="n">
        <f aca="false">YEAR(A275)</f>
        <v>2024</v>
      </c>
      <c r="C275" s="11" t="str">
        <f aca="false">"Q"&amp;ROUNDUP(MONTH(A275)/3,0)</f>
        <v>Q2</v>
      </c>
      <c r="D275" s="11" t="str">
        <f aca="false">B275&amp;"-"&amp;C275</f>
        <v>2024-Q2</v>
      </c>
      <c r="E275" s="11" t="n">
        <f aca="false">MONTH(A275)</f>
        <v>4</v>
      </c>
      <c r="F275" s="11" t="str">
        <f aca="false">TEXT(A275,"mmm")</f>
        <v>Apr</v>
      </c>
      <c r="G275" s="11" t="s">
        <v>206</v>
      </c>
      <c r="H275" s="11" t="s">
        <v>203</v>
      </c>
      <c r="I275" s="12" t="n">
        <v>8379450</v>
      </c>
      <c r="J275" s="12" t="n">
        <v>2897804</v>
      </c>
      <c r="K275" s="13" t="n">
        <f aca="false">IF(I275=0,0,J275/I275)</f>
        <v>0.34582269719373</v>
      </c>
      <c r="L275" s="12" t="n">
        <v>1119217</v>
      </c>
      <c r="M275" s="12" t="n">
        <v>1045625</v>
      </c>
      <c r="N275" s="12" t="n">
        <v>105829</v>
      </c>
      <c r="O275" s="12" t="n">
        <v>45936</v>
      </c>
      <c r="P275" s="12" t="n">
        <f aca="false">M275+N275+O275</f>
        <v>1197390</v>
      </c>
      <c r="Q275" s="13" t="n">
        <f aca="false">IF(I275=0,0,P275/I275)</f>
        <v>0.142896013461504</v>
      </c>
      <c r="R275" s="13" t="n">
        <v>0.0405</v>
      </c>
      <c r="S275" s="14" t="n">
        <v>7010576</v>
      </c>
      <c r="T275" s="14" t="n">
        <v>596299</v>
      </c>
      <c r="U275" s="14" t="n">
        <v>290361</v>
      </c>
      <c r="V275" s="14" t="n">
        <v>454443</v>
      </c>
      <c r="W275" s="14" t="n">
        <f aca="false">S275+T275+U275+V275</f>
        <v>8351679</v>
      </c>
      <c r="X275" s="15" t="n">
        <f aca="false">IF(P275=0,0,S275/P275)</f>
        <v>5.85488103291325</v>
      </c>
      <c r="Y275" s="15" t="n">
        <f aca="false">IF(J275=0,0,W275/J275)</f>
        <v>2.8820717343202</v>
      </c>
      <c r="Z275" s="14" t="n">
        <v>1424187</v>
      </c>
      <c r="AA275" s="15" t="n">
        <f aca="false">IF(L275=0,0,Z275/L275)</f>
        <v>1.27248513916426</v>
      </c>
      <c r="AB275" s="12" t="n">
        <v>223033478</v>
      </c>
      <c r="AC275" s="16" t="n">
        <v>12.8</v>
      </c>
      <c r="AD275" s="16" t="n">
        <v>21.7</v>
      </c>
      <c r="AE275" s="13" t="n">
        <v>0.393</v>
      </c>
      <c r="AF275" s="13" t="n">
        <v>0.591</v>
      </c>
      <c r="AG275" s="13" t="n">
        <v>0.352</v>
      </c>
      <c r="AH275" s="13" t="n">
        <v>0.205</v>
      </c>
      <c r="AI275" s="17" t="n">
        <v>4.71</v>
      </c>
    </row>
    <row r="276" customFormat="false" ht="15" hidden="false" customHeight="false" outlineLevel="0" collapsed="false">
      <c r="A276" s="10" t="n">
        <v>45383</v>
      </c>
      <c r="B276" s="11" t="n">
        <f aca="false">YEAR(A276)</f>
        <v>2024</v>
      </c>
      <c r="C276" s="11" t="str">
        <f aca="false">"Q"&amp;ROUNDUP(MONTH(A276)/3,0)</f>
        <v>Q2</v>
      </c>
      <c r="D276" s="11" t="str">
        <f aca="false">B276&amp;"-"&amp;C276</f>
        <v>2024-Q2</v>
      </c>
      <c r="E276" s="11" t="n">
        <f aca="false">MONTH(A276)</f>
        <v>4</v>
      </c>
      <c r="F276" s="11" t="str">
        <f aca="false">TEXT(A276,"mmm")</f>
        <v>Apr</v>
      </c>
      <c r="G276" s="11" t="s">
        <v>206</v>
      </c>
      <c r="H276" s="11" t="s">
        <v>204</v>
      </c>
      <c r="I276" s="12" t="n">
        <v>11689358</v>
      </c>
      <c r="J276" s="12" t="n">
        <v>3557315</v>
      </c>
      <c r="K276" s="13" t="n">
        <f aca="false">IF(I276=0,0,J276/I276)</f>
        <v>0.304320818987664</v>
      </c>
      <c r="L276" s="12" t="n">
        <v>1174356</v>
      </c>
      <c r="M276" s="12" t="n">
        <v>627120</v>
      </c>
      <c r="N276" s="12" t="n">
        <v>61775</v>
      </c>
      <c r="O276" s="12" t="n">
        <v>20409</v>
      </c>
      <c r="P276" s="12" t="n">
        <f aca="false">M276+N276+O276</f>
        <v>709304</v>
      </c>
      <c r="Q276" s="13" t="n">
        <f aca="false">IF(I276=0,0,P276/I276)</f>
        <v>0.0606794658868348</v>
      </c>
      <c r="R276" s="13" t="n">
        <v>0.043</v>
      </c>
      <c r="S276" s="14" t="n">
        <v>4256706</v>
      </c>
      <c r="T276" s="14" t="n">
        <v>377160</v>
      </c>
      <c r="U276" s="14" t="n">
        <v>185139</v>
      </c>
      <c r="V276" s="14" t="n">
        <v>310701</v>
      </c>
      <c r="W276" s="14" t="n">
        <f aca="false">S276+T276+U276+V276</f>
        <v>5129706</v>
      </c>
      <c r="X276" s="15" t="n">
        <f aca="false">IF(P276=0,0,S276/P276)</f>
        <v>6.00124347247443</v>
      </c>
      <c r="Y276" s="15" t="n">
        <f aca="false">IF(J276=0,0,W276/J276)</f>
        <v>1.44201623977635</v>
      </c>
      <c r="Z276" s="14" t="n">
        <v>867548</v>
      </c>
      <c r="AA276" s="15" t="n">
        <f aca="false">IF(L276=0,0,Z276/L276)</f>
        <v>0.738743617778595</v>
      </c>
      <c r="AB276" s="12" t="n">
        <v>282139948</v>
      </c>
      <c r="AC276" s="16" t="n">
        <v>12.5</v>
      </c>
      <c r="AD276" s="16" t="n">
        <v>21.9</v>
      </c>
      <c r="AE276" s="13" t="n">
        <v>0.393</v>
      </c>
      <c r="AF276" s="13" t="n">
        <v>0.59</v>
      </c>
      <c r="AG276" s="13" t="n">
        <v>0.361</v>
      </c>
      <c r="AH276" s="13" t="n">
        <v>0.206</v>
      </c>
      <c r="AI276" s="17" t="n">
        <v>4.62</v>
      </c>
    </row>
    <row r="277" customFormat="false" ht="15" hidden="false" customHeight="false" outlineLevel="0" collapsed="false">
      <c r="A277" s="10" t="n">
        <v>45383</v>
      </c>
      <c r="B277" s="11" t="n">
        <f aca="false">YEAR(A277)</f>
        <v>2024</v>
      </c>
      <c r="C277" s="11" t="str">
        <f aca="false">"Q"&amp;ROUNDUP(MONTH(A277)/3,0)</f>
        <v>Q2</v>
      </c>
      <c r="D277" s="11" t="str">
        <f aca="false">B277&amp;"-"&amp;C277</f>
        <v>2024-Q2</v>
      </c>
      <c r="E277" s="11" t="n">
        <f aca="false">MONTH(A277)</f>
        <v>4</v>
      </c>
      <c r="F277" s="11" t="str">
        <f aca="false">TEXT(A277,"mmm")</f>
        <v>Apr</v>
      </c>
      <c r="G277" s="11" t="s">
        <v>206</v>
      </c>
      <c r="H277" s="11" t="s">
        <v>205</v>
      </c>
      <c r="I277" s="12" t="n">
        <v>3196625</v>
      </c>
      <c r="J277" s="12" t="n">
        <v>932661</v>
      </c>
      <c r="K277" s="13" t="n">
        <f aca="false">IF(I277=0,0,J277/I277)</f>
        <v>0.291764282641849</v>
      </c>
      <c r="L277" s="12" t="n">
        <v>335601</v>
      </c>
      <c r="M277" s="12" t="n">
        <v>168619</v>
      </c>
      <c r="N277" s="12" t="n">
        <v>16480</v>
      </c>
      <c r="O277" s="12" t="n">
        <v>3620</v>
      </c>
      <c r="P277" s="12" t="n">
        <f aca="false">M277+N277+O277</f>
        <v>188719</v>
      </c>
      <c r="Q277" s="13" t="n">
        <f aca="false">IF(I277=0,0,P277/I277)</f>
        <v>0.0590369530364056</v>
      </c>
      <c r="R277" s="13" t="n">
        <v>0.0457</v>
      </c>
      <c r="S277" s="14" t="n">
        <v>1175320</v>
      </c>
      <c r="T277" s="14" t="n">
        <v>89572</v>
      </c>
      <c r="U277" s="14" t="n">
        <v>50731</v>
      </c>
      <c r="V277" s="14" t="n">
        <v>82408</v>
      </c>
      <c r="W277" s="14" t="n">
        <f aca="false">S277+T277+U277+V277</f>
        <v>1398031</v>
      </c>
      <c r="X277" s="15" t="n">
        <f aca="false">IF(P277=0,0,S277/P277)</f>
        <v>6.22788378488652</v>
      </c>
      <c r="Y277" s="15" t="n">
        <f aca="false">IF(J277=0,0,W277/J277)</f>
        <v>1.49897015099806</v>
      </c>
      <c r="Z277" s="14" t="n">
        <v>222283</v>
      </c>
      <c r="AA277" s="15" t="n">
        <f aca="false">IF(L277=0,0,Z277/L277)</f>
        <v>0.662343080026579</v>
      </c>
      <c r="AB277" s="12" t="n">
        <v>73302085</v>
      </c>
      <c r="AC277" s="16" t="n">
        <v>10.8</v>
      </c>
      <c r="AD277" s="16" t="n">
        <v>22.4</v>
      </c>
      <c r="AE277" s="13" t="n">
        <v>0.396</v>
      </c>
      <c r="AF277" s="13" t="n">
        <v>0.594</v>
      </c>
      <c r="AG277" s="13" t="n">
        <v>0.338</v>
      </c>
      <c r="AH277" s="13" t="n">
        <v>0.204</v>
      </c>
      <c r="AI277" s="17"/>
    </row>
    <row r="278" customFormat="false" ht="15" hidden="false" customHeight="false" outlineLevel="0" collapsed="false">
      <c r="A278" s="10" t="n">
        <v>45383</v>
      </c>
      <c r="B278" s="11" t="n">
        <f aca="false">YEAR(A278)</f>
        <v>2024</v>
      </c>
      <c r="C278" s="11" t="str">
        <f aca="false">"Q"&amp;ROUNDUP(MONTH(A278)/3,0)</f>
        <v>Q2</v>
      </c>
      <c r="D278" s="11" t="str">
        <f aca="false">B278&amp;"-"&amp;C278</f>
        <v>2024-Q2</v>
      </c>
      <c r="E278" s="11" t="n">
        <f aca="false">MONTH(A278)</f>
        <v>4</v>
      </c>
      <c r="F278" s="11" t="str">
        <f aca="false">TEXT(A278,"mmm")</f>
        <v>Apr</v>
      </c>
      <c r="G278" s="11" t="s">
        <v>207</v>
      </c>
      <c r="H278" s="11" t="s">
        <v>203</v>
      </c>
      <c r="I278" s="12" t="n">
        <v>7218486</v>
      </c>
      <c r="J278" s="12" t="n">
        <v>2303024</v>
      </c>
      <c r="K278" s="13" t="n">
        <f aca="false">IF(I278=0,0,J278/I278)</f>
        <v>0.319045295647869</v>
      </c>
      <c r="L278" s="12" t="n">
        <v>867342</v>
      </c>
      <c r="M278" s="12" t="n">
        <v>514374</v>
      </c>
      <c r="N278" s="12" t="n">
        <v>56895</v>
      </c>
      <c r="O278" s="12" t="n">
        <v>15765</v>
      </c>
      <c r="P278" s="12" t="n">
        <f aca="false">M278+N278+O278</f>
        <v>587034</v>
      </c>
      <c r="Q278" s="13" t="n">
        <f aca="false">IF(I278=0,0,P278/I278)</f>
        <v>0.0813237013966641</v>
      </c>
      <c r="R278" s="13" t="n">
        <v>0.0478</v>
      </c>
      <c r="S278" s="14" t="n">
        <v>3599880</v>
      </c>
      <c r="T278" s="14" t="n">
        <v>281857</v>
      </c>
      <c r="U278" s="14" t="n">
        <v>153985</v>
      </c>
      <c r="V278" s="14" t="n">
        <v>246150</v>
      </c>
      <c r="W278" s="14" t="n">
        <f aca="false">S278+T278+U278+V278</f>
        <v>4281872</v>
      </c>
      <c r="X278" s="15" t="n">
        <f aca="false">IF(P278=0,0,S278/P278)</f>
        <v>6.13231942272509</v>
      </c>
      <c r="Y278" s="15" t="n">
        <f aca="false">IF(J278=0,0,W278/J278)</f>
        <v>1.85923898318038</v>
      </c>
      <c r="Z278" s="14" t="n">
        <v>745302</v>
      </c>
      <c r="AA278" s="15" t="n">
        <f aca="false">IF(L278=0,0,Z278/L278)</f>
        <v>0.859294257628479</v>
      </c>
      <c r="AB278" s="12" t="n">
        <v>180328194</v>
      </c>
      <c r="AC278" s="16" t="n">
        <v>12.5</v>
      </c>
      <c r="AD278" s="16" t="n">
        <v>21.8</v>
      </c>
      <c r="AE278" s="13" t="n">
        <v>0.406</v>
      </c>
      <c r="AF278" s="13" t="n">
        <v>0.578</v>
      </c>
      <c r="AG278" s="13" t="n">
        <v>0.353</v>
      </c>
      <c r="AH278" s="13" t="n">
        <v>0.193</v>
      </c>
      <c r="AI278" s="17" t="n">
        <v>4.7</v>
      </c>
    </row>
    <row r="279" customFormat="false" ht="15" hidden="false" customHeight="false" outlineLevel="0" collapsed="false">
      <c r="A279" s="10" t="n">
        <v>45383</v>
      </c>
      <c r="B279" s="11" t="n">
        <f aca="false">YEAR(A279)</f>
        <v>2024</v>
      </c>
      <c r="C279" s="11" t="str">
        <f aca="false">"Q"&amp;ROUNDUP(MONTH(A279)/3,0)</f>
        <v>Q2</v>
      </c>
      <c r="D279" s="11" t="str">
        <f aca="false">B279&amp;"-"&amp;C279</f>
        <v>2024-Q2</v>
      </c>
      <c r="E279" s="11" t="n">
        <f aca="false">MONTH(A279)</f>
        <v>4</v>
      </c>
      <c r="F279" s="11" t="str">
        <f aca="false">TEXT(A279,"mmm")</f>
        <v>Apr</v>
      </c>
      <c r="G279" s="11" t="s">
        <v>207</v>
      </c>
      <c r="H279" s="11" t="s">
        <v>204</v>
      </c>
      <c r="I279" s="12" t="n">
        <v>9530715</v>
      </c>
      <c r="J279" s="12" t="n">
        <v>2758612</v>
      </c>
      <c r="K279" s="13" t="n">
        <f aca="false">IF(I279=0,0,J279/I279)</f>
        <v>0.289444391108117</v>
      </c>
      <c r="L279" s="12" t="n">
        <v>962340</v>
      </c>
      <c r="M279" s="12" t="n">
        <v>297328</v>
      </c>
      <c r="N279" s="12" t="n">
        <v>32631</v>
      </c>
      <c r="O279" s="12" t="n">
        <v>6782</v>
      </c>
      <c r="P279" s="12" t="n">
        <f aca="false">M279+N279+O279</f>
        <v>336741</v>
      </c>
      <c r="Q279" s="13" t="n">
        <f aca="false">IF(I279=0,0,P279/I279)</f>
        <v>0.0353321865148627</v>
      </c>
      <c r="R279" s="13" t="n">
        <v>0.0421</v>
      </c>
      <c r="S279" s="14" t="n">
        <v>2247699</v>
      </c>
      <c r="T279" s="14" t="n">
        <v>180787</v>
      </c>
      <c r="U279" s="14" t="n">
        <v>99496</v>
      </c>
      <c r="V279" s="14" t="n">
        <v>162838</v>
      </c>
      <c r="W279" s="14" t="n">
        <f aca="false">S279+T279+U279+V279</f>
        <v>2690820</v>
      </c>
      <c r="X279" s="15" t="n">
        <f aca="false">IF(P279=0,0,S279/P279)</f>
        <v>6.67485990716901</v>
      </c>
      <c r="Y279" s="15" t="n">
        <f aca="false">IF(J279=0,0,W279/J279)</f>
        <v>0.975425322589766</v>
      </c>
      <c r="Z279" s="14" t="n">
        <v>497442</v>
      </c>
      <c r="AA279" s="15" t="n">
        <f aca="false">IF(L279=0,0,Z279/L279)</f>
        <v>0.51690878483696</v>
      </c>
      <c r="AB279" s="12" t="n">
        <v>212001924</v>
      </c>
      <c r="AC279" s="16" t="n">
        <v>12.4</v>
      </c>
      <c r="AD279" s="16" t="n">
        <v>22.6</v>
      </c>
      <c r="AE279" s="13" t="n">
        <v>0.406</v>
      </c>
      <c r="AF279" s="13" t="n">
        <v>0.571</v>
      </c>
      <c r="AG279" s="13" t="n">
        <v>0.35</v>
      </c>
      <c r="AH279" s="13" t="n">
        <v>0.199</v>
      </c>
      <c r="AI279" s="17" t="n">
        <v>4.62</v>
      </c>
    </row>
    <row r="280" customFormat="false" ht="15" hidden="false" customHeight="false" outlineLevel="0" collapsed="false">
      <c r="A280" s="10" t="n">
        <v>45383</v>
      </c>
      <c r="B280" s="11" t="n">
        <f aca="false">YEAR(A280)</f>
        <v>2024</v>
      </c>
      <c r="C280" s="11" t="str">
        <f aca="false">"Q"&amp;ROUNDUP(MONTH(A280)/3,0)</f>
        <v>Q2</v>
      </c>
      <c r="D280" s="11" t="str">
        <f aca="false">B280&amp;"-"&amp;C280</f>
        <v>2024-Q2</v>
      </c>
      <c r="E280" s="11" t="n">
        <f aca="false">MONTH(A280)</f>
        <v>4</v>
      </c>
      <c r="F280" s="11" t="str">
        <f aca="false">TEXT(A280,"mmm")</f>
        <v>Apr</v>
      </c>
      <c r="G280" s="11" t="s">
        <v>207</v>
      </c>
      <c r="H280" s="11" t="s">
        <v>205</v>
      </c>
      <c r="I280" s="12" t="n">
        <v>2784741</v>
      </c>
      <c r="J280" s="12" t="n">
        <v>734807</v>
      </c>
      <c r="K280" s="13" t="n">
        <f aca="false">IF(I280=0,0,J280/I280)</f>
        <v>0.263869063586165</v>
      </c>
      <c r="L280" s="12" t="n">
        <v>233772</v>
      </c>
      <c r="M280" s="12" t="n">
        <v>82377</v>
      </c>
      <c r="N280" s="12" t="n">
        <v>7849</v>
      </c>
      <c r="O280" s="12" t="n">
        <v>1228</v>
      </c>
      <c r="P280" s="12" t="n">
        <f aca="false">M280+N280+O280</f>
        <v>91454</v>
      </c>
      <c r="Q280" s="13" t="n">
        <f aca="false">IF(I280=0,0,P280/I280)</f>
        <v>0.0328411152060461</v>
      </c>
      <c r="R280" s="13" t="n">
        <v>0.0475</v>
      </c>
      <c r="S280" s="14" t="n">
        <v>583890</v>
      </c>
      <c r="T280" s="14" t="n">
        <v>43691</v>
      </c>
      <c r="U280" s="14" t="n">
        <v>25821</v>
      </c>
      <c r="V280" s="14" t="n">
        <v>36542</v>
      </c>
      <c r="W280" s="14" t="n">
        <f aca="false">S280+T280+U280+V280</f>
        <v>689944</v>
      </c>
      <c r="X280" s="15" t="n">
        <f aca="false">IF(P280=0,0,S280/P280)</f>
        <v>6.3845211800468</v>
      </c>
      <c r="Y280" s="15" t="n">
        <f aca="false">IF(J280=0,0,W280/J280)</f>
        <v>0.938945872861854</v>
      </c>
      <c r="Z280" s="14" t="n">
        <v>126432</v>
      </c>
      <c r="AA280" s="15" t="n">
        <f aca="false">IF(L280=0,0,Z280/L280)</f>
        <v>0.540834659411735</v>
      </c>
      <c r="AB280" s="12" t="n">
        <v>58232209</v>
      </c>
      <c r="AC280" s="16" t="n">
        <v>11.2</v>
      </c>
      <c r="AD280" s="16" t="n">
        <v>21.7</v>
      </c>
      <c r="AE280" s="13" t="n">
        <v>0.415</v>
      </c>
      <c r="AF280" s="13" t="n">
        <v>0.589</v>
      </c>
      <c r="AG280" s="13" t="n">
        <v>0.351</v>
      </c>
      <c r="AH280" s="13" t="n">
        <v>0.205</v>
      </c>
      <c r="AI280" s="17"/>
    </row>
    <row r="281" customFormat="false" ht="15" hidden="false" customHeight="false" outlineLevel="0" collapsed="false">
      <c r="A281" s="10" t="n">
        <v>45383</v>
      </c>
      <c r="B281" s="11" t="n">
        <f aca="false">YEAR(A281)</f>
        <v>2024</v>
      </c>
      <c r="C281" s="11" t="str">
        <f aca="false">"Q"&amp;ROUNDUP(MONTH(A281)/3,0)</f>
        <v>Q2</v>
      </c>
      <c r="D281" s="11" t="str">
        <f aca="false">B281&amp;"-"&amp;C281</f>
        <v>2024-Q2</v>
      </c>
      <c r="E281" s="11" t="n">
        <f aca="false">MONTH(A281)</f>
        <v>4</v>
      </c>
      <c r="F281" s="11" t="str">
        <f aca="false">TEXT(A281,"mmm")</f>
        <v>Apr</v>
      </c>
      <c r="G281" s="11" t="s">
        <v>208</v>
      </c>
      <c r="H281" s="11" t="s">
        <v>203</v>
      </c>
      <c r="I281" s="12" t="n">
        <v>6565868</v>
      </c>
      <c r="J281" s="12" t="n">
        <v>2248882</v>
      </c>
      <c r="K281" s="13" t="n">
        <f aca="false">IF(I281=0,0,J281/I281)</f>
        <v>0.342510997784299</v>
      </c>
      <c r="L281" s="12" t="n">
        <v>675949</v>
      </c>
      <c r="M281" s="12" t="n">
        <v>264297</v>
      </c>
      <c r="N281" s="12" t="n">
        <v>25156</v>
      </c>
      <c r="O281" s="12" t="n">
        <v>5661</v>
      </c>
      <c r="P281" s="12" t="n">
        <f aca="false">M281+N281+O281</f>
        <v>295114</v>
      </c>
      <c r="Q281" s="13" t="n">
        <f aca="false">IF(I281=0,0,P281/I281)</f>
        <v>0.0449466848861415</v>
      </c>
      <c r="R281" s="13" t="n">
        <v>0.0407</v>
      </c>
      <c r="S281" s="14" t="n">
        <v>1706258</v>
      </c>
      <c r="T281" s="14" t="n">
        <v>145104</v>
      </c>
      <c r="U281" s="14" t="n">
        <v>73870</v>
      </c>
      <c r="V281" s="14" t="n">
        <v>110999</v>
      </c>
      <c r="W281" s="14" t="n">
        <f aca="false">S281+T281+U281+V281</f>
        <v>2036231</v>
      </c>
      <c r="X281" s="15" t="n">
        <f aca="false">IF(P281=0,0,S281/P281)</f>
        <v>5.78169114308369</v>
      </c>
      <c r="Y281" s="15" t="n">
        <f aca="false">IF(J281=0,0,W281/J281)</f>
        <v>0.905441459356249</v>
      </c>
      <c r="Z281" s="14" t="n">
        <v>377475</v>
      </c>
      <c r="AA281" s="15" t="n">
        <f aca="false">IF(L281=0,0,Z281/L281)</f>
        <v>0.558437101023894</v>
      </c>
      <c r="AB281" s="12" t="n">
        <v>178874204</v>
      </c>
      <c r="AC281" s="16" t="n">
        <v>12.9</v>
      </c>
      <c r="AD281" s="16" t="n">
        <v>21.1</v>
      </c>
      <c r="AE281" s="13" t="n">
        <v>0.402</v>
      </c>
      <c r="AF281" s="13" t="n">
        <v>0.578</v>
      </c>
      <c r="AG281" s="13" t="n">
        <v>0.353</v>
      </c>
      <c r="AH281" s="13" t="n">
        <v>0.212</v>
      </c>
      <c r="AI281" s="17" t="n">
        <v>4.67</v>
      </c>
    </row>
    <row r="282" customFormat="false" ht="15" hidden="false" customHeight="false" outlineLevel="0" collapsed="false">
      <c r="A282" s="10" t="n">
        <v>45383</v>
      </c>
      <c r="B282" s="11" t="n">
        <f aca="false">YEAR(A282)</f>
        <v>2024</v>
      </c>
      <c r="C282" s="11" t="str">
        <f aca="false">"Q"&amp;ROUNDUP(MONTH(A282)/3,0)</f>
        <v>Q2</v>
      </c>
      <c r="D282" s="11" t="str">
        <f aca="false">B282&amp;"-"&amp;C282</f>
        <v>2024-Q2</v>
      </c>
      <c r="E282" s="11" t="n">
        <f aca="false">MONTH(A282)</f>
        <v>4</v>
      </c>
      <c r="F282" s="11" t="str">
        <f aca="false">TEXT(A282,"mmm")</f>
        <v>Apr</v>
      </c>
      <c r="G282" s="11" t="s">
        <v>208</v>
      </c>
      <c r="H282" s="11" t="s">
        <v>204</v>
      </c>
      <c r="I282" s="12" t="n">
        <v>8104214</v>
      </c>
      <c r="J282" s="12" t="n">
        <v>2504460</v>
      </c>
      <c r="K282" s="13" t="n">
        <f aca="false">IF(I282=0,0,J282/I282)</f>
        <v>0.309031819742174</v>
      </c>
      <c r="L282" s="12" t="n">
        <v>762826</v>
      </c>
      <c r="M282" s="12" t="n">
        <v>151216</v>
      </c>
      <c r="N282" s="12" t="n">
        <v>16125</v>
      </c>
      <c r="O282" s="12" t="n">
        <v>2443</v>
      </c>
      <c r="P282" s="12" t="n">
        <f aca="false">M282+N282+O282</f>
        <v>169784</v>
      </c>
      <c r="Q282" s="13" t="n">
        <f aca="false">IF(I282=0,0,P282/I282)</f>
        <v>0.0209500884354732</v>
      </c>
      <c r="R282" s="13" t="n">
        <v>0.0444</v>
      </c>
      <c r="S282" s="14" t="n">
        <v>1021894</v>
      </c>
      <c r="T282" s="14" t="n">
        <v>85677</v>
      </c>
      <c r="U282" s="14" t="n">
        <v>44912</v>
      </c>
      <c r="V282" s="14" t="n">
        <v>67707</v>
      </c>
      <c r="W282" s="14" t="n">
        <f aca="false">S282+T282+U282+V282</f>
        <v>1220190</v>
      </c>
      <c r="X282" s="15" t="n">
        <f aca="false">IF(P282=0,0,S282/P282)</f>
        <v>6.01878857842906</v>
      </c>
      <c r="Y282" s="15" t="n">
        <f aca="false">IF(J282=0,0,W282/J282)</f>
        <v>0.487206823027719</v>
      </c>
      <c r="Z282" s="14" t="n">
        <v>185387</v>
      </c>
      <c r="AA282" s="15" t="n">
        <f aca="false">IF(L282=0,0,Z282/L282)</f>
        <v>0.243026587976813</v>
      </c>
      <c r="AB282" s="12" t="n">
        <v>190577793</v>
      </c>
      <c r="AC282" s="16" t="n">
        <v>12.3</v>
      </c>
      <c r="AD282" s="16" t="n">
        <v>21.3</v>
      </c>
      <c r="AE282" s="13" t="n">
        <v>0.398</v>
      </c>
      <c r="AF282" s="13" t="n">
        <v>0.583</v>
      </c>
      <c r="AG282" s="13" t="n">
        <v>0.352</v>
      </c>
      <c r="AH282" s="13" t="n">
        <v>0.215</v>
      </c>
      <c r="AI282" s="17" t="n">
        <v>4.64</v>
      </c>
    </row>
    <row r="283" customFormat="false" ht="15" hidden="false" customHeight="false" outlineLevel="0" collapsed="false">
      <c r="A283" s="10" t="n">
        <v>45383</v>
      </c>
      <c r="B283" s="11" t="n">
        <f aca="false">YEAR(A283)</f>
        <v>2024</v>
      </c>
      <c r="C283" s="11" t="str">
        <f aca="false">"Q"&amp;ROUNDUP(MONTH(A283)/3,0)</f>
        <v>Q2</v>
      </c>
      <c r="D283" s="11" t="str">
        <f aca="false">B283&amp;"-"&amp;C283</f>
        <v>2024-Q2</v>
      </c>
      <c r="E283" s="11" t="n">
        <f aca="false">MONTH(A283)</f>
        <v>4</v>
      </c>
      <c r="F283" s="11" t="str">
        <f aca="false">TEXT(A283,"mmm")</f>
        <v>Apr</v>
      </c>
      <c r="G283" s="11" t="s">
        <v>208</v>
      </c>
      <c r="H283" s="11" t="s">
        <v>205</v>
      </c>
      <c r="I283" s="12" t="n">
        <v>2302706</v>
      </c>
      <c r="J283" s="12" t="n">
        <v>654532</v>
      </c>
      <c r="K283" s="13" t="n">
        <f aca="false">IF(I283=0,0,J283/I283)</f>
        <v>0.284244710353819</v>
      </c>
      <c r="L283" s="12" t="n">
        <v>218192</v>
      </c>
      <c r="M283" s="12" t="n">
        <v>44614</v>
      </c>
      <c r="N283" s="12" t="n">
        <v>4120</v>
      </c>
      <c r="O283" s="12" t="n">
        <v>472</v>
      </c>
      <c r="P283" s="12" t="n">
        <f aca="false">M283+N283+O283</f>
        <v>49206</v>
      </c>
      <c r="Q283" s="13" t="n">
        <f aca="false">IF(I283=0,0,P283/I283)</f>
        <v>0.0213687722184248</v>
      </c>
      <c r="R283" s="13" t="n">
        <v>0.0469</v>
      </c>
      <c r="S283" s="14" t="n">
        <v>263634</v>
      </c>
      <c r="T283" s="14" t="n">
        <v>24618</v>
      </c>
      <c r="U283" s="14" t="n">
        <v>11413</v>
      </c>
      <c r="V283" s="14" t="n">
        <v>17970</v>
      </c>
      <c r="W283" s="14" t="n">
        <f aca="false">S283+T283+U283+V283</f>
        <v>317635</v>
      </c>
      <c r="X283" s="15" t="n">
        <f aca="false">IF(P283=0,0,S283/P283)</f>
        <v>5.35776124862822</v>
      </c>
      <c r="Y283" s="15" t="n">
        <f aca="false">IF(J283=0,0,W283/J283)</f>
        <v>0.48528566976099</v>
      </c>
      <c r="Z283" s="14" t="n">
        <v>50940</v>
      </c>
      <c r="AA283" s="15" t="n">
        <f aca="false">IF(L283=0,0,Z283/L283)</f>
        <v>0.233464105008433</v>
      </c>
      <c r="AB283" s="12" t="n">
        <v>52051878</v>
      </c>
      <c r="AC283" s="16" t="n">
        <v>11.1</v>
      </c>
      <c r="AD283" s="16" t="n">
        <v>21.9</v>
      </c>
      <c r="AE283" s="13" t="n">
        <v>0.401</v>
      </c>
      <c r="AF283" s="13" t="n">
        <v>0.595</v>
      </c>
      <c r="AG283" s="13" t="n">
        <v>0.342</v>
      </c>
      <c r="AH283" s="13" t="n">
        <v>0.211</v>
      </c>
      <c r="AI283" s="17"/>
    </row>
    <row r="284" customFormat="false" ht="15" hidden="false" customHeight="false" outlineLevel="0" collapsed="false">
      <c r="A284" s="10" t="n">
        <v>45383</v>
      </c>
      <c r="B284" s="11" t="n">
        <f aca="false">YEAR(A284)</f>
        <v>2024</v>
      </c>
      <c r="C284" s="11" t="str">
        <f aca="false">"Q"&amp;ROUNDUP(MONTH(A284)/3,0)</f>
        <v>Q2</v>
      </c>
      <c r="D284" s="11" t="str">
        <f aca="false">B284&amp;"-"&amp;C284</f>
        <v>2024-Q2</v>
      </c>
      <c r="E284" s="11" t="n">
        <f aca="false">MONTH(A284)</f>
        <v>4</v>
      </c>
      <c r="F284" s="11" t="str">
        <f aca="false">TEXT(A284,"mmm")</f>
        <v>Apr</v>
      </c>
      <c r="G284" s="11" t="s">
        <v>209</v>
      </c>
      <c r="H284" s="11" t="s">
        <v>203</v>
      </c>
      <c r="I284" s="12" t="n">
        <v>3510690</v>
      </c>
      <c r="J284" s="12" t="n">
        <v>1110695</v>
      </c>
      <c r="K284" s="13" t="n">
        <f aca="false">IF(I284=0,0,J284/I284)</f>
        <v>0.316375128535986</v>
      </c>
      <c r="L284" s="12" t="n">
        <v>441318</v>
      </c>
      <c r="M284" s="12" t="n">
        <v>99017</v>
      </c>
      <c r="N284" s="12" t="n">
        <v>10047</v>
      </c>
      <c r="O284" s="12" t="n">
        <v>1700</v>
      </c>
      <c r="P284" s="12" t="n">
        <f aca="false">M284+N284+O284</f>
        <v>110764</v>
      </c>
      <c r="Q284" s="13" t="n">
        <f aca="false">IF(I284=0,0,P284/I284)</f>
        <v>0.0315504929230436</v>
      </c>
      <c r="R284" s="13" t="n">
        <v>0.0418</v>
      </c>
      <c r="S284" s="14" t="n">
        <v>677150</v>
      </c>
      <c r="T284" s="14" t="n">
        <v>56583</v>
      </c>
      <c r="U284" s="14" t="n">
        <v>29807</v>
      </c>
      <c r="V284" s="14" t="n">
        <v>48696</v>
      </c>
      <c r="W284" s="14" t="n">
        <f aca="false">S284+T284+U284+V284</f>
        <v>812236</v>
      </c>
      <c r="X284" s="15" t="n">
        <f aca="false">IF(P284=0,0,S284/P284)</f>
        <v>6.11344841284172</v>
      </c>
      <c r="Y284" s="15" t="n">
        <f aca="false">IF(J284=0,0,W284/J284)</f>
        <v>0.731286266706882</v>
      </c>
      <c r="Z284" s="14" t="n">
        <v>150385</v>
      </c>
      <c r="AA284" s="15" t="n">
        <f aca="false">IF(L284=0,0,Z284/L284)</f>
        <v>0.340763349784056</v>
      </c>
      <c r="AB284" s="12" t="n">
        <v>86539176</v>
      </c>
      <c r="AC284" s="16" t="n">
        <v>12.9</v>
      </c>
      <c r="AD284" s="16" t="n">
        <v>22.4</v>
      </c>
      <c r="AE284" s="13" t="n">
        <v>0.402</v>
      </c>
      <c r="AF284" s="13" t="n">
        <v>0.58</v>
      </c>
      <c r="AG284" s="13" t="n">
        <v>0.358</v>
      </c>
      <c r="AH284" s="13" t="n">
        <v>0.204</v>
      </c>
      <c r="AI284" s="17" t="n">
        <v>4.71</v>
      </c>
    </row>
    <row r="285" customFormat="false" ht="15" hidden="false" customHeight="false" outlineLevel="0" collapsed="false">
      <c r="A285" s="10" t="n">
        <v>45383</v>
      </c>
      <c r="B285" s="11" t="n">
        <f aca="false">YEAR(A285)</f>
        <v>2024</v>
      </c>
      <c r="C285" s="11" t="str">
        <f aca="false">"Q"&amp;ROUNDUP(MONTH(A285)/3,0)</f>
        <v>Q2</v>
      </c>
      <c r="D285" s="11" t="str">
        <f aca="false">B285&amp;"-"&amp;C285</f>
        <v>2024-Q2</v>
      </c>
      <c r="E285" s="11" t="n">
        <f aca="false">MONTH(A285)</f>
        <v>4</v>
      </c>
      <c r="F285" s="11" t="str">
        <f aca="false">TEXT(A285,"mmm")</f>
        <v>Apr</v>
      </c>
      <c r="G285" s="11" t="s">
        <v>209</v>
      </c>
      <c r="H285" s="11" t="s">
        <v>204</v>
      </c>
      <c r="I285" s="12" t="n">
        <v>4438359</v>
      </c>
      <c r="J285" s="12" t="n">
        <v>1338014</v>
      </c>
      <c r="K285" s="13" t="n">
        <f aca="false">IF(I285=0,0,J285/I285)</f>
        <v>0.301465924680721</v>
      </c>
      <c r="L285" s="12" t="n">
        <v>451799</v>
      </c>
      <c r="M285" s="12" t="n">
        <v>60087</v>
      </c>
      <c r="N285" s="12" t="n">
        <v>6636</v>
      </c>
      <c r="O285" s="12" t="n">
        <v>777</v>
      </c>
      <c r="P285" s="12" t="n">
        <f aca="false">M285+N285+O285</f>
        <v>67500</v>
      </c>
      <c r="Q285" s="13" t="n">
        <f aca="false">IF(I285=0,0,P285/I285)</f>
        <v>0.0152083236169044</v>
      </c>
      <c r="R285" s="13" t="n">
        <v>0.0472</v>
      </c>
      <c r="S285" s="14" t="n">
        <v>368508</v>
      </c>
      <c r="T285" s="14" t="n">
        <v>30725</v>
      </c>
      <c r="U285" s="14" t="n">
        <v>16000</v>
      </c>
      <c r="V285" s="14" t="n">
        <v>26452</v>
      </c>
      <c r="W285" s="14" t="n">
        <f aca="false">S285+T285+U285+V285</f>
        <v>441685</v>
      </c>
      <c r="X285" s="15" t="n">
        <f aca="false">IF(P285=0,0,S285/P285)</f>
        <v>5.45937777777778</v>
      </c>
      <c r="Y285" s="15" t="n">
        <f aca="false">IF(J285=0,0,W285/J285)</f>
        <v>0.33010491668996</v>
      </c>
      <c r="Z285" s="14" t="n">
        <v>76694</v>
      </c>
      <c r="AA285" s="15" t="n">
        <f aca="false">IF(L285=0,0,Z285/L285)</f>
        <v>0.16975247842514</v>
      </c>
      <c r="AB285" s="12" t="n">
        <v>108037095</v>
      </c>
      <c r="AC285" s="16" t="n">
        <v>12.1</v>
      </c>
      <c r="AD285" s="16" t="n">
        <v>21.8</v>
      </c>
      <c r="AE285" s="13" t="n">
        <v>0.399</v>
      </c>
      <c r="AF285" s="13" t="n">
        <v>0.59</v>
      </c>
      <c r="AG285" s="13" t="n">
        <v>0.359</v>
      </c>
      <c r="AH285" s="13" t="n">
        <v>0.208</v>
      </c>
      <c r="AI285" s="17" t="n">
        <v>4.66</v>
      </c>
    </row>
    <row r="286" customFormat="false" ht="15" hidden="false" customHeight="false" outlineLevel="0" collapsed="false">
      <c r="A286" s="10" t="n">
        <v>45383</v>
      </c>
      <c r="B286" s="11" t="n">
        <f aca="false">YEAR(A286)</f>
        <v>2024</v>
      </c>
      <c r="C286" s="11" t="str">
        <f aca="false">"Q"&amp;ROUNDUP(MONTH(A286)/3,0)</f>
        <v>Q2</v>
      </c>
      <c r="D286" s="11" t="str">
        <f aca="false">B286&amp;"-"&amp;C286</f>
        <v>2024-Q2</v>
      </c>
      <c r="E286" s="11" t="n">
        <f aca="false">MONTH(A286)</f>
        <v>4</v>
      </c>
      <c r="F286" s="11" t="str">
        <f aca="false">TEXT(A286,"mmm")</f>
        <v>Apr</v>
      </c>
      <c r="G286" s="11" t="s">
        <v>209</v>
      </c>
      <c r="H286" s="11" t="s">
        <v>205</v>
      </c>
      <c r="I286" s="12" t="n">
        <v>1211254</v>
      </c>
      <c r="J286" s="12" t="n">
        <v>333617</v>
      </c>
      <c r="K286" s="13" t="n">
        <f aca="false">IF(I286=0,0,J286/I286)</f>
        <v>0.275431082167737</v>
      </c>
      <c r="L286" s="12" t="n">
        <v>139628</v>
      </c>
      <c r="M286" s="12" t="n">
        <v>14897</v>
      </c>
      <c r="N286" s="12" t="n">
        <v>1491</v>
      </c>
      <c r="O286" s="12" t="n">
        <v>127</v>
      </c>
      <c r="P286" s="12" t="n">
        <f aca="false">M286+N286+O286</f>
        <v>16515</v>
      </c>
      <c r="Q286" s="13" t="n">
        <f aca="false">IF(I286=0,0,P286/I286)</f>
        <v>0.0136346298959591</v>
      </c>
      <c r="R286" s="13" t="n">
        <v>0.0469</v>
      </c>
      <c r="S286" s="14" t="n">
        <v>107430</v>
      </c>
      <c r="T286" s="14" t="n">
        <v>8961</v>
      </c>
      <c r="U286" s="14" t="n">
        <v>4423</v>
      </c>
      <c r="V286" s="14" t="n">
        <v>7256</v>
      </c>
      <c r="W286" s="14" t="n">
        <f aca="false">S286+T286+U286+V286</f>
        <v>128070</v>
      </c>
      <c r="X286" s="15" t="n">
        <f aca="false">IF(P286=0,0,S286/P286)</f>
        <v>6.50499545867393</v>
      </c>
      <c r="Y286" s="15" t="n">
        <f aca="false">IF(J286=0,0,W286/J286)</f>
        <v>0.383883315298681</v>
      </c>
      <c r="Z286" s="14" t="n">
        <v>22820</v>
      </c>
      <c r="AA286" s="15" t="n">
        <f aca="false">IF(L286=0,0,Z286/L286)</f>
        <v>0.163434268198356</v>
      </c>
      <c r="AB286" s="12" t="n">
        <v>26621225</v>
      </c>
      <c r="AC286" s="16" t="n">
        <v>11.1</v>
      </c>
      <c r="AD286" s="16" t="n">
        <v>21.6</v>
      </c>
      <c r="AE286" s="13" t="n">
        <v>0.397</v>
      </c>
      <c r="AF286" s="13" t="n">
        <v>0.57</v>
      </c>
      <c r="AG286" s="13" t="n">
        <v>0.354</v>
      </c>
      <c r="AH286" s="13" t="n">
        <v>0.202</v>
      </c>
      <c r="AI286" s="17"/>
    </row>
    <row r="287" customFormat="false" ht="15" hidden="false" customHeight="false" outlineLevel="0" collapsed="false">
      <c r="A287" s="10" t="n">
        <v>45383</v>
      </c>
      <c r="B287" s="11" t="n">
        <f aca="false">YEAR(A287)</f>
        <v>2024</v>
      </c>
      <c r="C287" s="11" t="str">
        <f aca="false">"Q"&amp;ROUNDUP(MONTH(A287)/3,0)</f>
        <v>Q2</v>
      </c>
      <c r="D287" s="11" t="str">
        <f aca="false">B287&amp;"-"&amp;C287</f>
        <v>2024-Q2</v>
      </c>
      <c r="E287" s="11" t="n">
        <f aca="false">MONTH(A287)</f>
        <v>4</v>
      </c>
      <c r="F287" s="11" t="str">
        <f aca="false">TEXT(A287,"mmm")</f>
        <v>Apr</v>
      </c>
      <c r="G287" s="11" t="s">
        <v>210</v>
      </c>
      <c r="H287" s="11" t="s">
        <v>203</v>
      </c>
      <c r="I287" s="12" t="n">
        <v>5698216</v>
      </c>
      <c r="J287" s="12" t="n">
        <v>1836831</v>
      </c>
      <c r="K287" s="13" t="n">
        <f aca="false">IF(I287=0,0,J287/I287)</f>
        <v>0.322351943134483</v>
      </c>
      <c r="L287" s="12" t="n">
        <v>679386</v>
      </c>
      <c r="M287" s="12" t="n">
        <v>193905</v>
      </c>
      <c r="N287" s="12" t="n">
        <v>19178</v>
      </c>
      <c r="O287" s="12" t="n">
        <v>3321</v>
      </c>
      <c r="P287" s="12" t="n">
        <f aca="false">M287+N287+O287</f>
        <v>216404</v>
      </c>
      <c r="Q287" s="13" t="n">
        <f aca="false">IF(I287=0,0,P287/I287)</f>
        <v>0.037977500326418</v>
      </c>
      <c r="R287" s="13" t="n">
        <v>0.0443</v>
      </c>
      <c r="S287" s="14" t="n">
        <v>1243676</v>
      </c>
      <c r="T287" s="14" t="n">
        <v>104394</v>
      </c>
      <c r="U287" s="14" t="n">
        <v>58675</v>
      </c>
      <c r="V287" s="14" t="n">
        <v>94321</v>
      </c>
      <c r="W287" s="14" t="n">
        <f aca="false">S287+T287+U287+V287</f>
        <v>1501066</v>
      </c>
      <c r="X287" s="15" t="n">
        <f aca="false">IF(P287=0,0,S287/P287)</f>
        <v>5.74701022162252</v>
      </c>
      <c r="Y287" s="15" t="n">
        <f aca="false">IF(J287=0,0,W287/J287)</f>
        <v>0.81720419570445</v>
      </c>
      <c r="Z287" s="14" t="n">
        <v>244570</v>
      </c>
      <c r="AA287" s="15" t="n">
        <f aca="false">IF(L287=0,0,Z287/L287)</f>
        <v>0.359986811621081</v>
      </c>
      <c r="AB287" s="12" t="n">
        <v>147937467</v>
      </c>
      <c r="AC287" s="16" t="n">
        <v>12.4</v>
      </c>
      <c r="AD287" s="16" t="n">
        <v>22.5</v>
      </c>
      <c r="AE287" s="13" t="n">
        <v>0.399</v>
      </c>
      <c r="AF287" s="13" t="n">
        <v>0.587</v>
      </c>
      <c r="AG287" s="13" t="n">
        <v>0.352</v>
      </c>
      <c r="AH287" s="13" t="n">
        <v>0.206</v>
      </c>
      <c r="AI287" s="17" t="n">
        <v>4.7</v>
      </c>
    </row>
    <row r="288" customFormat="false" ht="15" hidden="false" customHeight="false" outlineLevel="0" collapsed="false">
      <c r="A288" s="10" t="n">
        <v>45383</v>
      </c>
      <c r="B288" s="11" t="n">
        <f aca="false">YEAR(A288)</f>
        <v>2024</v>
      </c>
      <c r="C288" s="11" t="str">
        <f aca="false">"Q"&amp;ROUNDUP(MONTH(A288)/3,0)</f>
        <v>Q2</v>
      </c>
      <c r="D288" s="11" t="str">
        <f aca="false">B288&amp;"-"&amp;C288</f>
        <v>2024-Q2</v>
      </c>
      <c r="E288" s="11" t="n">
        <f aca="false">MONTH(A288)</f>
        <v>4</v>
      </c>
      <c r="F288" s="11" t="str">
        <f aca="false">TEXT(A288,"mmm")</f>
        <v>Apr</v>
      </c>
      <c r="G288" s="11" t="s">
        <v>210</v>
      </c>
      <c r="H288" s="11" t="s">
        <v>204</v>
      </c>
      <c r="I288" s="12" t="n">
        <v>8122154</v>
      </c>
      <c r="J288" s="12" t="n">
        <v>2316912</v>
      </c>
      <c r="K288" s="13" t="n">
        <f aca="false">IF(I288=0,0,J288/I288)</f>
        <v>0.285258319406404</v>
      </c>
      <c r="L288" s="12" t="n">
        <v>728977</v>
      </c>
      <c r="M288" s="12" t="n">
        <v>113131</v>
      </c>
      <c r="N288" s="12" t="n">
        <v>11626</v>
      </c>
      <c r="O288" s="12" t="n">
        <v>1453</v>
      </c>
      <c r="P288" s="12" t="n">
        <f aca="false">M288+N288+O288</f>
        <v>126210</v>
      </c>
      <c r="Q288" s="13" t="n">
        <f aca="false">IF(I288=0,0,P288/I288)</f>
        <v>0.0155389814081339</v>
      </c>
      <c r="R288" s="13" t="n">
        <v>0.0423</v>
      </c>
      <c r="S288" s="14" t="n">
        <v>699995</v>
      </c>
      <c r="T288" s="14" t="n">
        <v>62527</v>
      </c>
      <c r="U288" s="14" t="n">
        <v>26202</v>
      </c>
      <c r="V288" s="14" t="n">
        <v>48193</v>
      </c>
      <c r="W288" s="14" t="n">
        <f aca="false">S288+T288+U288+V288</f>
        <v>836917</v>
      </c>
      <c r="X288" s="15" t="n">
        <f aca="false">IF(P288=0,0,S288/P288)</f>
        <v>5.54627208620553</v>
      </c>
      <c r="Y288" s="15" t="n">
        <f aca="false">IF(J288=0,0,W288/J288)</f>
        <v>0.361220883658939</v>
      </c>
      <c r="Z288" s="14" t="n">
        <v>149837</v>
      </c>
      <c r="AA288" s="15" t="n">
        <f aca="false">IF(L288=0,0,Z288/L288)</f>
        <v>0.205544207841948</v>
      </c>
      <c r="AB288" s="12" t="n">
        <v>182881005</v>
      </c>
      <c r="AC288" s="16" t="n">
        <v>12.1</v>
      </c>
      <c r="AD288" s="16" t="n">
        <v>22.8</v>
      </c>
      <c r="AE288" s="13" t="n">
        <v>0.401</v>
      </c>
      <c r="AF288" s="13" t="n">
        <v>0.59</v>
      </c>
      <c r="AG288" s="13" t="n">
        <v>0.351</v>
      </c>
      <c r="AH288" s="13" t="n">
        <v>0.209</v>
      </c>
      <c r="AI288" s="17" t="n">
        <v>4.67</v>
      </c>
    </row>
    <row r="289" customFormat="false" ht="15" hidden="false" customHeight="false" outlineLevel="0" collapsed="false">
      <c r="A289" s="10" t="n">
        <v>45383</v>
      </c>
      <c r="B289" s="11" t="n">
        <f aca="false">YEAR(A289)</f>
        <v>2024</v>
      </c>
      <c r="C289" s="11" t="str">
        <f aca="false">"Q"&amp;ROUNDUP(MONTH(A289)/3,0)</f>
        <v>Q2</v>
      </c>
      <c r="D289" s="11" t="str">
        <f aca="false">B289&amp;"-"&amp;C289</f>
        <v>2024-Q2</v>
      </c>
      <c r="E289" s="11" t="n">
        <f aca="false">MONTH(A289)</f>
        <v>4</v>
      </c>
      <c r="F289" s="11" t="str">
        <f aca="false">TEXT(A289,"mmm")</f>
        <v>Apr</v>
      </c>
      <c r="G289" s="11" t="s">
        <v>210</v>
      </c>
      <c r="H289" s="11" t="s">
        <v>205</v>
      </c>
      <c r="I289" s="12" t="n">
        <v>2372257</v>
      </c>
      <c r="J289" s="12" t="n">
        <v>610124</v>
      </c>
      <c r="K289" s="13" t="n">
        <f aca="false">IF(I289=0,0,J289/I289)</f>
        <v>0.25719135827189</v>
      </c>
      <c r="L289" s="12" t="n">
        <v>181471</v>
      </c>
      <c r="M289" s="12" t="n">
        <v>30577</v>
      </c>
      <c r="N289" s="12" t="n">
        <v>3314</v>
      </c>
      <c r="O289" s="12" t="n">
        <v>262</v>
      </c>
      <c r="P289" s="12" t="n">
        <f aca="false">M289+N289+O289</f>
        <v>34153</v>
      </c>
      <c r="Q289" s="13" t="n">
        <f aca="false">IF(I289=0,0,P289/I289)</f>
        <v>0.0143968381166122</v>
      </c>
      <c r="R289" s="13" t="n">
        <v>0.0448</v>
      </c>
      <c r="S289" s="14" t="n">
        <v>181726</v>
      </c>
      <c r="T289" s="14" t="n">
        <v>15732</v>
      </c>
      <c r="U289" s="14" t="n">
        <v>7909</v>
      </c>
      <c r="V289" s="14" t="n">
        <v>12146</v>
      </c>
      <c r="W289" s="14" t="n">
        <f aca="false">S289+T289+U289+V289</f>
        <v>217513</v>
      </c>
      <c r="X289" s="15" t="n">
        <f aca="false">IF(P289=0,0,S289/P289)</f>
        <v>5.3209381313501</v>
      </c>
      <c r="Y289" s="15" t="n">
        <f aca="false">IF(J289=0,0,W289/J289)</f>
        <v>0.356506218408061</v>
      </c>
      <c r="Z289" s="14" t="n">
        <v>36391</v>
      </c>
      <c r="AA289" s="15" t="n">
        <f aca="false">IF(L289=0,0,Z289/L289)</f>
        <v>0.200533418562746</v>
      </c>
      <c r="AB289" s="12" t="n">
        <v>44281404</v>
      </c>
      <c r="AC289" s="16" t="n">
        <v>11.1</v>
      </c>
      <c r="AD289" s="16" t="n">
        <v>22.3</v>
      </c>
      <c r="AE289" s="13" t="n">
        <v>0.401</v>
      </c>
      <c r="AF289" s="13" t="n">
        <v>0.587</v>
      </c>
      <c r="AG289" s="13" t="n">
        <v>0.34</v>
      </c>
      <c r="AH289" s="13" t="n">
        <v>0.203</v>
      </c>
      <c r="AI289" s="17"/>
    </row>
    <row r="290" customFormat="false" ht="15" hidden="false" customHeight="false" outlineLevel="0" collapsed="false">
      <c r="A290" s="10" t="n">
        <v>45413</v>
      </c>
      <c r="B290" s="11" t="n">
        <f aca="false">YEAR(A290)</f>
        <v>2024</v>
      </c>
      <c r="C290" s="11" t="str">
        <f aca="false">"Q"&amp;ROUNDUP(MONTH(A290)/3,0)</f>
        <v>Q2</v>
      </c>
      <c r="D290" s="11" t="str">
        <f aca="false">B290&amp;"-"&amp;C290</f>
        <v>2024-Q2</v>
      </c>
      <c r="E290" s="11" t="n">
        <f aca="false">MONTH(A290)</f>
        <v>5</v>
      </c>
      <c r="F290" s="11" t="str">
        <f aca="false">TEXT(A290,"mmm")</f>
        <v>May</v>
      </c>
      <c r="G290" s="11" t="s">
        <v>202</v>
      </c>
      <c r="H290" s="11" t="s">
        <v>203</v>
      </c>
      <c r="I290" s="12" t="n">
        <v>7515987</v>
      </c>
      <c r="J290" s="12" t="n">
        <v>2563527</v>
      </c>
      <c r="K290" s="13" t="n">
        <f aca="false">IF(I290=0,0,J290/I290)</f>
        <v>0.341076561202142</v>
      </c>
      <c r="L290" s="12" t="n">
        <v>863887</v>
      </c>
      <c r="M290" s="12" t="n">
        <v>1713305</v>
      </c>
      <c r="N290" s="12" t="n">
        <v>209853</v>
      </c>
      <c r="O290" s="12" t="n">
        <v>134824</v>
      </c>
      <c r="P290" s="12" t="n">
        <f aca="false">M290+N290+O290</f>
        <v>2057982</v>
      </c>
      <c r="Q290" s="13" t="n">
        <f aca="false">IF(I290=0,0,P290/I290)</f>
        <v>0.273813938209313</v>
      </c>
      <c r="R290" s="13" t="n">
        <v>0.0418</v>
      </c>
      <c r="S290" s="14" t="n">
        <v>13523353</v>
      </c>
      <c r="T290" s="14" t="n">
        <v>1026388</v>
      </c>
      <c r="U290" s="14" t="n">
        <v>560470</v>
      </c>
      <c r="V290" s="14" t="n">
        <v>794208</v>
      </c>
      <c r="W290" s="14" t="n">
        <f aca="false">S290+T290+U290+V290</f>
        <v>15904419</v>
      </c>
      <c r="X290" s="15" t="n">
        <f aca="false">IF(P290=0,0,S290/P290)</f>
        <v>6.57117166233718</v>
      </c>
      <c r="Y290" s="15" t="n">
        <f aca="false">IF(J290=0,0,W290/J290)</f>
        <v>6.20411604792928</v>
      </c>
      <c r="Z290" s="14" t="n">
        <v>2979363</v>
      </c>
      <c r="AA290" s="15" t="n">
        <f aca="false">IF(L290=0,0,Z290/L290)</f>
        <v>3.44878786230144</v>
      </c>
      <c r="AB290" s="12" t="n">
        <v>200439542</v>
      </c>
      <c r="AC290" s="16" t="n">
        <v>12.7</v>
      </c>
      <c r="AD290" s="16" t="n">
        <v>23.1</v>
      </c>
      <c r="AE290" s="13" t="n">
        <v>0.409</v>
      </c>
      <c r="AF290" s="13" t="n">
        <v>0.584</v>
      </c>
      <c r="AG290" s="13" t="n">
        <v>0.357</v>
      </c>
      <c r="AH290" s="13" t="n">
        <v>0.208</v>
      </c>
      <c r="AI290" s="17" t="n">
        <v>4.68</v>
      </c>
    </row>
    <row r="291" customFormat="false" ht="15" hidden="false" customHeight="false" outlineLevel="0" collapsed="false">
      <c r="A291" s="10" t="n">
        <v>45413</v>
      </c>
      <c r="B291" s="11" t="n">
        <f aca="false">YEAR(A291)</f>
        <v>2024</v>
      </c>
      <c r="C291" s="11" t="str">
        <f aca="false">"Q"&amp;ROUNDUP(MONTH(A291)/3,0)</f>
        <v>Q2</v>
      </c>
      <c r="D291" s="11" t="str">
        <f aca="false">B291&amp;"-"&amp;C291</f>
        <v>2024-Q2</v>
      </c>
      <c r="E291" s="11" t="n">
        <f aca="false">MONTH(A291)</f>
        <v>5</v>
      </c>
      <c r="F291" s="11" t="str">
        <f aca="false">TEXT(A291,"mmm")</f>
        <v>May</v>
      </c>
      <c r="G291" s="11" t="s">
        <v>202</v>
      </c>
      <c r="H291" s="11" t="s">
        <v>204</v>
      </c>
      <c r="I291" s="12" t="n">
        <v>10904857</v>
      </c>
      <c r="J291" s="12" t="n">
        <v>3445178</v>
      </c>
      <c r="K291" s="13" t="n">
        <f aca="false">IF(I291=0,0,J291/I291)</f>
        <v>0.315930598631417</v>
      </c>
      <c r="L291" s="12" t="n">
        <v>1163960</v>
      </c>
      <c r="M291" s="12" t="n">
        <v>1015379</v>
      </c>
      <c r="N291" s="12" t="n">
        <v>101857</v>
      </c>
      <c r="O291" s="12" t="n">
        <v>57731</v>
      </c>
      <c r="P291" s="12" t="n">
        <f aca="false">M291+N291+O291</f>
        <v>1174967</v>
      </c>
      <c r="Q291" s="13" t="n">
        <f aca="false">IF(I291=0,0,P291/I291)</f>
        <v>0.107747125890784</v>
      </c>
      <c r="R291" s="13" t="n">
        <v>0.0419</v>
      </c>
      <c r="S291" s="14" t="n">
        <v>7716025</v>
      </c>
      <c r="T291" s="14" t="n">
        <v>660512</v>
      </c>
      <c r="U291" s="14" t="n">
        <v>347528</v>
      </c>
      <c r="V291" s="14" t="n">
        <v>550369</v>
      </c>
      <c r="W291" s="14" t="n">
        <f aca="false">S291+T291+U291+V291</f>
        <v>9274434</v>
      </c>
      <c r="X291" s="15" t="n">
        <f aca="false">IF(P291=0,0,S291/P291)</f>
        <v>6.5670142225271</v>
      </c>
      <c r="Y291" s="15" t="n">
        <f aca="false">IF(J291=0,0,W291/J291)</f>
        <v>2.69200430282557</v>
      </c>
      <c r="Z291" s="14" t="n">
        <v>1523153</v>
      </c>
      <c r="AA291" s="15" t="n">
        <f aca="false">IF(L291=0,0,Z291/L291)</f>
        <v>1.30859565620812</v>
      </c>
      <c r="AB291" s="12" t="n">
        <v>276460439</v>
      </c>
      <c r="AC291" s="16" t="n">
        <v>12.2</v>
      </c>
      <c r="AD291" s="16" t="n">
        <v>22.1</v>
      </c>
      <c r="AE291" s="13" t="n">
        <v>0.404</v>
      </c>
      <c r="AF291" s="13" t="n">
        <v>0.586</v>
      </c>
      <c r="AG291" s="13" t="n">
        <v>0.362</v>
      </c>
      <c r="AH291" s="13" t="n">
        <v>0.198</v>
      </c>
      <c r="AI291" s="17" t="n">
        <v>4.65</v>
      </c>
    </row>
    <row r="292" customFormat="false" ht="15" hidden="false" customHeight="false" outlineLevel="0" collapsed="false">
      <c r="A292" s="10" t="n">
        <v>45413</v>
      </c>
      <c r="B292" s="11" t="n">
        <f aca="false">YEAR(A292)</f>
        <v>2024</v>
      </c>
      <c r="C292" s="11" t="str">
        <f aca="false">"Q"&amp;ROUNDUP(MONTH(A292)/3,0)</f>
        <v>Q2</v>
      </c>
      <c r="D292" s="11" t="str">
        <f aca="false">B292&amp;"-"&amp;C292</f>
        <v>2024-Q2</v>
      </c>
      <c r="E292" s="11" t="n">
        <f aca="false">MONTH(A292)</f>
        <v>5</v>
      </c>
      <c r="F292" s="11" t="str">
        <f aca="false">TEXT(A292,"mmm")</f>
        <v>May</v>
      </c>
      <c r="G292" s="11" t="s">
        <v>202</v>
      </c>
      <c r="H292" s="11" t="s">
        <v>205</v>
      </c>
      <c r="I292" s="12" t="n">
        <v>2674483</v>
      </c>
      <c r="J292" s="12" t="n">
        <v>780853</v>
      </c>
      <c r="K292" s="13" t="n">
        <f aca="false">IF(I292=0,0,J292/I292)</f>
        <v>0.291964091751565</v>
      </c>
      <c r="L292" s="12" t="n">
        <v>301015</v>
      </c>
      <c r="M292" s="12" t="n">
        <v>294800</v>
      </c>
      <c r="N292" s="12" t="n">
        <v>29169</v>
      </c>
      <c r="O292" s="12" t="n">
        <v>10971</v>
      </c>
      <c r="P292" s="12" t="n">
        <f aca="false">M292+N292+O292</f>
        <v>334940</v>
      </c>
      <c r="Q292" s="13" t="n">
        <f aca="false">IF(I292=0,0,P292/I292)</f>
        <v>0.125235419331512</v>
      </c>
      <c r="R292" s="13" t="n">
        <v>0.0466</v>
      </c>
      <c r="S292" s="14" t="n">
        <v>2007261</v>
      </c>
      <c r="T292" s="14" t="n">
        <v>167016</v>
      </c>
      <c r="U292" s="14" t="n">
        <v>82985</v>
      </c>
      <c r="V292" s="14" t="n">
        <v>145651</v>
      </c>
      <c r="W292" s="14" t="n">
        <f aca="false">S292+T292+U292+V292</f>
        <v>2402913</v>
      </c>
      <c r="X292" s="15" t="n">
        <f aca="false">IF(P292=0,0,S292/P292)</f>
        <v>5.99289723532573</v>
      </c>
      <c r="Y292" s="15" t="n">
        <f aca="false">IF(J292=0,0,W292/J292)</f>
        <v>3.07729239690441</v>
      </c>
      <c r="Z292" s="14" t="n">
        <v>422314</v>
      </c>
      <c r="AA292" s="15" t="n">
        <f aca="false">IF(L292=0,0,Z292/L292)</f>
        <v>1.40296662956996</v>
      </c>
      <c r="AB292" s="12" t="n">
        <v>61176395</v>
      </c>
      <c r="AC292" s="16" t="n">
        <v>11.3</v>
      </c>
      <c r="AD292" s="16" t="n">
        <v>22.3</v>
      </c>
      <c r="AE292" s="13" t="n">
        <v>0.413</v>
      </c>
      <c r="AF292" s="13" t="n">
        <v>0.605</v>
      </c>
      <c r="AG292" s="13" t="n">
        <v>0.36</v>
      </c>
      <c r="AH292" s="13" t="n">
        <v>0.203</v>
      </c>
      <c r="AI292" s="17"/>
    </row>
    <row r="293" customFormat="false" ht="15" hidden="false" customHeight="false" outlineLevel="0" collapsed="false">
      <c r="A293" s="10" t="n">
        <v>45413</v>
      </c>
      <c r="B293" s="11" t="n">
        <f aca="false">YEAR(A293)</f>
        <v>2024</v>
      </c>
      <c r="C293" s="11" t="str">
        <f aca="false">"Q"&amp;ROUNDUP(MONTH(A293)/3,0)</f>
        <v>Q2</v>
      </c>
      <c r="D293" s="11" t="str">
        <f aca="false">B293&amp;"-"&amp;C293</f>
        <v>2024-Q2</v>
      </c>
      <c r="E293" s="11" t="n">
        <f aca="false">MONTH(A293)</f>
        <v>5</v>
      </c>
      <c r="F293" s="11" t="str">
        <f aca="false">TEXT(A293,"mmm")</f>
        <v>May</v>
      </c>
      <c r="G293" s="11" t="s">
        <v>206</v>
      </c>
      <c r="H293" s="11" t="s">
        <v>203</v>
      </c>
      <c r="I293" s="12" t="n">
        <v>8992665</v>
      </c>
      <c r="J293" s="12" t="n">
        <v>3076684</v>
      </c>
      <c r="K293" s="13" t="n">
        <f aca="false">IF(I293=0,0,J293/I293)</f>
        <v>0.342132615859703</v>
      </c>
      <c r="L293" s="12" t="n">
        <v>1033323</v>
      </c>
      <c r="M293" s="12" t="n">
        <v>1053637</v>
      </c>
      <c r="N293" s="12" t="n">
        <v>122512</v>
      </c>
      <c r="O293" s="12" t="n">
        <v>50214</v>
      </c>
      <c r="P293" s="12" t="n">
        <f aca="false">M293+N293+O293</f>
        <v>1226363</v>
      </c>
      <c r="Q293" s="13" t="n">
        <f aca="false">IF(I293=0,0,P293/I293)</f>
        <v>0.136373700121154</v>
      </c>
      <c r="R293" s="13" t="n">
        <v>0.0441</v>
      </c>
      <c r="S293" s="14" t="n">
        <v>7883104</v>
      </c>
      <c r="T293" s="14" t="n">
        <v>678314</v>
      </c>
      <c r="U293" s="14" t="n">
        <v>308957</v>
      </c>
      <c r="V293" s="14" t="n">
        <v>478086</v>
      </c>
      <c r="W293" s="14" t="n">
        <f aca="false">S293+T293+U293+V293</f>
        <v>9348461</v>
      </c>
      <c r="X293" s="15" t="n">
        <f aca="false">IF(P293=0,0,S293/P293)</f>
        <v>6.42803476621522</v>
      </c>
      <c r="Y293" s="15" t="n">
        <f aca="false">IF(J293=0,0,W293/J293)</f>
        <v>3.03848591535562</v>
      </c>
      <c r="Z293" s="14" t="n">
        <v>1632045</v>
      </c>
      <c r="AA293" s="15" t="n">
        <f aca="false">IF(L293=0,0,Z293/L293)</f>
        <v>1.57941418123859</v>
      </c>
      <c r="AB293" s="12" t="n">
        <v>241910316</v>
      </c>
      <c r="AC293" s="16" t="n">
        <v>12.6</v>
      </c>
      <c r="AD293" s="16" t="n">
        <v>22.9</v>
      </c>
      <c r="AE293" s="13" t="n">
        <v>0.41</v>
      </c>
      <c r="AF293" s="13" t="n">
        <v>0.575</v>
      </c>
      <c r="AG293" s="13" t="n">
        <v>0.342</v>
      </c>
      <c r="AH293" s="13" t="n">
        <v>0.214</v>
      </c>
      <c r="AI293" s="17" t="n">
        <v>4.75</v>
      </c>
    </row>
    <row r="294" customFormat="false" ht="15" hidden="false" customHeight="false" outlineLevel="0" collapsed="false">
      <c r="A294" s="10" t="n">
        <v>45413</v>
      </c>
      <c r="B294" s="11" t="n">
        <f aca="false">YEAR(A294)</f>
        <v>2024</v>
      </c>
      <c r="C294" s="11" t="str">
        <f aca="false">"Q"&amp;ROUNDUP(MONTH(A294)/3,0)</f>
        <v>Q2</v>
      </c>
      <c r="D294" s="11" t="str">
        <f aca="false">B294&amp;"-"&amp;C294</f>
        <v>2024-Q2</v>
      </c>
      <c r="E294" s="11" t="n">
        <f aca="false">MONTH(A294)</f>
        <v>5</v>
      </c>
      <c r="F294" s="11" t="str">
        <f aca="false">TEXT(A294,"mmm")</f>
        <v>May</v>
      </c>
      <c r="G294" s="11" t="s">
        <v>206</v>
      </c>
      <c r="H294" s="11" t="s">
        <v>204</v>
      </c>
      <c r="I294" s="12" t="n">
        <v>11659602</v>
      </c>
      <c r="J294" s="12" t="n">
        <v>3670496</v>
      </c>
      <c r="K294" s="13" t="n">
        <f aca="false">IF(I294=0,0,J294/I294)</f>
        <v>0.314804570516215</v>
      </c>
      <c r="L294" s="12" t="n">
        <v>1234940</v>
      </c>
      <c r="M294" s="12" t="n">
        <v>591446</v>
      </c>
      <c r="N294" s="12" t="n">
        <v>65097</v>
      </c>
      <c r="O294" s="12" t="n">
        <v>20801</v>
      </c>
      <c r="P294" s="12" t="n">
        <f aca="false">M294+N294+O294</f>
        <v>677344</v>
      </c>
      <c r="Q294" s="13" t="n">
        <f aca="false">IF(I294=0,0,P294/I294)</f>
        <v>0.058093235086412</v>
      </c>
      <c r="R294" s="13" t="n">
        <v>0.0438</v>
      </c>
      <c r="S294" s="14" t="n">
        <v>4417190</v>
      </c>
      <c r="T294" s="14" t="n">
        <v>379103</v>
      </c>
      <c r="U294" s="14" t="n">
        <v>187771</v>
      </c>
      <c r="V294" s="14" t="n">
        <v>314591</v>
      </c>
      <c r="W294" s="14" t="n">
        <f aca="false">S294+T294+U294+V294</f>
        <v>5298655</v>
      </c>
      <c r="X294" s="15" t="n">
        <f aca="false">IF(P294=0,0,S294/P294)</f>
        <v>6.52133923087825</v>
      </c>
      <c r="Y294" s="15" t="n">
        <f aca="false">IF(J294=0,0,W294/J294)</f>
        <v>1.4435801047052</v>
      </c>
      <c r="Z294" s="14" t="n">
        <v>923001</v>
      </c>
      <c r="AA294" s="15" t="n">
        <f aca="false">IF(L294=0,0,Z294/L294)</f>
        <v>0.74740554196965</v>
      </c>
      <c r="AB294" s="12" t="n">
        <v>287658139</v>
      </c>
      <c r="AC294" s="16" t="n">
        <v>12.2</v>
      </c>
      <c r="AD294" s="16" t="n">
        <v>22.2</v>
      </c>
      <c r="AE294" s="13" t="n">
        <v>0.41</v>
      </c>
      <c r="AF294" s="13" t="n">
        <v>0.581</v>
      </c>
      <c r="AG294" s="13" t="n">
        <v>0.356</v>
      </c>
      <c r="AH294" s="13" t="n">
        <v>0.203</v>
      </c>
      <c r="AI294" s="17" t="n">
        <v>4.65</v>
      </c>
    </row>
    <row r="295" customFormat="false" ht="15" hidden="false" customHeight="false" outlineLevel="0" collapsed="false">
      <c r="A295" s="10" t="n">
        <v>45413</v>
      </c>
      <c r="B295" s="11" t="n">
        <f aca="false">YEAR(A295)</f>
        <v>2024</v>
      </c>
      <c r="C295" s="11" t="str">
        <f aca="false">"Q"&amp;ROUNDUP(MONTH(A295)/3,0)</f>
        <v>Q2</v>
      </c>
      <c r="D295" s="11" t="str">
        <f aca="false">B295&amp;"-"&amp;C295</f>
        <v>2024-Q2</v>
      </c>
      <c r="E295" s="11" t="n">
        <f aca="false">MONTH(A295)</f>
        <v>5</v>
      </c>
      <c r="F295" s="11" t="str">
        <f aca="false">TEXT(A295,"mmm")</f>
        <v>May</v>
      </c>
      <c r="G295" s="11" t="s">
        <v>206</v>
      </c>
      <c r="H295" s="11" t="s">
        <v>205</v>
      </c>
      <c r="I295" s="12" t="n">
        <v>3705159</v>
      </c>
      <c r="J295" s="12" t="n">
        <v>1083664</v>
      </c>
      <c r="K295" s="13" t="n">
        <f aca="false">IF(I295=0,0,J295/I295)</f>
        <v>0.292474358050491</v>
      </c>
      <c r="L295" s="12" t="n">
        <v>384992</v>
      </c>
      <c r="M295" s="12" t="n">
        <v>170521</v>
      </c>
      <c r="N295" s="12" t="n">
        <v>17008</v>
      </c>
      <c r="O295" s="12" t="n">
        <v>3919</v>
      </c>
      <c r="P295" s="12" t="n">
        <f aca="false">M295+N295+O295</f>
        <v>191448</v>
      </c>
      <c r="Q295" s="13" t="n">
        <f aca="false">IF(I295=0,0,P295/I295)</f>
        <v>0.0516706570487258</v>
      </c>
      <c r="R295" s="13" t="n">
        <v>0.0471</v>
      </c>
      <c r="S295" s="14" t="n">
        <v>1202422</v>
      </c>
      <c r="T295" s="14" t="n">
        <v>97424</v>
      </c>
      <c r="U295" s="14" t="n">
        <v>52137</v>
      </c>
      <c r="V295" s="14" t="n">
        <v>79057</v>
      </c>
      <c r="W295" s="14" t="n">
        <f aca="false">S295+T295+U295+V295</f>
        <v>1431040</v>
      </c>
      <c r="X295" s="15" t="n">
        <f aca="false">IF(P295=0,0,S295/P295)</f>
        <v>6.2806715139359</v>
      </c>
      <c r="Y295" s="15" t="n">
        <f aca="false">IF(J295=0,0,W295/J295)</f>
        <v>1.32055692539385</v>
      </c>
      <c r="Z295" s="14" t="n">
        <v>241490</v>
      </c>
      <c r="AA295" s="15" t="n">
        <f aca="false">IF(L295=0,0,Z295/L295)</f>
        <v>0.627259787216358</v>
      </c>
      <c r="AB295" s="12" t="n">
        <v>87646312</v>
      </c>
      <c r="AC295" s="16" t="n">
        <v>11.1</v>
      </c>
      <c r="AD295" s="16" t="n">
        <v>22</v>
      </c>
      <c r="AE295" s="13" t="n">
        <v>0.409</v>
      </c>
      <c r="AF295" s="13" t="n">
        <v>0.588</v>
      </c>
      <c r="AG295" s="13" t="n">
        <v>0.348</v>
      </c>
      <c r="AH295" s="13" t="n">
        <v>0.207</v>
      </c>
      <c r="AI295" s="17"/>
    </row>
    <row r="296" customFormat="false" ht="15" hidden="false" customHeight="false" outlineLevel="0" collapsed="false">
      <c r="A296" s="10" t="n">
        <v>45413</v>
      </c>
      <c r="B296" s="11" t="n">
        <f aca="false">YEAR(A296)</f>
        <v>2024</v>
      </c>
      <c r="C296" s="11" t="str">
        <f aca="false">"Q"&amp;ROUNDUP(MONTH(A296)/3,0)</f>
        <v>Q2</v>
      </c>
      <c r="D296" s="11" t="str">
        <f aca="false">B296&amp;"-"&amp;C296</f>
        <v>2024-Q2</v>
      </c>
      <c r="E296" s="11" t="n">
        <f aca="false">MONTH(A296)</f>
        <v>5</v>
      </c>
      <c r="F296" s="11" t="str">
        <f aca="false">TEXT(A296,"mmm")</f>
        <v>May</v>
      </c>
      <c r="G296" s="11" t="s">
        <v>207</v>
      </c>
      <c r="H296" s="11" t="s">
        <v>203</v>
      </c>
      <c r="I296" s="12" t="n">
        <v>7417964</v>
      </c>
      <c r="J296" s="12" t="n">
        <v>2436916</v>
      </c>
      <c r="K296" s="13" t="n">
        <f aca="false">IF(I296=0,0,J296/I296)</f>
        <v>0.328515479449617</v>
      </c>
      <c r="L296" s="12" t="n">
        <v>898149</v>
      </c>
      <c r="M296" s="12" t="n">
        <v>530464</v>
      </c>
      <c r="N296" s="12" t="n">
        <v>52587</v>
      </c>
      <c r="O296" s="12" t="n">
        <v>17204</v>
      </c>
      <c r="P296" s="12" t="n">
        <f aca="false">M296+N296+O296</f>
        <v>600255</v>
      </c>
      <c r="Q296" s="13" t="n">
        <f aca="false">IF(I296=0,0,P296/I296)</f>
        <v>0.0809191039481993</v>
      </c>
      <c r="R296" s="13" t="n">
        <v>0.0439</v>
      </c>
      <c r="S296" s="14" t="n">
        <v>3690737</v>
      </c>
      <c r="T296" s="14" t="n">
        <v>281226</v>
      </c>
      <c r="U296" s="14" t="n">
        <v>151965</v>
      </c>
      <c r="V296" s="14" t="n">
        <v>269862</v>
      </c>
      <c r="W296" s="14" t="n">
        <f aca="false">S296+T296+U296+V296</f>
        <v>4393790</v>
      </c>
      <c r="X296" s="15" t="n">
        <f aca="false">IF(P296=0,0,S296/P296)</f>
        <v>6.14861517188528</v>
      </c>
      <c r="Y296" s="15" t="n">
        <f aca="false">IF(J296=0,0,W296/J296)</f>
        <v>1.80301249612215</v>
      </c>
      <c r="Z296" s="14" t="n">
        <v>739962</v>
      </c>
      <c r="AA296" s="15" t="n">
        <f aca="false">IF(L296=0,0,Z296/L296)</f>
        <v>0.823874435088165</v>
      </c>
      <c r="AB296" s="12" t="n">
        <v>190563759</v>
      </c>
      <c r="AC296" s="16" t="n">
        <v>12.6</v>
      </c>
      <c r="AD296" s="16" t="n">
        <v>22.1</v>
      </c>
      <c r="AE296" s="13" t="n">
        <v>0.422</v>
      </c>
      <c r="AF296" s="13" t="n">
        <v>0.573</v>
      </c>
      <c r="AG296" s="13" t="n">
        <v>0.355</v>
      </c>
      <c r="AH296" s="13" t="n">
        <v>0.213</v>
      </c>
      <c r="AI296" s="17" t="n">
        <v>4.7</v>
      </c>
    </row>
    <row r="297" customFormat="false" ht="15" hidden="false" customHeight="false" outlineLevel="0" collapsed="false">
      <c r="A297" s="10" t="n">
        <v>45413</v>
      </c>
      <c r="B297" s="11" t="n">
        <f aca="false">YEAR(A297)</f>
        <v>2024</v>
      </c>
      <c r="C297" s="11" t="str">
        <f aca="false">"Q"&amp;ROUNDUP(MONTH(A297)/3,0)</f>
        <v>Q2</v>
      </c>
      <c r="D297" s="11" t="str">
        <f aca="false">B297&amp;"-"&amp;C297</f>
        <v>2024-Q2</v>
      </c>
      <c r="E297" s="11" t="n">
        <f aca="false">MONTH(A297)</f>
        <v>5</v>
      </c>
      <c r="F297" s="11" t="str">
        <f aca="false">TEXT(A297,"mmm")</f>
        <v>May</v>
      </c>
      <c r="G297" s="11" t="s">
        <v>207</v>
      </c>
      <c r="H297" s="11" t="s">
        <v>204</v>
      </c>
      <c r="I297" s="12" t="n">
        <v>9540420</v>
      </c>
      <c r="J297" s="12" t="n">
        <v>2861725</v>
      </c>
      <c r="K297" s="13" t="n">
        <f aca="false">IF(I297=0,0,J297/I297)</f>
        <v>0.299957968307475</v>
      </c>
      <c r="L297" s="12" t="n">
        <v>965422</v>
      </c>
      <c r="M297" s="12" t="n">
        <v>309501</v>
      </c>
      <c r="N297" s="12" t="n">
        <v>33837</v>
      </c>
      <c r="O297" s="12" t="n">
        <v>7543</v>
      </c>
      <c r="P297" s="12" t="n">
        <f aca="false">M297+N297+O297</f>
        <v>350881</v>
      </c>
      <c r="Q297" s="13" t="n">
        <f aca="false">IF(I297=0,0,P297/I297)</f>
        <v>0.0367783598625637</v>
      </c>
      <c r="R297" s="13" t="n">
        <v>0.0418</v>
      </c>
      <c r="S297" s="14" t="n">
        <v>2289905</v>
      </c>
      <c r="T297" s="14" t="n">
        <v>189420</v>
      </c>
      <c r="U297" s="14" t="n">
        <v>96574</v>
      </c>
      <c r="V297" s="14" t="n">
        <v>153011</v>
      </c>
      <c r="W297" s="14" t="n">
        <f aca="false">S297+T297+U297+V297</f>
        <v>2728910</v>
      </c>
      <c r="X297" s="15" t="n">
        <f aca="false">IF(P297=0,0,S297/P297)</f>
        <v>6.52615844118091</v>
      </c>
      <c r="Y297" s="15" t="n">
        <f aca="false">IF(J297=0,0,W297/J297)</f>
        <v>0.953589181350409</v>
      </c>
      <c r="Z297" s="14" t="n">
        <v>465546</v>
      </c>
      <c r="AA297" s="15" t="n">
        <f aca="false">IF(L297=0,0,Z297/L297)</f>
        <v>0.482220210436472</v>
      </c>
      <c r="AB297" s="12" t="n">
        <v>222687308</v>
      </c>
      <c r="AC297" s="16" t="n">
        <v>12.3</v>
      </c>
      <c r="AD297" s="16" t="n">
        <v>22.1</v>
      </c>
      <c r="AE297" s="13" t="n">
        <v>0.385</v>
      </c>
      <c r="AF297" s="13" t="n">
        <v>0.59</v>
      </c>
      <c r="AG297" s="13" t="n">
        <v>0.357</v>
      </c>
      <c r="AH297" s="13" t="n">
        <v>0.2</v>
      </c>
      <c r="AI297" s="17" t="n">
        <v>4.61</v>
      </c>
    </row>
    <row r="298" customFormat="false" ht="15" hidden="false" customHeight="false" outlineLevel="0" collapsed="false">
      <c r="A298" s="10" t="n">
        <v>45413</v>
      </c>
      <c r="B298" s="11" t="n">
        <f aca="false">YEAR(A298)</f>
        <v>2024</v>
      </c>
      <c r="C298" s="11" t="str">
        <f aca="false">"Q"&amp;ROUNDUP(MONTH(A298)/3,0)</f>
        <v>Q2</v>
      </c>
      <c r="D298" s="11" t="str">
        <f aca="false">B298&amp;"-"&amp;C298</f>
        <v>2024-Q2</v>
      </c>
      <c r="E298" s="11" t="n">
        <f aca="false">MONTH(A298)</f>
        <v>5</v>
      </c>
      <c r="F298" s="11" t="str">
        <f aca="false">TEXT(A298,"mmm")</f>
        <v>May</v>
      </c>
      <c r="G298" s="11" t="s">
        <v>207</v>
      </c>
      <c r="H298" s="11" t="s">
        <v>205</v>
      </c>
      <c r="I298" s="12" t="n">
        <v>2967943</v>
      </c>
      <c r="J298" s="12" t="n">
        <v>808031</v>
      </c>
      <c r="K298" s="13" t="n">
        <f aca="false">IF(I298=0,0,J298/I298)</f>
        <v>0.272252870085443</v>
      </c>
      <c r="L298" s="12" t="n">
        <v>257395</v>
      </c>
      <c r="M298" s="12" t="n">
        <v>84253</v>
      </c>
      <c r="N298" s="12" t="n">
        <v>7874</v>
      </c>
      <c r="O298" s="12" t="n">
        <v>1339</v>
      </c>
      <c r="P298" s="12" t="n">
        <f aca="false">M298+N298+O298</f>
        <v>93466</v>
      </c>
      <c r="Q298" s="13" t="n">
        <f aca="false">IF(I298=0,0,P298/I298)</f>
        <v>0.0314918446883919</v>
      </c>
      <c r="R298" s="13" t="n">
        <v>0.0468</v>
      </c>
      <c r="S298" s="14" t="n">
        <v>620125</v>
      </c>
      <c r="T298" s="14" t="n">
        <v>49745</v>
      </c>
      <c r="U298" s="14" t="n">
        <v>28182</v>
      </c>
      <c r="V298" s="14" t="n">
        <v>42380</v>
      </c>
      <c r="W298" s="14" t="n">
        <f aca="false">S298+T298+U298+V298</f>
        <v>740432</v>
      </c>
      <c r="X298" s="15" t="n">
        <f aca="false">IF(P298=0,0,S298/P298)</f>
        <v>6.63476558320673</v>
      </c>
      <c r="Y298" s="15" t="n">
        <f aca="false">IF(J298=0,0,W298/J298)</f>
        <v>0.916341080973379</v>
      </c>
      <c r="Z298" s="14" t="n">
        <v>130796</v>
      </c>
      <c r="AA298" s="15" t="n">
        <f aca="false">IF(L298=0,0,Z298/L298)</f>
        <v>0.508152839021737</v>
      </c>
      <c r="AB298" s="12" t="n">
        <v>63660859</v>
      </c>
      <c r="AC298" s="16" t="n">
        <v>11.2</v>
      </c>
      <c r="AD298" s="16" t="n">
        <v>21.7</v>
      </c>
      <c r="AE298" s="13" t="n">
        <v>0.409</v>
      </c>
      <c r="AF298" s="13" t="n">
        <v>0.581</v>
      </c>
      <c r="AG298" s="13" t="n">
        <v>0.359</v>
      </c>
      <c r="AH298" s="13" t="n">
        <v>0.207</v>
      </c>
      <c r="AI298" s="17"/>
    </row>
    <row r="299" customFormat="false" ht="15" hidden="false" customHeight="false" outlineLevel="0" collapsed="false">
      <c r="A299" s="10" t="n">
        <v>45413</v>
      </c>
      <c r="B299" s="11" t="n">
        <f aca="false">YEAR(A299)</f>
        <v>2024</v>
      </c>
      <c r="C299" s="11" t="str">
        <f aca="false">"Q"&amp;ROUNDUP(MONTH(A299)/3,0)</f>
        <v>Q2</v>
      </c>
      <c r="D299" s="11" t="str">
        <f aca="false">B299&amp;"-"&amp;C299</f>
        <v>2024-Q2</v>
      </c>
      <c r="E299" s="11" t="n">
        <f aca="false">MONTH(A299)</f>
        <v>5</v>
      </c>
      <c r="F299" s="11" t="str">
        <f aca="false">TEXT(A299,"mmm")</f>
        <v>May</v>
      </c>
      <c r="G299" s="11" t="s">
        <v>208</v>
      </c>
      <c r="H299" s="11" t="s">
        <v>203</v>
      </c>
      <c r="I299" s="12" t="n">
        <v>5858755</v>
      </c>
      <c r="J299" s="12" t="n">
        <v>2032885</v>
      </c>
      <c r="K299" s="13" t="n">
        <f aca="false">IF(I299=0,0,J299/I299)</f>
        <v>0.34698242203335</v>
      </c>
      <c r="L299" s="12" t="n">
        <v>658468</v>
      </c>
      <c r="M299" s="12" t="n">
        <v>268817</v>
      </c>
      <c r="N299" s="12" t="n">
        <v>30132</v>
      </c>
      <c r="O299" s="12" t="n">
        <v>6248</v>
      </c>
      <c r="P299" s="12" t="n">
        <f aca="false">M299+N299+O299</f>
        <v>305197</v>
      </c>
      <c r="Q299" s="13" t="n">
        <f aca="false">IF(I299=0,0,P299/I299)</f>
        <v>0.0520924667442144</v>
      </c>
      <c r="R299" s="13" t="n">
        <v>0.0431</v>
      </c>
      <c r="S299" s="14" t="n">
        <v>1791473</v>
      </c>
      <c r="T299" s="14" t="n">
        <v>141582</v>
      </c>
      <c r="U299" s="14" t="n">
        <v>74605</v>
      </c>
      <c r="V299" s="14" t="n">
        <v>133169</v>
      </c>
      <c r="W299" s="14" t="n">
        <f aca="false">S299+T299+U299+V299</f>
        <v>2140829</v>
      </c>
      <c r="X299" s="15" t="n">
        <f aca="false">IF(P299=0,0,S299/P299)</f>
        <v>5.86989059525487</v>
      </c>
      <c r="Y299" s="15" t="n">
        <f aca="false">IF(J299=0,0,W299/J299)</f>
        <v>1.0530989209916</v>
      </c>
      <c r="Z299" s="14" t="n">
        <v>321347</v>
      </c>
      <c r="AA299" s="15" t="n">
        <f aca="false">IF(L299=0,0,Z299/L299)</f>
        <v>0.488022196978441</v>
      </c>
      <c r="AB299" s="12" t="n">
        <v>159533078</v>
      </c>
      <c r="AC299" s="16" t="n">
        <v>12.6</v>
      </c>
      <c r="AD299" s="16" t="n">
        <v>22.5</v>
      </c>
      <c r="AE299" s="13" t="n">
        <v>0.395</v>
      </c>
      <c r="AF299" s="13" t="n">
        <v>0.582</v>
      </c>
      <c r="AG299" s="13" t="n">
        <v>0.361</v>
      </c>
      <c r="AH299" s="13" t="n">
        <v>0.211</v>
      </c>
      <c r="AI299" s="17" t="n">
        <v>4.68</v>
      </c>
    </row>
    <row r="300" customFormat="false" ht="15" hidden="false" customHeight="false" outlineLevel="0" collapsed="false">
      <c r="A300" s="10" t="n">
        <v>45413</v>
      </c>
      <c r="B300" s="11" t="n">
        <f aca="false">YEAR(A300)</f>
        <v>2024</v>
      </c>
      <c r="C300" s="11" t="str">
        <f aca="false">"Q"&amp;ROUNDUP(MONTH(A300)/3,0)</f>
        <v>Q2</v>
      </c>
      <c r="D300" s="11" t="str">
        <f aca="false">B300&amp;"-"&amp;C300</f>
        <v>2024-Q2</v>
      </c>
      <c r="E300" s="11" t="n">
        <f aca="false">MONTH(A300)</f>
        <v>5</v>
      </c>
      <c r="F300" s="11" t="str">
        <f aca="false">TEXT(A300,"mmm")</f>
        <v>May</v>
      </c>
      <c r="G300" s="11" t="s">
        <v>208</v>
      </c>
      <c r="H300" s="11" t="s">
        <v>204</v>
      </c>
      <c r="I300" s="12" t="n">
        <v>7889182</v>
      </c>
      <c r="J300" s="12" t="n">
        <v>2371803</v>
      </c>
      <c r="K300" s="13" t="n">
        <f aca="false">IF(I300=0,0,J300/I300)</f>
        <v>0.3006399142522</v>
      </c>
      <c r="L300" s="12" t="n">
        <v>758226</v>
      </c>
      <c r="M300" s="12" t="n">
        <v>139473</v>
      </c>
      <c r="N300" s="12" t="n">
        <v>15063</v>
      </c>
      <c r="O300" s="12" t="n">
        <v>2410</v>
      </c>
      <c r="P300" s="12" t="n">
        <f aca="false">M300+N300+O300</f>
        <v>156946</v>
      </c>
      <c r="Q300" s="13" t="n">
        <f aca="false">IF(I300=0,0,P300/I300)</f>
        <v>0.0198938242266435</v>
      </c>
      <c r="R300" s="13" t="n">
        <v>0.0447</v>
      </c>
      <c r="S300" s="14" t="n">
        <v>1088646</v>
      </c>
      <c r="T300" s="14" t="n">
        <v>81752</v>
      </c>
      <c r="U300" s="14" t="n">
        <v>49430</v>
      </c>
      <c r="V300" s="14" t="n">
        <v>81987</v>
      </c>
      <c r="W300" s="14" t="n">
        <f aca="false">S300+T300+U300+V300</f>
        <v>1301815</v>
      </c>
      <c r="X300" s="15" t="n">
        <f aca="false">IF(P300=0,0,S300/P300)</f>
        <v>6.93643673620226</v>
      </c>
      <c r="Y300" s="15" t="n">
        <f aca="false">IF(J300=0,0,W300/J300)</f>
        <v>0.548871470353988</v>
      </c>
      <c r="Z300" s="14" t="n">
        <v>205937</v>
      </c>
      <c r="AA300" s="15" t="n">
        <f aca="false">IF(L300=0,0,Z300/L300)</f>
        <v>0.271603717097541</v>
      </c>
      <c r="AB300" s="12" t="n">
        <v>189501758</v>
      </c>
      <c r="AC300" s="16" t="n">
        <v>12.1</v>
      </c>
      <c r="AD300" s="16" t="n">
        <v>21.1</v>
      </c>
      <c r="AE300" s="13" t="n">
        <v>0.404</v>
      </c>
      <c r="AF300" s="13" t="n">
        <v>0.583</v>
      </c>
      <c r="AG300" s="13" t="n">
        <v>0.35</v>
      </c>
      <c r="AH300" s="13" t="n">
        <v>0.222</v>
      </c>
      <c r="AI300" s="17" t="n">
        <v>4.62</v>
      </c>
    </row>
    <row r="301" customFormat="false" ht="15" hidden="false" customHeight="false" outlineLevel="0" collapsed="false">
      <c r="A301" s="10" t="n">
        <v>45413</v>
      </c>
      <c r="B301" s="11" t="n">
        <f aca="false">YEAR(A301)</f>
        <v>2024</v>
      </c>
      <c r="C301" s="11" t="str">
        <f aca="false">"Q"&amp;ROUNDUP(MONTH(A301)/3,0)</f>
        <v>Q2</v>
      </c>
      <c r="D301" s="11" t="str">
        <f aca="false">B301&amp;"-"&amp;C301</f>
        <v>2024-Q2</v>
      </c>
      <c r="E301" s="11" t="n">
        <f aca="false">MONTH(A301)</f>
        <v>5</v>
      </c>
      <c r="F301" s="11" t="str">
        <f aca="false">TEXT(A301,"mmm")</f>
        <v>May</v>
      </c>
      <c r="G301" s="11" t="s">
        <v>208</v>
      </c>
      <c r="H301" s="11" t="s">
        <v>205</v>
      </c>
      <c r="I301" s="12" t="n">
        <v>2437035</v>
      </c>
      <c r="J301" s="12" t="n">
        <v>693064</v>
      </c>
      <c r="K301" s="13" t="n">
        <f aca="false">IF(I301=0,0,J301/I301)</f>
        <v>0.284388201236338</v>
      </c>
      <c r="L301" s="12" t="n">
        <v>222875</v>
      </c>
      <c r="M301" s="12" t="n">
        <v>44657</v>
      </c>
      <c r="N301" s="12" t="n">
        <v>4724</v>
      </c>
      <c r="O301" s="12" t="n">
        <v>511</v>
      </c>
      <c r="P301" s="12" t="n">
        <f aca="false">M301+N301+O301</f>
        <v>49892</v>
      </c>
      <c r="Q301" s="13" t="n">
        <f aca="false">IF(I301=0,0,P301/I301)</f>
        <v>0.0204724183280092</v>
      </c>
      <c r="R301" s="13" t="n">
        <v>0.0474</v>
      </c>
      <c r="S301" s="14" t="n">
        <v>322427</v>
      </c>
      <c r="T301" s="14" t="n">
        <v>26080</v>
      </c>
      <c r="U301" s="14" t="n">
        <v>13716</v>
      </c>
      <c r="V301" s="14" t="n">
        <v>23343</v>
      </c>
      <c r="W301" s="14" t="n">
        <f aca="false">S301+T301+U301+V301</f>
        <v>385566</v>
      </c>
      <c r="X301" s="15" t="n">
        <f aca="false">IF(P301=0,0,S301/P301)</f>
        <v>6.46249899783533</v>
      </c>
      <c r="Y301" s="15" t="n">
        <f aca="false">IF(J301=0,0,W301/J301)</f>
        <v>0.556320916971593</v>
      </c>
      <c r="Z301" s="14" t="n">
        <v>62718</v>
      </c>
      <c r="AA301" s="15" t="n">
        <f aca="false">IF(L301=0,0,Z301/L301)</f>
        <v>0.281404374649467</v>
      </c>
      <c r="AB301" s="12" t="n">
        <v>57985026</v>
      </c>
      <c r="AC301" s="16" t="n">
        <v>11.1</v>
      </c>
      <c r="AD301" s="16" t="n">
        <v>21.3</v>
      </c>
      <c r="AE301" s="13" t="n">
        <v>0.408</v>
      </c>
      <c r="AF301" s="13" t="n">
        <v>0.574</v>
      </c>
      <c r="AG301" s="13" t="n">
        <v>0.363</v>
      </c>
      <c r="AH301" s="13" t="n">
        <v>0.215</v>
      </c>
      <c r="AI301" s="17"/>
    </row>
    <row r="302" customFormat="false" ht="15" hidden="false" customHeight="false" outlineLevel="0" collapsed="false">
      <c r="A302" s="10" t="n">
        <v>45413</v>
      </c>
      <c r="B302" s="11" t="n">
        <f aca="false">YEAR(A302)</f>
        <v>2024</v>
      </c>
      <c r="C302" s="11" t="str">
        <f aca="false">"Q"&amp;ROUNDUP(MONTH(A302)/3,0)</f>
        <v>Q2</v>
      </c>
      <c r="D302" s="11" t="str">
        <f aca="false">B302&amp;"-"&amp;C302</f>
        <v>2024-Q2</v>
      </c>
      <c r="E302" s="11" t="n">
        <f aca="false">MONTH(A302)</f>
        <v>5</v>
      </c>
      <c r="F302" s="11" t="str">
        <f aca="false">TEXT(A302,"mmm")</f>
        <v>May</v>
      </c>
      <c r="G302" s="11" t="s">
        <v>209</v>
      </c>
      <c r="H302" s="11" t="s">
        <v>203</v>
      </c>
      <c r="I302" s="12" t="n">
        <v>3748076</v>
      </c>
      <c r="J302" s="12" t="n">
        <v>1179999</v>
      </c>
      <c r="K302" s="13" t="n">
        <f aca="false">IF(I302=0,0,J302/I302)</f>
        <v>0.314827927715447</v>
      </c>
      <c r="L302" s="12" t="n">
        <v>427696</v>
      </c>
      <c r="M302" s="12" t="n">
        <v>97091</v>
      </c>
      <c r="N302" s="12" t="n">
        <v>11295</v>
      </c>
      <c r="O302" s="12" t="n">
        <v>1805</v>
      </c>
      <c r="P302" s="12" t="n">
        <f aca="false">M302+N302+O302</f>
        <v>110191</v>
      </c>
      <c r="Q302" s="13" t="n">
        <f aca="false">IF(I302=0,0,P302/I302)</f>
        <v>0.0293993504934265</v>
      </c>
      <c r="R302" s="13" t="n">
        <v>0.0426</v>
      </c>
      <c r="S302" s="14" t="n">
        <v>768337</v>
      </c>
      <c r="T302" s="14" t="n">
        <v>63068</v>
      </c>
      <c r="U302" s="14" t="n">
        <v>33718</v>
      </c>
      <c r="V302" s="14" t="n">
        <v>47001</v>
      </c>
      <c r="W302" s="14" t="n">
        <f aca="false">S302+T302+U302+V302</f>
        <v>912124</v>
      </c>
      <c r="X302" s="15" t="n">
        <f aca="false">IF(P302=0,0,S302/P302)</f>
        <v>6.97277454601556</v>
      </c>
      <c r="Y302" s="15" t="n">
        <f aca="false">IF(J302=0,0,W302/J302)</f>
        <v>0.772987095751776</v>
      </c>
      <c r="Z302" s="14" t="n">
        <v>154391</v>
      </c>
      <c r="AA302" s="15" t="n">
        <f aca="false">IF(L302=0,0,Z302/L302)</f>
        <v>0.360983034678837</v>
      </c>
      <c r="AB302" s="12" t="n">
        <v>93748370</v>
      </c>
      <c r="AC302" s="16" t="n">
        <v>12.9</v>
      </c>
      <c r="AD302" s="16" t="n">
        <v>21.8</v>
      </c>
      <c r="AE302" s="13" t="n">
        <v>0.383</v>
      </c>
      <c r="AF302" s="13" t="n">
        <v>0.582</v>
      </c>
      <c r="AG302" s="13" t="n">
        <v>0.35</v>
      </c>
      <c r="AH302" s="13" t="n">
        <v>0.197</v>
      </c>
      <c r="AI302" s="17" t="n">
        <v>4.66</v>
      </c>
    </row>
    <row r="303" customFormat="false" ht="15" hidden="false" customHeight="false" outlineLevel="0" collapsed="false">
      <c r="A303" s="10" t="n">
        <v>45413</v>
      </c>
      <c r="B303" s="11" t="n">
        <f aca="false">YEAR(A303)</f>
        <v>2024</v>
      </c>
      <c r="C303" s="11" t="str">
        <f aca="false">"Q"&amp;ROUNDUP(MONTH(A303)/3,0)</f>
        <v>Q2</v>
      </c>
      <c r="D303" s="11" t="str">
        <f aca="false">B303&amp;"-"&amp;C303</f>
        <v>2024-Q2</v>
      </c>
      <c r="E303" s="11" t="n">
        <f aca="false">MONTH(A303)</f>
        <v>5</v>
      </c>
      <c r="F303" s="11" t="str">
        <f aca="false">TEXT(A303,"mmm")</f>
        <v>May</v>
      </c>
      <c r="G303" s="11" t="s">
        <v>209</v>
      </c>
      <c r="H303" s="11" t="s">
        <v>204</v>
      </c>
      <c r="I303" s="12" t="n">
        <v>4711325</v>
      </c>
      <c r="J303" s="12" t="n">
        <v>1442350</v>
      </c>
      <c r="K303" s="13" t="n">
        <f aca="false">IF(I303=0,0,J303/I303)</f>
        <v>0.306145298827824</v>
      </c>
      <c r="L303" s="12" t="n">
        <v>476711</v>
      </c>
      <c r="M303" s="12" t="n">
        <v>52364</v>
      </c>
      <c r="N303" s="12" t="n">
        <v>5682</v>
      </c>
      <c r="O303" s="12" t="n">
        <v>722</v>
      </c>
      <c r="P303" s="12" t="n">
        <f aca="false">M303+N303+O303</f>
        <v>58768</v>
      </c>
      <c r="Q303" s="13" t="n">
        <f aca="false">IF(I303=0,0,P303/I303)</f>
        <v>0.0124737733015659</v>
      </c>
      <c r="R303" s="13" t="n">
        <v>0.0422</v>
      </c>
      <c r="S303" s="14" t="n">
        <v>412825</v>
      </c>
      <c r="T303" s="14" t="n">
        <v>37790</v>
      </c>
      <c r="U303" s="14" t="n">
        <v>19242</v>
      </c>
      <c r="V303" s="14" t="n">
        <v>27068</v>
      </c>
      <c r="W303" s="14" t="n">
        <f aca="false">S303+T303+U303+V303</f>
        <v>496925</v>
      </c>
      <c r="X303" s="15" t="n">
        <f aca="false">IF(P303=0,0,S303/P303)</f>
        <v>7.02465627552409</v>
      </c>
      <c r="Y303" s="15" t="n">
        <f aca="false">IF(J303=0,0,W303/J303)</f>
        <v>0.344524560612889</v>
      </c>
      <c r="Z303" s="14" t="n">
        <v>85261</v>
      </c>
      <c r="AA303" s="15" t="n">
        <f aca="false">IF(L303=0,0,Z303/L303)</f>
        <v>0.178852596227064</v>
      </c>
      <c r="AB303" s="12" t="n">
        <v>111875018</v>
      </c>
      <c r="AC303" s="16" t="n">
        <v>12.2</v>
      </c>
      <c r="AD303" s="16" t="n">
        <v>22.2</v>
      </c>
      <c r="AE303" s="13" t="n">
        <v>0.408</v>
      </c>
      <c r="AF303" s="13" t="n">
        <v>0.573</v>
      </c>
      <c r="AG303" s="13" t="n">
        <v>0.354</v>
      </c>
      <c r="AH303" s="13" t="n">
        <v>0.208</v>
      </c>
      <c r="AI303" s="17" t="n">
        <v>4.69</v>
      </c>
    </row>
    <row r="304" customFormat="false" ht="15" hidden="false" customHeight="false" outlineLevel="0" collapsed="false">
      <c r="A304" s="10" t="n">
        <v>45413</v>
      </c>
      <c r="B304" s="11" t="n">
        <f aca="false">YEAR(A304)</f>
        <v>2024</v>
      </c>
      <c r="C304" s="11" t="str">
        <f aca="false">"Q"&amp;ROUNDUP(MONTH(A304)/3,0)</f>
        <v>Q2</v>
      </c>
      <c r="D304" s="11" t="str">
        <f aca="false">B304&amp;"-"&amp;C304</f>
        <v>2024-Q2</v>
      </c>
      <c r="E304" s="11" t="n">
        <f aca="false">MONTH(A304)</f>
        <v>5</v>
      </c>
      <c r="F304" s="11" t="str">
        <f aca="false">TEXT(A304,"mmm")</f>
        <v>May</v>
      </c>
      <c r="G304" s="11" t="s">
        <v>209</v>
      </c>
      <c r="H304" s="11" t="s">
        <v>205</v>
      </c>
      <c r="I304" s="12" t="n">
        <v>1503476</v>
      </c>
      <c r="J304" s="12" t="n">
        <v>387699</v>
      </c>
      <c r="K304" s="13" t="n">
        <f aca="false">IF(I304=0,0,J304/I304)</f>
        <v>0.257868432884862</v>
      </c>
      <c r="L304" s="12" t="n">
        <v>139541</v>
      </c>
      <c r="M304" s="12" t="n">
        <v>15520</v>
      </c>
      <c r="N304" s="12" t="n">
        <v>1572</v>
      </c>
      <c r="O304" s="12" t="n">
        <v>141</v>
      </c>
      <c r="P304" s="12" t="n">
        <f aca="false">M304+N304+O304</f>
        <v>17233</v>
      </c>
      <c r="Q304" s="13" t="n">
        <f aca="false">IF(I304=0,0,P304/I304)</f>
        <v>0.0114621051483363</v>
      </c>
      <c r="R304" s="13" t="n">
        <v>0.0452</v>
      </c>
      <c r="S304" s="14" t="n">
        <v>109031</v>
      </c>
      <c r="T304" s="14" t="n">
        <v>8658</v>
      </c>
      <c r="U304" s="14" t="n">
        <v>5094</v>
      </c>
      <c r="V304" s="14" t="n">
        <v>8283</v>
      </c>
      <c r="W304" s="14" t="n">
        <f aca="false">S304+T304+U304+V304</f>
        <v>131066</v>
      </c>
      <c r="X304" s="15" t="n">
        <f aca="false">IF(P304=0,0,S304/P304)</f>
        <v>6.32687286021006</v>
      </c>
      <c r="Y304" s="15" t="n">
        <f aca="false">IF(J304=0,0,W304/J304)</f>
        <v>0.338061227911344</v>
      </c>
      <c r="Z304" s="14" t="n">
        <v>19100</v>
      </c>
      <c r="AA304" s="15" t="n">
        <f aca="false">IF(L304=0,0,Z304/L304)</f>
        <v>0.136877333543546</v>
      </c>
      <c r="AB304" s="12" t="n">
        <v>30171118</v>
      </c>
      <c r="AC304" s="16" t="n">
        <v>11.4</v>
      </c>
      <c r="AD304" s="16" t="n">
        <v>22.2</v>
      </c>
      <c r="AE304" s="13" t="n">
        <v>0.411</v>
      </c>
      <c r="AF304" s="13" t="n">
        <v>0.567</v>
      </c>
      <c r="AG304" s="13" t="n">
        <v>0.353</v>
      </c>
      <c r="AH304" s="13" t="n">
        <v>0.204</v>
      </c>
      <c r="AI304" s="17"/>
    </row>
    <row r="305" customFormat="false" ht="15" hidden="false" customHeight="false" outlineLevel="0" collapsed="false">
      <c r="A305" s="10" t="n">
        <v>45413</v>
      </c>
      <c r="B305" s="11" t="n">
        <f aca="false">YEAR(A305)</f>
        <v>2024</v>
      </c>
      <c r="C305" s="11" t="str">
        <f aca="false">"Q"&amp;ROUNDUP(MONTH(A305)/3,0)</f>
        <v>Q2</v>
      </c>
      <c r="D305" s="11" t="str">
        <f aca="false">B305&amp;"-"&amp;C305</f>
        <v>2024-Q2</v>
      </c>
      <c r="E305" s="11" t="n">
        <f aca="false">MONTH(A305)</f>
        <v>5</v>
      </c>
      <c r="F305" s="11" t="str">
        <f aca="false">TEXT(A305,"mmm")</f>
        <v>May</v>
      </c>
      <c r="G305" s="11" t="s">
        <v>210</v>
      </c>
      <c r="H305" s="11" t="s">
        <v>203</v>
      </c>
      <c r="I305" s="12" t="n">
        <v>5695645</v>
      </c>
      <c r="J305" s="12" t="n">
        <v>1833540</v>
      </c>
      <c r="K305" s="13" t="n">
        <f aca="false">IF(I305=0,0,J305/I305)</f>
        <v>0.321919642112526</v>
      </c>
      <c r="L305" s="12" t="n">
        <v>717468</v>
      </c>
      <c r="M305" s="12" t="n">
        <v>205053</v>
      </c>
      <c r="N305" s="12" t="n">
        <v>20309</v>
      </c>
      <c r="O305" s="12" t="n">
        <v>3752</v>
      </c>
      <c r="P305" s="12" t="n">
        <f aca="false">M305+N305+O305</f>
        <v>229114</v>
      </c>
      <c r="Q305" s="13" t="n">
        <f aca="false">IF(I305=0,0,P305/I305)</f>
        <v>0.0402261728039581</v>
      </c>
      <c r="R305" s="13" t="n">
        <v>0.0417</v>
      </c>
      <c r="S305" s="14" t="n">
        <v>1490259</v>
      </c>
      <c r="T305" s="14" t="n">
        <v>135315</v>
      </c>
      <c r="U305" s="14" t="n">
        <v>67175</v>
      </c>
      <c r="V305" s="14" t="n">
        <v>92280</v>
      </c>
      <c r="W305" s="14" t="n">
        <f aca="false">S305+T305+U305+V305</f>
        <v>1785029</v>
      </c>
      <c r="X305" s="15" t="n">
        <f aca="false">IF(P305=0,0,S305/P305)</f>
        <v>6.504443202947</v>
      </c>
      <c r="Y305" s="15" t="n">
        <f aca="false">IF(J305=0,0,W305/J305)</f>
        <v>0.973542437034371</v>
      </c>
      <c r="Z305" s="14" t="n">
        <v>297324</v>
      </c>
      <c r="AA305" s="15" t="n">
        <f aca="false">IF(L305=0,0,Z305/L305)</f>
        <v>0.414407332452458</v>
      </c>
      <c r="AB305" s="12" t="n">
        <v>146559066</v>
      </c>
      <c r="AC305" s="16" t="n">
        <v>12.8</v>
      </c>
      <c r="AD305" s="16" t="n">
        <v>21.9</v>
      </c>
      <c r="AE305" s="13" t="n">
        <v>0.397</v>
      </c>
      <c r="AF305" s="13" t="n">
        <v>0.584</v>
      </c>
      <c r="AG305" s="13" t="n">
        <v>0.352</v>
      </c>
      <c r="AH305" s="13" t="n">
        <v>0.2</v>
      </c>
      <c r="AI305" s="17" t="n">
        <v>4.68</v>
      </c>
    </row>
    <row r="306" customFormat="false" ht="15" hidden="false" customHeight="false" outlineLevel="0" collapsed="false">
      <c r="A306" s="10" t="n">
        <v>45413</v>
      </c>
      <c r="B306" s="11" t="n">
        <f aca="false">YEAR(A306)</f>
        <v>2024</v>
      </c>
      <c r="C306" s="11" t="str">
        <f aca="false">"Q"&amp;ROUNDUP(MONTH(A306)/3,0)</f>
        <v>Q2</v>
      </c>
      <c r="D306" s="11" t="str">
        <f aca="false">B306&amp;"-"&amp;C306</f>
        <v>2024-Q2</v>
      </c>
      <c r="E306" s="11" t="n">
        <f aca="false">MONTH(A306)</f>
        <v>5</v>
      </c>
      <c r="F306" s="11" t="str">
        <f aca="false">TEXT(A306,"mmm")</f>
        <v>May</v>
      </c>
      <c r="G306" s="11" t="s">
        <v>210</v>
      </c>
      <c r="H306" s="11" t="s">
        <v>204</v>
      </c>
      <c r="I306" s="12" t="n">
        <v>8023118</v>
      </c>
      <c r="J306" s="12" t="n">
        <v>2361193</v>
      </c>
      <c r="K306" s="13" t="n">
        <f aca="false">IF(I306=0,0,J306/I306)</f>
        <v>0.294298675402755</v>
      </c>
      <c r="L306" s="12" t="n">
        <v>664146</v>
      </c>
      <c r="M306" s="12" t="n">
        <v>114985</v>
      </c>
      <c r="N306" s="12" t="n">
        <v>10968</v>
      </c>
      <c r="O306" s="12" t="n">
        <v>1566</v>
      </c>
      <c r="P306" s="12" t="n">
        <f aca="false">M306+N306+O306</f>
        <v>127519</v>
      </c>
      <c r="Q306" s="13" t="n">
        <f aca="false">IF(I306=0,0,P306/I306)</f>
        <v>0.015893945471075</v>
      </c>
      <c r="R306" s="13" t="n">
        <v>0.0455</v>
      </c>
      <c r="S306" s="14" t="n">
        <v>796109</v>
      </c>
      <c r="T306" s="14" t="n">
        <v>60994</v>
      </c>
      <c r="U306" s="14" t="n">
        <v>36486</v>
      </c>
      <c r="V306" s="14" t="n">
        <v>50573</v>
      </c>
      <c r="W306" s="14" t="n">
        <f aca="false">S306+T306+U306+V306</f>
        <v>944162</v>
      </c>
      <c r="X306" s="15" t="n">
        <f aca="false">IF(P306=0,0,S306/P306)</f>
        <v>6.24306181823885</v>
      </c>
      <c r="Y306" s="15" t="n">
        <f aca="false">IF(J306=0,0,W306/J306)</f>
        <v>0.399866508159223</v>
      </c>
      <c r="Z306" s="14" t="n">
        <v>187958</v>
      </c>
      <c r="AA306" s="15" t="n">
        <f aca="false">IF(L306=0,0,Z306/L306)</f>
        <v>0.283007049654745</v>
      </c>
      <c r="AB306" s="12" t="n">
        <v>189279791</v>
      </c>
      <c r="AC306" s="16" t="n">
        <v>12.1</v>
      </c>
      <c r="AD306" s="16" t="n">
        <v>22</v>
      </c>
      <c r="AE306" s="13" t="n">
        <v>0.405</v>
      </c>
      <c r="AF306" s="13" t="n">
        <v>0.603</v>
      </c>
      <c r="AG306" s="13" t="n">
        <v>0.349</v>
      </c>
      <c r="AH306" s="13" t="n">
        <v>0.205</v>
      </c>
      <c r="AI306" s="17" t="n">
        <v>4.63</v>
      </c>
    </row>
    <row r="307" customFormat="false" ht="15" hidden="false" customHeight="false" outlineLevel="0" collapsed="false">
      <c r="A307" s="10" t="n">
        <v>45413</v>
      </c>
      <c r="B307" s="11" t="n">
        <f aca="false">YEAR(A307)</f>
        <v>2024</v>
      </c>
      <c r="C307" s="11" t="str">
        <f aca="false">"Q"&amp;ROUNDUP(MONTH(A307)/3,0)</f>
        <v>Q2</v>
      </c>
      <c r="D307" s="11" t="str">
        <f aca="false">B307&amp;"-"&amp;C307</f>
        <v>2024-Q2</v>
      </c>
      <c r="E307" s="11" t="n">
        <f aca="false">MONTH(A307)</f>
        <v>5</v>
      </c>
      <c r="F307" s="11" t="str">
        <f aca="false">TEXT(A307,"mmm")</f>
        <v>May</v>
      </c>
      <c r="G307" s="11" t="s">
        <v>210</v>
      </c>
      <c r="H307" s="11" t="s">
        <v>205</v>
      </c>
      <c r="I307" s="12" t="n">
        <v>2773673</v>
      </c>
      <c r="J307" s="12" t="n">
        <v>729393</v>
      </c>
      <c r="K307" s="13" t="n">
        <f aca="false">IF(I307=0,0,J307/I307)</f>
        <v>0.262970076140915</v>
      </c>
      <c r="L307" s="12" t="n">
        <v>217643</v>
      </c>
      <c r="M307" s="12" t="n">
        <v>33630</v>
      </c>
      <c r="N307" s="12" t="n">
        <v>3557</v>
      </c>
      <c r="O307" s="12" t="n">
        <v>307</v>
      </c>
      <c r="P307" s="12" t="n">
        <f aca="false">M307+N307+O307</f>
        <v>37494</v>
      </c>
      <c r="Q307" s="13" t="n">
        <f aca="false">IF(I307=0,0,P307/I307)</f>
        <v>0.0135178155463892</v>
      </c>
      <c r="R307" s="13" t="n">
        <v>0.0455</v>
      </c>
      <c r="S307" s="14" t="n">
        <v>226448</v>
      </c>
      <c r="T307" s="14" t="n">
        <v>19714</v>
      </c>
      <c r="U307" s="14" t="n">
        <v>9855</v>
      </c>
      <c r="V307" s="14" t="n">
        <v>14908</v>
      </c>
      <c r="W307" s="14" t="n">
        <f aca="false">S307+T307+U307+V307</f>
        <v>270925</v>
      </c>
      <c r="X307" s="15" t="n">
        <f aca="false">IF(P307=0,0,S307/P307)</f>
        <v>6.03957966607991</v>
      </c>
      <c r="Y307" s="15" t="n">
        <f aca="false">IF(J307=0,0,W307/J307)</f>
        <v>0.371438991051463</v>
      </c>
      <c r="Z307" s="14" t="n">
        <v>48517</v>
      </c>
      <c r="AA307" s="15" t="n">
        <f aca="false">IF(L307=0,0,Z307/L307)</f>
        <v>0.222920103104625</v>
      </c>
      <c r="AB307" s="12" t="n">
        <v>58086958</v>
      </c>
      <c r="AC307" s="16" t="n">
        <v>10.9</v>
      </c>
      <c r="AD307" s="16" t="n">
        <v>21.8</v>
      </c>
      <c r="AE307" s="13" t="n">
        <v>0.412</v>
      </c>
      <c r="AF307" s="13" t="n">
        <v>0.585</v>
      </c>
      <c r="AG307" s="13" t="n">
        <v>0.358</v>
      </c>
      <c r="AH307" s="13" t="n">
        <v>0.217</v>
      </c>
      <c r="AI307" s="17"/>
    </row>
    <row r="308" customFormat="false" ht="15" hidden="false" customHeight="false" outlineLevel="0" collapsed="false">
      <c r="A308" s="10" t="n">
        <v>45444</v>
      </c>
      <c r="B308" s="11" t="n">
        <f aca="false">YEAR(A308)</f>
        <v>2024</v>
      </c>
      <c r="C308" s="11" t="str">
        <f aca="false">"Q"&amp;ROUNDUP(MONTH(A308)/3,0)</f>
        <v>Q2</v>
      </c>
      <c r="D308" s="11" t="str">
        <f aca="false">B308&amp;"-"&amp;C308</f>
        <v>2024-Q2</v>
      </c>
      <c r="E308" s="11" t="n">
        <f aca="false">MONTH(A308)</f>
        <v>6</v>
      </c>
      <c r="F308" s="11" t="str">
        <f aca="false">TEXT(A308,"mmm")</f>
        <v>Jun</v>
      </c>
      <c r="G308" s="11" t="s">
        <v>202</v>
      </c>
      <c r="H308" s="11" t="s">
        <v>203</v>
      </c>
      <c r="I308" s="12" t="n">
        <v>7821344</v>
      </c>
      <c r="J308" s="12" t="n">
        <v>2655894</v>
      </c>
      <c r="K308" s="13" t="n">
        <f aca="false">IF(I308=0,0,J308/I308)</f>
        <v>0.339570027862219</v>
      </c>
      <c r="L308" s="12" t="n">
        <v>901143</v>
      </c>
      <c r="M308" s="12" t="n">
        <v>1843893</v>
      </c>
      <c r="N308" s="12" t="n">
        <v>194280</v>
      </c>
      <c r="O308" s="12" t="n">
        <v>152571</v>
      </c>
      <c r="P308" s="12" t="n">
        <f aca="false">M308+N308+O308</f>
        <v>2190744</v>
      </c>
      <c r="Q308" s="13" t="n">
        <f aca="false">IF(I308=0,0,P308/I308)</f>
        <v>0.280098151928876</v>
      </c>
      <c r="R308" s="13" t="n">
        <v>0.0426</v>
      </c>
      <c r="S308" s="14" t="n">
        <v>14164743</v>
      </c>
      <c r="T308" s="14" t="n">
        <v>1138565</v>
      </c>
      <c r="U308" s="14" t="n">
        <v>674626</v>
      </c>
      <c r="V308" s="14" t="n">
        <v>907303</v>
      </c>
      <c r="W308" s="14" t="n">
        <f aca="false">S308+T308+U308+V308</f>
        <v>16885237</v>
      </c>
      <c r="X308" s="15" t="n">
        <f aca="false">IF(P308=0,0,S308/P308)</f>
        <v>6.46572260382774</v>
      </c>
      <c r="Y308" s="15" t="n">
        <f aca="false">IF(J308=0,0,W308/J308)</f>
        <v>6.3576471801962</v>
      </c>
      <c r="Z308" s="14" t="n">
        <v>2799725</v>
      </c>
      <c r="AA308" s="15" t="n">
        <f aca="false">IF(L308=0,0,Z308/L308)</f>
        <v>3.10685984355424</v>
      </c>
      <c r="AB308" s="12" t="n">
        <v>210620929</v>
      </c>
      <c r="AC308" s="16" t="n">
        <v>12.6</v>
      </c>
      <c r="AD308" s="16" t="n">
        <v>22.7</v>
      </c>
      <c r="AE308" s="13" t="n">
        <v>0.41</v>
      </c>
      <c r="AF308" s="13" t="n">
        <v>0.578</v>
      </c>
      <c r="AG308" s="13" t="n">
        <v>0.342</v>
      </c>
      <c r="AH308" s="13" t="n">
        <v>0.216</v>
      </c>
      <c r="AI308" s="17" t="n">
        <v>4.72</v>
      </c>
    </row>
    <row r="309" customFormat="false" ht="15" hidden="false" customHeight="false" outlineLevel="0" collapsed="false">
      <c r="A309" s="10" t="n">
        <v>45444</v>
      </c>
      <c r="B309" s="11" t="n">
        <f aca="false">YEAR(A309)</f>
        <v>2024</v>
      </c>
      <c r="C309" s="11" t="str">
        <f aca="false">"Q"&amp;ROUNDUP(MONTH(A309)/3,0)</f>
        <v>Q2</v>
      </c>
      <c r="D309" s="11" t="str">
        <f aca="false">B309&amp;"-"&amp;C309</f>
        <v>2024-Q2</v>
      </c>
      <c r="E309" s="11" t="n">
        <f aca="false">MONTH(A309)</f>
        <v>6</v>
      </c>
      <c r="F309" s="11" t="str">
        <f aca="false">TEXT(A309,"mmm")</f>
        <v>Jun</v>
      </c>
      <c r="G309" s="11" t="s">
        <v>202</v>
      </c>
      <c r="H309" s="11" t="s">
        <v>204</v>
      </c>
      <c r="I309" s="12" t="n">
        <v>10204005</v>
      </c>
      <c r="J309" s="12" t="n">
        <v>3246393</v>
      </c>
      <c r="K309" s="13" t="n">
        <f aca="false">IF(I309=0,0,J309/I309)</f>
        <v>0.318148903298264</v>
      </c>
      <c r="L309" s="12" t="n">
        <v>1165956</v>
      </c>
      <c r="M309" s="12" t="n">
        <v>1003795</v>
      </c>
      <c r="N309" s="12" t="n">
        <v>107055</v>
      </c>
      <c r="O309" s="12" t="n">
        <v>61220</v>
      </c>
      <c r="P309" s="12" t="n">
        <f aca="false">M309+N309+O309</f>
        <v>1172070</v>
      </c>
      <c r="Q309" s="13" t="n">
        <f aca="false">IF(I309=0,0,P309/I309)</f>
        <v>0.114863722626557</v>
      </c>
      <c r="R309" s="13" t="n">
        <v>0.0413</v>
      </c>
      <c r="S309" s="14" t="n">
        <v>8564413</v>
      </c>
      <c r="T309" s="14" t="n">
        <v>704731</v>
      </c>
      <c r="U309" s="14" t="n">
        <v>397444</v>
      </c>
      <c r="V309" s="14" t="n">
        <v>549689</v>
      </c>
      <c r="W309" s="14" t="n">
        <f aca="false">S309+T309+U309+V309</f>
        <v>10216277</v>
      </c>
      <c r="X309" s="15" t="n">
        <f aca="false">IF(P309=0,0,S309/P309)</f>
        <v>7.30708319468974</v>
      </c>
      <c r="Y309" s="15" t="n">
        <f aca="false">IF(J309=0,0,W309/J309)</f>
        <v>3.14696249037008</v>
      </c>
      <c r="Z309" s="14" t="n">
        <v>1470274</v>
      </c>
      <c r="AA309" s="15" t="n">
        <f aca="false">IF(L309=0,0,Z309/L309)</f>
        <v>1.2610029881059</v>
      </c>
      <c r="AB309" s="12" t="n">
        <v>271315093</v>
      </c>
      <c r="AC309" s="16" t="n">
        <v>12.2</v>
      </c>
      <c r="AD309" s="16" t="n">
        <v>21.9</v>
      </c>
      <c r="AE309" s="13" t="n">
        <v>0.407</v>
      </c>
      <c r="AF309" s="13" t="n">
        <v>0.593</v>
      </c>
      <c r="AG309" s="13" t="n">
        <v>0.351</v>
      </c>
      <c r="AH309" s="13" t="n">
        <v>0.21</v>
      </c>
      <c r="AI309" s="17" t="n">
        <v>4.65</v>
      </c>
    </row>
    <row r="310" customFormat="false" ht="15" hidden="false" customHeight="false" outlineLevel="0" collapsed="false">
      <c r="A310" s="10" t="n">
        <v>45444</v>
      </c>
      <c r="B310" s="11" t="n">
        <f aca="false">YEAR(A310)</f>
        <v>2024</v>
      </c>
      <c r="C310" s="11" t="str">
        <f aca="false">"Q"&amp;ROUNDUP(MONTH(A310)/3,0)</f>
        <v>Q2</v>
      </c>
      <c r="D310" s="11" t="str">
        <f aca="false">B310&amp;"-"&amp;C310</f>
        <v>2024-Q2</v>
      </c>
      <c r="E310" s="11" t="n">
        <f aca="false">MONTH(A310)</f>
        <v>6</v>
      </c>
      <c r="F310" s="11" t="str">
        <f aca="false">TEXT(A310,"mmm")</f>
        <v>Jun</v>
      </c>
      <c r="G310" s="11" t="s">
        <v>202</v>
      </c>
      <c r="H310" s="11" t="s">
        <v>205</v>
      </c>
      <c r="I310" s="12" t="n">
        <v>3300172</v>
      </c>
      <c r="J310" s="12" t="n">
        <v>935340</v>
      </c>
      <c r="K310" s="13" t="n">
        <f aca="false">IF(I310=0,0,J310/I310)</f>
        <v>0.283421591359481</v>
      </c>
      <c r="L310" s="12" t="n">
        <v>347747</v>
      </c>
      <c r="M310" s="12" t="n">
        <v>285517</v>
      </c>
      <c r="N310" s="12" t="n">
        <v>31504</v>
      </c>
      <c r="O310" s="12" t="n">
        <v>11438</v>
      </c>
      <c r="P310" s="12" t="n">
        <f aca="false">M310+N310+O310</f>
        <v>328459</v>
      </c>
      <c r="Q310" s="13" t="n">
        <f aca="false">IF(I310=0,0,P310/I310)</f>
        <v>0.0995278427912242</v>
      </c>
      <c r="R310" s="13" t="n">
        <v>0.0434</v>
      </c>
      <c r="S310" s="14" t="n">
        <v>2090834</v>
      </c>
      <c r="T310" s="14" t="n">
        <v>181069</v>
      </c>
      <c r="U310" s="14" t="n">
        <v>91448</v>
      </c>
      <c r="V310" s="14" t="n">
        <v>120561</v>
      </c>
      <c r="W310" s="14" t="n">
        <f aca="false">S310+T310+U310+V310</f>
        <v>2483912</v>
      </c>
      <c r="X310" s="15" t="n">
        <f aca="false">IF(P310=0,0,S310/P310)</f>
        <v>6.36558596354492</v>
      </c>
      <c r="Y310" s="15" t="n">
        <f aca="false">IF(J310=0,0,W310/J310)</f>
        <v>2.65562469262514</v>
      </c>
      <c r="Z310" s="14" t="n">
        <v>463918</v>
      </c>
      <c r="AA310" s="15" t="n">
        <f aca="false">IF(L310=0,0,Z310/L310)</f>
        <v>1.33406758361683</v>
      </c>
      <c r="AB310" s="12" t="n">
        <v>76202841</v>
      </c>
      <c r="AC310" s="16" t="n">
        <v>11.5</v>
      </c>
      <c r="AD310" s="16" t="n">
        <v>22</v>
      </c>
      <c r="AE310" s="13" t="n">
        <v>0.407</v>
      </c>
      <c r="AF310" s="13" t="n">
        <v>0.585</v>
      </c>
      <c r="AG310" s="13" t="n">
        <v>0.35</v>
      </c>
      <c r="AH310" s="13" t="n">
        <v>0.205</v>
      </c>
      <c r="AI310" s="17"/>
    </row>
    <row r="311" customFormat="false" ht="15" hidden="false" customHeight="false" outlineLevel="0" collapsed="false">
      <c r="A311" s="10" t="n">
        <v>45444</v>
      </c>
      <c r="B311" s="11" t="n">
        <f aca="false">YEAR(A311)</f>
        <v>2024</v>
      </c>
      <c r="C311" s="11" t="str">
        <f aca="false">"Q"&amp;ROUNDUP(MONTH(A311)/3,0)</f>
        <v>Q2</v>
      </c>
      <c r="D311" s="11" t="str">
        <f aca="false">B311&amp;"-"&amp;C311</f>
        <v>2024-Q2</v>
      </c>
      <c r="E311" s="11" t="n">
        <f aca="false">MONTH(A311)</f>
        <v>6</v>
      </c>
      <c r="F311" s="11" t="str">
        <f aca="false">TEXT(A311,"mmm")</f>
        <v>Jun</v>
      </c>
      <c r="G311" s="11" t="s">
        <v>206</v>
      </c>
      <c r="H311" s="11" t="s">
        <v>203</v>
      </c>
      <c r="I311" s="12" t="n">
        <v>8990679</v>
      </c>
      <c r="J311" s="12" t="n">
        <v>3139641</v>
      </c>
      <c r="K311" s="13" t="n">
        <f aca="false">IF(I311=0,0,J311/I311)</f>
        <v>0.349210665846261</v>
      </c>
      <c r="L311" s="12" t="n">
        <v>1139479</v>
      </c>
      <c r="M311" s="12" t="n">
        <v>1016888</v>
      </c>
      <c r="N311" s="12" t="n">
        <v>112280</v>
      </c>
      <c r="O311" s="12" t="n">
        <v>51386</v>
      </c>
      <c r="P311" s="12" t="n">
        <f aca="false">M311+N311+O311</f>
        <v>1180554</v>
      </c>
      <c r="Q311" s="13" t="n">
        <f aca="false">IF(I311=0,0,P311/I311)</f>
        <v>0.131308658667493</v>
      </c>
      <c r="R311" s="13" t="n">
        <v>0.0441</v>
      </c>
      <c r="S311" s="14" t="n">
        <v>8717317</v>
      </c>
      <c r="T311" s="14" t="n">
        <v>733806</v>
      </c>
      <c r="U311" s="14" t="n">
        <v>348929</v>
      </c>
      <c r="V311" s="14" t="n">
        <v>542184</v>
      </c>
      <c r="W311" s="14" t="n">
        <f aca="false">S311+T311+U311+V311</f>
        <v>10342236</v>
      </c>
      <c r="X311" s="15" t="n">
        <f aca="false">IF(P311=0,0,S311/P311)</f>
        <v>7.38409001197743</v>
      </c>
      <c r="Y311" s="15" t="n">
        <f aca="false">IF(J311=0,0,W311/J311)</f>
        <v>3.2940823489055</v>
      </c>
      <c r="Z311" s="14" t="n">
        <v>1823047</v>
      </c>
      <c r="AA311" s="15" t="n">
        <f aca="false">IF(L311=0,0,Z311/L311)</f>
        <v>1.59989521526943</v>
      </c>
      <c r="AB311" s="12" t="n">
        <v>249303296</v>
      </c>
      <c r="AC311" s="16" t="n">
        <v>12.9</v>
      </c>
      <c r="AD311" s="16" t="n">
        <v>22.7</v>
      </c>
      <c r="AE311" s="13" t="n">
        <v>0.397</v>
      </c>
      <c r="AF311" s="13" t="n">
        <v>0.594</v>
      </c>
      <c r="AG311" s="13" t="n">
        <v>0.352</v>
      </c>
      <c r="AH311" s="13" t="n">
        <v>0.208</v>
      </c>
      <c r="AI311" s="17" t="n">
        <v>4.67</v>
      </c>
    </row>
    <row r="312" customFormat="false" ht="15" hidden="false" customHeight="false" outlineLevel="0" collapsed="false">
      <c r="A312" s="10" t="n">
        <v>45444</v>
      </c>
      <c r="B312" s="11" t="n">
        <f aca="false">YEAR(A312)</f>
        <v>2024</v>
      </c>
      <c r="C312" s="11" t="str">
        <f aca="false">"Q"&amp;ROUNDUP(MONTH(A312)/3,0)</f>
        <v>Q2</v>
      </c>
      <c r="D312" s="11" t="str">
        <f aca="false">B312&amp;"-"&amp;C312</f>
        <v>2024-Q2</v>
      </c>
      <c r="E312" s="11" t="n">
        <f aca="false">MONTH(A312)</f>
        <v>6</v>
      </c>
      <c r="F312" s="11" t="str">
        <f aca="false">TEXT(A312,"mmm")</f>
        <v>Jun</v>
      </c>
      <c r="G312" s="11" t="s">
        <v>206</v>
      </c>
      <c r="H312" s="11" t="s">
        <v>204</v>
      </c>
      <c r="I312" s="12" t="n">
        <v>12779170</v>
      </c>
      <c r="J312" s="12" t="n">
        <v>4122118</v>
      </c>
      <c r="K312" s="13" t="n">
        <f aca="false">IF(I312=0,0,J312/I312)</f>
        <v>0.322565393527123</v>
      </c>
      <c r="L312" s="12" t="n">
        <v>1105942</v>
      </c>
      <c r="M312" s="12" t="n">
        <v>623861</v>
      </c>
      <c r="N312" s="12" t="n">
        <v>74124</v>
      </c>
      <c r="O312" s="12" t="n">
        <v>23555</v>
      </c>
      <c r="P312" s="12" t="n">
        <f aca="false">M312+N312+O312</f>
        <v>721540</v>
      </c>
      <c r="Q312" s="13" t="n">
        <f aca="false">IF(I312=0,0,P312/I312)</f>
        <v>0.0564621959016118</v>
      </c>
      <c r="R312" s="13" t="n">
        <v>0.0436</v>
      </c>
      <c r="S312" s="14" t="n">
        <v>4758815</v>
      </c>
      <c r="T312" s="14" t="n">
        <v>405176</v>
      </c>
      <c r="U312" s="14" t="n">
        <v>205026</v>
      </c>
      <c r="V312" s="14" t="n">
        <v>306475</v>
      </c>
      <c r="W312" s="14" t="n">
        <f aca="false">S312+T312+U312+V312</f>
        <v>5675492</v>
      </c>
      <c r="X312" s="15" t="n">
        <f aca="false">IF(P312=0,0,S312/P312)</f>
        <v>6.59535853868115</v>
      </c>
      <c r="Y312" s="15" t="n">
        <f aca="false">IF(J312=0,0,W312/J312)</f>
        <v>1.37683879985968</v>
      </c>
      <c r="Z312" s="14" t="n">
        <v>860917</v>
      </c>
      <c r="AA312" s="15" t="n">
        <f aca="false">IF(L312=0,0,Z312/L312)</f>
        <v>0.778446790157169</v>
      </c>
      <c r="AB312" s="12" t="n">
        <v>324383294</v>
      </c>
      <c r="AC312" s="16" t="n">
        <v>12.3</v>
      </c>
      <c r="AD312" s="16" t="n">
        <v>22.5</v>
      </c>
      <c r="AE312" s="13" t="n">
        <v>0.41</v>
      </c>
      <c r="AF312" s="13" t="n">
        <v>0.571</v>
      </c>
      <c r="AG312" s="13" t="n">
        <v>0.356</v>
      </c>
      <c r="AH312" s="13" t="n">
        <v>0.205</v>
      </c>
      <c r="AI312" s="17" t="n">
        <v>4.7</v>
      </c>
    </row>
    <row r="313" customFormat="false" ht="15" hidden="false" customHeight="false" outlineLevel="0" collapsed="false">
      <c r="A313" s="10" t="n">
        <v>45444</v>
      </c>
      <c r="B313" s="11" t="n">
        <f aca="false">YEAR(A313)</f>
        <v>2024</v>
      </c>
      <c r="C313" s="11" t="str">
        <f aca="false">"Q"&amp;ROUNDUP(MONTH(A313)/3,0)</f>
        <v>Q2</v>
      </c>
      <c r="D313" s="11" t="str">
        <f aca="false">B313&amp;"-"&amp;C313</f>
        <v>2024-Q2</v>
      </c>
      <c r="E313" s="11" t="n">
        <f aca="false">MONTH(A313)</f>
        <v>6</v>
      </c>
      <c r="F313" s="11" t="str">
        <f aca="false">TEXT(A313,"mmm")</f>
        <v>Jun</v>
      </c>
      <c r="G313" s="11" t="s">
        <v>206</v>
      </c>
      <c r="H313" s="11" t="s">
        <v>205</v>
      </c>
      <c r="I313" s="12" t="n">
        <v>3665611</v>
      </c>
      <c r="J313" s="12" t="n">
        <v>1090431</v>
      </c>
      <c r="K313" s="13" t="n">
        <f aca="false">IF(I313=0,0,J313/I313)</f>
        <v>0.297475918748607</v>
      </c>
      <c r="L313" s="12" t="n">
        <v>307926</v>
      </c>
      <c r="M313" s="12" t="n">
        <v>173249</v>
      </c>
      <c r="N313" s="12" t="n">
        <v>19331</v>
      </c>
      <c r="O313" s="12" t="n">
        <v>4284</v>
      </c>
      <c r="P313" s="12" t="n">
        <f aca="false">M313+N313+O313</f>
        <v>196864</v>
      </c>
      <c r="Q313" s="13" t="n">
        <f aca="false">IF(I313=0,0,P313/I313)</f>
        <v>0.053705644161369</v>
      </c>
      <c r="R313" s="13" t="n">
        <v>0.0448</v>
      </c>
      <c r="S313" s="14" t="n">
        <v>1424155</v>
      </c>
      <c r="T313" s="14" t="n">
        <v>113266</v>
      </c>
      <c r="U313" s="14" t="n">
        <v>64513</v>
      </c>
      <c r="V313" s="14" t="n">
        <v>84685</v>
      </c>
      <c r="W313" s="14" t="n">
        <f aca="false">S313+T313+U313+V313</f>
        <v>1686619</v>
      </c>
      <c r="X313" s="15" t="n">
        <f aca="false">IF(P313=0,0,S313/P313)</f>
        <v>7.23420737158648</v>
      </c>
      <c r="Y313" s="15" t="n">
        <f aca="false">IF(J313=0,0,W313/J313)</f>
        <v>1.54674527778466</v>
      </c>
      <c r="Z313" s="14" t="n">
        <v>243678</v>
      </c>
      <c r="AA313" s="15" t="n">
        <f aca="false">IF(L313=0,0,Z313/L313)</f>
        <v>0.791352467800705</v>
      </c>
      <c r="AB313" s="12" t="n">
        <v>82674199</v>
      </c>
      <c r="AC313" s="16" t="n">
        <v>11</v>
      </c>
      <c r="AD313" s="16" t="n">
        <v>22.3</v>
      </c>
      <c r="AE313" s="13" t="n">
        <v>0.411</v>
      </c>
      <c r="AF313" s="13" t="n">
        <v>0.587</v>
      </c>
      <c r="AG313" s="13" t="n">
        <v>0.356</v>
      </c>
      <c r="AH313" s="13" t="n">
        <v>0.211</v>
      </c>
      <c r="AI313" s="17"/>
    </row>
    <row r="314" customFormat="false" ht="15" hidden="false" customHeight="false" outlineLevel="0" collapsed="false">
      <c r="A314" s="10" t="n">
        <v>45444</v>
      </c>
      <c r="B314" s="11" t="n">
        <f aca="false">YEAR(A314)</f>
        <v>2024</v>
      </c>
      <c r="C314" s="11" t="str">
        <f aca="false">"Q"&amp;ROUNDUP(MONTH(A314)/3,0)</f>
        <v>Q2</v>
      </c>
      <c r="D314" s="11" t="str">
        <f aca="false">B314&amp;"-"&amp;C314</f>
        <v>2024-Q2</v>
      </c>
      <c r="E314" s="11" t="n">
        <f aca="false">MONTH(A314)</f>
        <v>6</v>
      </c>
      <c r="F314" s="11" t="str">
        <f aca="false">TEXT(A314,"mmm")</f>
        <v>Jun</v>
      </c>
      <c r="G314" s="11" t="s">
        <v>207</v>
      </c>
      <c r="H314" s="11" t="s">
        <v>203</v>
      </c>
      <c r="I314" s="12" t="n">
        <v>7181347</v>
      </c>
      <c r="J314" s="12" t="n">
        <v>2327659</v>
      </c>
      <c r="K314" s="13" t="n">
        <f aca="false">IF(I314=0,0,J314/I314)</f>
        <v>0.324125682828027</v>
      </c>
      <c r="L314" s="12" t="n">
        <v>851197</v>
      </c>
      <c r="M314" s="12" t="n">
        <v>540705</v>
      </c>
      <c r="N314" s="12" t="n">
        <v>63192</v>
      </c>
      <c r="O314" s="12" t="n">
        <v>18978</v>
      </c>
      <c r="P314" s="12" t="n">
        <f aca="false">M314+N314+O314</f>
        <v>622875</v>
      </c>
      <c r="Q314" s="13" t="n">
        <f aca="false">IF(I314=0,0,P314/I314)</f>
        <v>0.0867351208624232</v>
      </c>
      <c r="R314" s="13" t="n">
        <v>0.0417</v>
      </c>
      <c r="S314" s="14" t="n">
        <v>4112454</v>
      </c>
      <c r="T314" s="14" t="n">
        <v>310516</v>
      </c>
      <c r="U314" s="14" t="n">
        <v>188801</v>
      </c>
      <c r="V314" s="14" t="n">
        <v>260593</v>
      </c>
      <c r="W314" s="14" t="n">
        <f aca="false">S314+T314+U314+V314</f>
        <v>4872364</v>
      </c>
      <c r="X314" s="15" t="n">
        <f aca="false">IF(P314=0,0,S314/P314)</f>
        <v>6.60237447320891</v>
      </c>
      <c r="Y314" s="15" t="n">
        <f aca="false">IF(J314=0,0,W314/J314)</f>
        <v>2.09324647639538</v>
      </c>
      <c r="Z314" s="14" t="n">
        <v>729309</v>
      </c>
      <c r="AA314" s="15" t="n">
        <f aca="false">IF(L314=0,0,Z314/L314)</f>
        <v>0.856804006593068</v>
      </c>
      <c r="AB314" s="12" t="n">
        <v>175824581</v>
      </c>
      <c r="AC314" s="16" t="n">
        <v>12.7</v>
      </c>
      <c r="AD314" s="16" t="n">
        <v>22.6</v>
      </c>
      <c r="AE314" s="13" t="n">
        <v>0.405</v>
      </c>
      <c r="AF314" s="13" t="n">
        <v>0.583</v>
      </c>
      <c r="AG314" s="13" t="n">
        <v>0.352</v>
      </c>
      <c r="AH314" s="13" t="n">
        <v>0.212</v>
      </c>
      <c r="AI314" s="17" t="n">
        <v>4.7</v>
      </c>
    </row>
    <row r="315" customFormat="false" ht="15" hidden="false" customHeight="false" outlineLevel="0" collapsed="false">
      <c r="A315" s="10" t="n">
        <v>45444</v>
      </c>
      <c r="B315" s="11" t="n">
        <f aca="false">YEAR(A315)</f>
        <v>2024</v>
      </c>
      <c r="C315" s="11" t="str">
        <f aca="false">"Q"&amp;ROUNDUP(MONTH(A315)/3,0)</f>
        <v>Q2</v>
      </c>
      <c r="D315" s="11" t="str">
        <f aca="false">B315&amp;"-"&amp;C315</f>
        <v>2024-Q2</v>
      </c>
      <c r="E315" s="11" t="n">
        <f aca="false">MONTH(A315)</f>
        <v>6</v>
      </c>
      <c r="F315" s="11" t="str">
        <f aca="false">TEXT(A315,"mmm")</f>
        <v>Jun</v>
      </c>
      <c r="G315" s="11" t="s">
        <v>207</v>
      </c>
      <c r="H315" s="11" t="s">
        <v>204</v>
      </c>
      <c r="I315" s="12" t="n">
        <v>9746105</v>
      </c>
      <c r="J315" s="12" t="n">
        <v>3055029</v>
      </c>
      <c r="K315" s="13" t="n">
        <f aca="false">IF(I315=0,0,J315/I315)</f>
        <v>0.313461531555427</v>
      </c>
      <c r="L315" s="12" t="n">
        <v>1007989</v>
      </c>
      <c r="M315" s="12" t="n">
        <v>328129</v>
      </c>
      <c r="N315" s="12" t="n">
        <v>32100</v>
      </c>
      <c r="O315" s="12" t="n">
        <v>8424</v>
      </c>
      <c r="P315" s="12" t="n">
        <f aca="false">M315+N315+O315</f>
        <v>368653</v>
      </c>
      <c r="Q315" s="13" t="n">
        <f aca="false">IF(I315=0,0,P315/I315)</f>
        <v>0.037825674974772</v>
      </c>
      <c r="R315" s="13" t="n">
        <v>0.0441</v>
      </c>
      <c r="S315" s="14" t="n">
        <v>2263630</v>
      </c>
      <c r="T315" s="14" t="n">
        <v>164396</v>
      </c>
      <c r="U315" s="14" t="n">
        <v>100056</v>
      </c>
      <c r="V315" s="14" t="n">
        <v>149325</v>
      </c>
      <c r="W315" s="14" t="n">
        <f aca="false">S315+T315+U315+V315</f>
        <v>2677407</v>
      </c>
      <c r="X315" s="15" t="n">
        <f aca="false">IF(P315=0,0,S315/P315)</f>
        <v>6.14027283109048</v>
      </c>
      <c r="Y315" s="15" t="n">
        <f aca="false">IF(J315=0,0,W315/J315)</f>
        <v>0.876393317379311</v>
      </c>
      <c r="Z315" s="14" t="n">
        <v>458224</v>
      </c>
      <c r="AA315" s="15" t="n">
        <f aca="false">IF(L315=0,0,Z315/L315)</f>
        <v>0.454592262415562</v>
      </c>
      <c r="AB315" s="12" t="n">
        <v>219514782</v>
      </c>
      <c r="AC315" s="16" t="n">
        <v>12.3</v>
      </c>
      <c r="AD315" s="16" t="n">
        <v>22.4</v>
      </c>
      <c r="AE315" s="13" t="n">
        <v>0.399</v>
      </c>
      <c r="AF315" s="13" t="n">
        <v>0.582</v>
      </c>
      <c r="AG315" s="13" t="n">
        <v>0.348</v>
      </c>
      <c r="AH315" s="13" t="n">
        <v>0.214</v>
      </c>
      <c r="AI315" s="17" t="n">
        <v>4.63</v>
      </c>
    </row>
    <row r="316" customFormat="false" ht="15" hidden="false" customHeight="false" outlineLevel="0" collapsed="false">
      <c r="A316" s="10" t="n">
        <v>45444</v>
      </c>
      <c r="B316" s="11" t="n">
        <f aca="false">YEAR(A316)</f>
        <v>2024</v>
      </c>
      <c r="C316" s="11" t="str">
        <f aca="false">"Q"&amp;ROUNDUP(MONTH(A316)/3,0)</f>
        <v>Q2</v>
      </c>
      <c r="D316" s="11" t="str">
        <f aca="false">B316&amp;"-"&amp;C316</f>
        <v>2024-Q2</v>
      </c>
      <c r="E316" s="11" t="n">
        <f aca="false">MONTH(A316)</f>
        <v>6</v>
      </c>
      <c r="F316" s="11" t="str">
        <f aca="false">TEXT(A316,"mmm")</f>
        <v>Jun</v>
      </c>
      <c r="G316" s="11" t="s">
        <v>207</v>
      </c>
      <c r="H316" s="11" t="s">
        <v>205</v>
      </c>
      <c r="I316" s="12" t="n">
        <v>2752278</v>
      </c>
      <c r="J316" s="12" t="n">
        <v>752991</v>
      </c>
      <c r="K316" s="13" t="n">
        <f aca="false">IF(I316=0,0,J316/I316)</f>
        <v>0.273588278509656</v>
      </c>
      <c r="L316" s="12" t="n">
        <v>266074</v>
      </c>
      <c r="M316" s="12" t="n">
        <v>84762</v>
      </c>
      <c r="N316" s="12" t="n">
        <v>9111</v>
      </c>
      <c r="O316" s="12" t="n">
        <v>1452</v>
      </c>
      <c r="P316" s="12" t="n">
        <f aca="false">M316+N316+O316</f>
        <v>95325</v>
      </c>
      <c r="Q316" s="13" t="n">
        <f aca="false">IF(I316=0,0,P316/I316)</f>
        <v>0.0346349460337946</v>
      </c>
      <c r="R316" s="13" t="n">
        <v>0.0403</v>
      </c>
      <c r="S316" s="14" t="n">
        <v>676941</v>
      </c>
      <c r="T316" s="14" t="n">
        <v>51481</v>
      </c>
      <c r="U316" s="14" t="n">
        <v>27827</v>
      </c>
      <c r="V316" s="14" t="n">
        <v>40214</v>
      </c>
      <c r="W316" s="14" t="n">
        <f aca="false">S316+T316+U316+V316</f>
        <v>796463</v>
      </c>
      <c r="X316" s="15" t="n">
        <f aca="false">IF(P316=0,0,S316/P316)</f>
        <v>7.10140047206924</v>
      </c>
      <c r="Y316" s="15" t="n">
        <f aca="false">IF(J316=0,0,W316/J316)</f>
        <v>1.05773242973688</v>
      </c>
      <c r="Z316" s="14" t="n">
        <v>152305</v>
      </c>
      <c r="AA316" s="15" t="n">
        <f aca="false">IF(L316=0,0,Z316/L316)</f>
        <v>0.57241594443651</v>
      </c>
      <c r="AB316" s="12" t="n">
        <v>57199189</v>
      </c>
      <c r="AC316" s="16" t="n">
        <v>11.1</v>
      </c>
      <c r="AD316" s="16" t="n">
        <v>21.3</v>
      </c>
      <c r="AE316" s="13" t="n">
        <v>0.399</v>
      </c>
      <c r="AF316" s="13" t="n">
        <v>0.588</v>
      </c>
      <c r="AG316" s="13" t="n">
        <v>0.353</v>
      </c>
      <c r="AH316" s="13" t="n">
        <v>0.211</v>
      </c>
      <c r="AI316" s="17"/>
    </row>
    <row r="317" customFormat="false" ht="15" hidden="false" customHeight="false" outlineLevel="0" collapsed="false">
      <c r="A317" s="10" t="n">
        <v>45444</v>
      </c>
      <c r="B317" s="11" t="n">
        <f aca="false">YEAR(A317)</f>
        <v>2024</v>
      </c>
      <c r="C317" s="11" t="str">
        <f aca="false">"Q"&amp;ROUNDUP(MONTH(A317)/3,0)</f>
        <v>Q2</v>
      </c>
      <c r="D317" s="11" t="str">
        <f aca="false">B317&amp;"-"&amp;C317</f>
        <v>2024-Q2</v>
      </c>
      <c r="E317" s="11" t="n">
        <f aca="false">MONTH(A317)</f>
        <v>6</v>
      </c>
      <c r="F317" s="11" t="str">
        <f aca="false">TEXT(A317,"mmm")</f>
        <v>Jun</v>
      </c>
      <c r="G317" s="11" t="s">
        <v>208</v>
      </c>
      <c r="H317" s="11" t="s">
        <v>203</v>
      </c>
      <c r="I317" s="12" t="n">
        <v>5487786</v>
      </c>
      <c r="J317" s="12" t="n">
        <v>1963751</v>
      </c>
      <c r="K317" s="13" t="n">
        <f aca="false">IF(I317=0,0,J317/I317)</f>
        <v>0.35784030208175</v>
      </c>
      <c r="L317" s="12" t="n">
        <v>717031</v>
      </c>
      <c r="M317" s="12" t="n">
        <v>282692</v>
      </c>
      <c r="N317" s="12" t="n">
        <v>32898</v>
      </c>
      <c r="O317" s="12" t="n">
        <v>7021</v>
      </c>
      <c r="P317" s="12" t="n">
        <f aca="false">M317+N317+O317</f>
        <v>322611</v>
      </c>
      <c r="Q317" s="13" t="n">
        <f aca="false">IF(I317=0,0,P317/I317)</f>
        <v>0.0587870955609421</v>
      </c>
      <c r="R317" s="13" t="n">
        <v>0.0399</v>
      </c>
      <c r="S317" s="14" t="n">
        <v>1929265</v>
      </c>
      <c r="T317" s="14" t="n">
        <v>153605</v>
      </c>
      <c r="U317" s="14" t="n">
        <v>88177</v>
      </c>
      <c r="V317" s="14" t="n">
        <v>130890</v>
      </c>
      <c r="W317" s="14" t="n">
        <f aca="false">S317+T317+U317+V317</f>
        <v>2301937</v>
      </c>
      <c r="X317" s="15" t="n">
        <f aca="false">IF(P317=0,0,S317/P317)</f>
        <v>5.98015876706002</v>
      </c>
      <c r="Y317" s="15" t="n">
        <f aca="false">IF(J317=0,0,W317/J317)</f>
        <v>1.17221429804492</v>
      </c>
      <c r="Z317" s="14" t="n">
        <v>385439</v>
      </c>
      <c r="AA317" s="15" t="n">
        <f aca="false">IF(L317=0,0,Z317/L317)</f>
        <v>0.537548585765469</v>
      </c>
      <c r="AB317" s="12" t="n">
        <v>155184903</v>
      </c>
      <c r="AC317" s="16" t="n">
        <v>12.9</v>
      </c>
      <c r="AD317" s="16" t="n">
        <v>22</v>
      </c>
      <c r="AE317" s="13" t="n">
        <v>0.402</v>
      </c>
      <c r="AF317" s="13" t="n">
        <v>0.577</v>
      </c>
      <c r="AG317" s="13" t="n">
        <v>0.368</v>
      </c>
      <c r="AH317" s="13" t="n">
        <v>0.205</v>
      </c>
      <c r="AI317" s="17" t="n">
        <v>4.7</v>
      </c>
    </row>
    <row r="318" customFormat="false" ht="15" hidden="false" customHeight="false" outlineLevel="0" collapsed="false">
      <c r="A318" s="10" t="n">
        <v>45444</v>
      </c>
      <c r="B318" s="11" t="n">
        <f aca="false">YEAR(A318)</f>
        <v>2024</v>
      </c>
      <c r="C318" s="11" t="str">
        <f aca="false">"Q"&amp;ROUNDUP(MONTH(A318)/3,0)</f>
        <v>Q2</v>
      </c>
      <c r="D318" s="11" t="str">
        <f aca="false">B318&amp;"-"&amp;C318</f>
        <v>2024-Q2</v>
      </c>
      <c r="E318" s="11" t="n">
        <f aca="false">MONTH(A318)</f>
        <v>6</v>
      </c>
      <c r="F318" s="11" t="str">
        <f aca="false">TEXT(A318,"mmm")</f>
        <v>Jun</v>
      </c>
      <c r="G318" s="11" t="s">
        <v>208</v>
      </c>
      <c r="H318" s="11" t="s">
        <v>204</v>
      </c>
      <c r="I318" s="12" t="n">
        <v>7571699</v>
      </c>
      <c r="J318" s="12" t="n">
        <v>2382934</v>
      </c>
      <c r="K318" s="13" t="n">
        <f aca="false">IF(I318=0,0,J318/I318)</f>
        <v>0.314715891373918</v>
      </c>
      <c r="L318" s="12" t="n">
        <v>811424</v>
      </c>
      <c r="M318" s="12" t="n">
        <v>157973</v>
      </c>
      <c r="N318" s="12" t="n">
        <v>17139</v>
      </c>
      <c r="O318" s="12" t="n">
        <v>2906</v>
      </c>
      <c r="P318" s="12" t="n">
        <f aca="false">M318+N318+O318</f>
        <v>178018</v>
      </c>
      <c r="Q318" s="13" t="n">
        <f aca="false">IF(I318=0,0,P318/I318)</f>
        <v>0.0235109715798264</v>
      </c>
      <c r="R318" s="13" t="n">
        <v>0.0422</v>
      </c>
      <c r="S318" s="14" t="n">
        <v>1137289</v>
      </c>
      <c r="T318" s="14" t="n">
        <v>100106</v>
      </c>
      <c r="U318" s="14" t="n">
        <v>49231</v>
      </c>
      <c r="V318" s="14" t="n">
        <v>68296</v>
      </c>
      <c r="W318" s="14" t="n">
        <f aca="false">S318+T318+U318+V318</f>
        <v>1354922</v>
      </c>
      <c r="X318" s="15" t="n">
        <f aca="false">IF(P318=0,0,S318/P318)</f>
        <v>6.38861800492085</v>
      </c>
      <c r="Y318" s="15" t="n">
        <f aca="false">IF(J318=0,0,W318/J318)</f>
        <v>0.568594010576877</v>
      </c>
      <c r="Z318" s="14" t="n">
        <v>228676</v>
      </c>
      <c r="AA318" s="15" t="n">
        <f aca="false">IF(L318=0,0,Z318/L318)</f>
        <v>0.281820601806207</v>
      </c>
      <c r="AB318" s="12" t="n">
        <v>178664114</v>
      </c>
      <c r="AC318" s="16" t="n">
        <v>12.5</v>
      </c>
      <c r="AD318" s="16" t="n">
        <v>21.3</v>
      </c>
      <c r="AE318" s="13" t="n">
        <v>0.412</v>
      </c>
      <c r="AF318" s="13" t="n">
        <v>0.6</v>
      </c>
      <c r="AG318" s="13" t="n">
        <v>0.365</v>
      </c>
      <c r="AH318" s="13" t="n">
        <v>0.207</v>
      </c>
      <c r="AI318" s="17" t="n">
        <v>4.66</v>
      </c>
    </row>
    <row r="319" customFormat="false" ht="15" hidden="false" customHeight="false" outlineLevel="0" collapsed="false">
      <c r="A319" s="10" t="n">
        <v>45444</v>
      </c>
      <c r="B319" s="11" t="n">
        <f aca="false">YEAR(A319)</f>
        <v>2024</v>
      </c>
      <c r="C319" s="11" t="str">
        <f aca="false">"Q"&amp;ROUNDUP(MONTH(A319)/3,0)</f>
        <v>Q2</v>
      </c>
      <c r="D319" s="11" t="str">
        <f aca="false">B319&amp;"-"&amp;C319</f>
        <v>2024-Q2</v>
      </c>
      <c r="E319" s="11" t="n">
        <f aca="false">MONTH(A319)</f>
        <v>6</v>
      </c>
      <c r="F319" s="11" t="str">
        <f aca="false">TEXT(A319,"mmm")</f>
        <v>Jun</v>
      </c>
      <c r="G319" s="11" t="s">
        <v>208</v>
      </c>
      <c r="H319" s="11" t="s">
        <v>205</v>
      </c>
      <c r="I319" s="12" t="n">
        <v>2573574</v>
      </c>
      <c r="J319" s="12" t="n">
        <v>721660</v>
      </c>
      <c r="K319" s="13" t="n">
        <f aca="false">IF(I319=0,0,J319/I319)</f>
        <v>0.280411598811614</v>
      </c>
      <c r="L319" s="12" t="n">
        <v>249560</v>
      </c>
      <c r="M319" s="12" t="n">
        <v>40967</v>
      </c>
      <c r="N319" s="12" t="n">
        <v>4723</v>
      </c>
      <c r="O319" s="12" t="n">
        <v>503</v>
      </c>
      <c r="P319" s="12" t="n">
        <f aca="false">M319+N319+O319</f>
        <v>46193</v>
      </c>
      <c r="Q319" s="13" t="n">
        <f aca="false">IF(I319=0,0,P319/I319)</f>
        <v>0.017948969021291</v>
      </c>
      <c r="R319" s="13" t="n">
        <v>0.0427</v>
      </c>
      <c r="S319" s="14" t="n">
        <v>326035</v>
      </c>
      <c r="T319" s="14" t="n">
        <v>26231</v>
      </c>
      <c r="U319" s="14" t="n">
        <v>14573</v>
      </c>
      <c r="V319" s="14" t="n">
        <v>20614</v>
      </c>
      <c r="W319" s="14" t="n">
        <f aca="false">S319+T319+U319+V319</f>
        <v>387453</v>
      </c>
      <c r="X319" s="15" t="n">
        <f aca="false">IF(P319=0,0,S319/P319)</f>
        <v>7.05810404173793</v>
      </c>
      <c r="Y319" s="15" t="n">
        <f aca="false">IF(J319=0,0,W319/J319)</f>
        <v>0.536891333869135</v>
      </c>
      <c r="Z319" s="14" t="n">
        <v>62032</v>
      </c>
      <c r="AA319" s="15" t="n">
        <f aca="false">IF(L319=0,0,Z319/L319)</f>
        <v>0.248565475236416</v>
      </c>
      <c r="AB319" s="12" t="n">
        <v>57767786</v>
      </c>
      <c r="AC319" s="16" t="n">
        <v>11.1</v>
      </c>
      <c r="AD319" s="16" t="n">
        <v>22.6</v>
      </c>
      <c r="AE319" s="13" t="n">
        <v>0.428</v>
      </c>
      <c r="AF319" s="13" t="n">
        <v>0.589</v>
      </c>
      <c r="AG319" s="13" t="n">
        <v>0.353</v>
      </c>
      <c r="AH319" s="13" t="n">
        <v>0.2</v>
      </c>
      <c r="AI319" s="17"/>
    </row>
    <row r="320" customFormat="false" ht="15" hidden="false" customHeight="false" outlineLevel="0" collapsed="false">
      <c r="A320" s="10" t="n">
        <v>45444</v>
      </c>
      <c r="B320" s="11" t="n">
        <f aca="false">YEAR(A320)</f>
        <v>2024</v>
      </c>
      <c r="C320" s="11" t="str">
        <f aca="false">"Q"&amp;ROUNDUP(MONTH(A320)/3,0)</f>
        <v>Q2</v>
      </c>
      <c r="D320" s="11" t="str">
        <f aca="false">B320&amp;"-"&amp;C320</f>
        <v>2024-Q2</v>
      </c>
      <c r="E320" s="11" t="n">
        <f aca="false">MONTH(A320)</f>
        <v>6</v>
      </c>
      <c r="F320" s="11" t="str">
        <f aca="false">TEXT(A320,"mmm")</f>
        <v>Jun</v>
      </c>
      <c r="G320" s="11" t="s">
        <v>209</v>
      </c>
      <c r="H320" s="11" t="s">
        <v>203</v>
      </c>
      <c r="I320" s="12" t="n">
        <v>4145523</v>
      </c>
      <c r="J320" s="12" t="n">
        <v>1295459</v>
      </c>
      <c r="K320" s="13" t="n">
        <f aca="false">IF(I320=0,0,J320/I320)</f>
        <v>0.31249591426703</v>
      </c>
      <c r="L320" s="12" t="n">
        <v>452958</v>
      </c>
      <c r="M320" s="12" t="n">
        <v>97684</v>
      </c>
      <c r="N320" s="12" t="n">
        <v>10234</v>
      </c>
      <c r="O320" s="12" t="n">
        <v>1912</v>
      </c>
      <c r="P320" s="12" t="n">
        <f aca="false">M320+N320+O320</f>
        <v>109830</v>
      </c>
      <c r="Q320" s="13" t="n">
        <f aca="false">IF(I320=0,0,P320/I320)</f>
        <v>0.0264936414536839</v>
      </c>
      <c r="R320" s="13" t="n">
        <v>0.0411</v>
      </c>
      <c r="S320" s="14" t="n">
        <v>722398</v>
      </c>
      <c r="T320" s="14" t="n">
        <v>57820</v>
      </c>
      <c r="U320" s="14" t="n">
        <v>30990</v>
      </c>
      <c r="V320" s="14" t="n">
        <v>49549</v>
      </c>
      <c r="W320" s="14" t="n">
        <f aca="false">S320+T320+U320+V320</f>
        <v>860757</v>
      </c>
      <c r="X320" s="15" t="n">
        <f aca="false">IF(P320=0,0,S320/P320)</f>
        <v>6.57741964854776</v>
      </c>
      <c r="Y320" s="15" t="n">
        <f aca="false">IF(J320=0,0,W320/J320)</f>
        <v>0.664441715253049</v>
      </c>
      <c r="Z320" s="14" t="n">
        <v>147825</v>
      </c>
      <c r="AA320" s="15" t="n">
        <f aca="false">IF(L320=0,0,Z320/L320)</f>
        <v>0.326354761368604</v>
      </c>
      <c r="AB320" s="12" t="n">
        <v>95582839</v>
      </c>
      <c r="AC320" s="16" t="n">
        <v>12.9</v>
      </c>
      <c r="AD320" s="16" t="n">
        <v>24.2</v>
      </c>
      <c r="AE320" s="13" t="n">
        <v>0.418</v>
      </c>
      <c r="AF320" s="13" t="n">
        <v>0.585</v>
      </c>
      <c r="AG320" s="13" t="n">
        <v>0.356</v>
      </c>
      <c r="AH320" s="13" t="n">
        <v>0.215</v>
      </c>
      <c r="AI320" s="17" t="n">
        <v>4.72</v>
      </c>
    </row>
    <row r="321" customFormat="false" ht="15" hidden="false" customHeight="false" outlineLevel="0" collapsed="false">
      <c r="A321" s="10" t="n">
        <v>45444</v>
      </c>
      <c r="B321" s="11" t="n">
        <f aca="false">YEAR(A321)</f>
        <v>2024</v>
      </c>
      <c r="C321" s="11" t="str">
        <f aca="false">"Q"&amp;ROUNDUP(MONTH(A321)/3,0)</f>
        <v>Q2</v>
      </c>
      <c r="D321" s="11" t="str">
        <f aca="false">B321&amp;"-"&amp;C321</f>
        <v>2024-Q2</v>
      </c>
      <c r="E321" s="11" t="n">
        <f aca="false">MONTH(A321)</f>
        <v>6</v>
      </c>
      <c r="F321" s="11" t="str">
        <f aca="false">TEXT(A321,"mmm")</f>
        <v>Jun</v>
      </c>
      <c r="G321" s="11" t="s">
        <v>209</v>
      </c>
      <c r="H321" s="11" t="s">
        <v>204</v>
      </c>
      <c r="I321" s="12" t="n">
        <v>4873241</v>
      </c>
      <c r="J321" s="12" t="n">
        <v>1453202</v>
      </c>
      <c r="K321" s="13" t="n">
        <f aca="false">IF(I321=0,0,J321/I321)</f>
        <v>0.298200314739205</v>
      </c>
      <c r="L321" s="12" t="n">
        <v>513753</v>
      </c>
      <c r="M321" s="12" t="n">
        <v>59022</v>
      </c>
      <c r="N321" s="12" t="n">
        <v>6294</v>
      </c>
      <c r="O321" s="12" t="n">
        <v>864</v>
      </c>
      <c r="P321" s="12" t="n">
        <f aca="false">M321+N321+O321</f>
        <v>66180</v>
      </c>
      <c r="Q321" s="13" t="n">
        <f aca="false">IF(I321=0,0,P321/I321)</f>
        <v>0.0135802846606601</v>
      </c>
      <c r="R321" s="13" t="n">
        <v>0.0401</v>
      </c>
      <c r="S321" s="14" t="n">
        <v>416182</v>
      </c>
      <c r="T321" s="14" t="n">
        <v>34708</v>
      </c>
      <c r="U321" s="14" t="n">
        <v>19348</v>
      </c>
      <c r="V321" s="14" t="n">
        <v>24842</v>
      </c>
      <c r="W321" s="14" t="n">
        <f aca="false">S321+T321+U321+V321</f>
        <v>495080</v>
      </c>
      <c r="X321" s="15" t="n">
        <f aca="false">IF(P321=0,0,S321/P321)</f>
        <v>6.28863705046842</v>
      </c>
      <c r="Y321" s="15" t="n">
        <f aca="false">IF(J321=0,0,W321/J321)</f>
        <v>0.340682162562397</v>
      </c>
      <c r="Z321" s="14" t="n">
        <v>87160</v>
      </c>
      <c r="AA321" s="15" t="n">
        <f aca="false">IF(L321=0,0,Z321/L321)</f>
        <v>0.169653510539111</v>
      </c>
      <c r="AB321" s="12" t="n">
        <v>119023278</v>
      </c>
      <c r="AC321" s="16" t="n">
        <v>12.6</v>
      </c>
      <c r="AD321" s="16" t="n">
        <v>21.2</v>
      </c>
      <c r="AE321" s="13" t="n">
        <v>0.42</v>
      </c>
      <c r="AF321" s="13" t="n">
        <v>0.592</v>
      </c>
      <c r="AG321" s="13" t="n">
        <v>0.354</v>
      </c>
      <c r="AH321" s="13" t="n">
        <v>0.203</v>
      </c>
      <c r="AI321" s="17" t="n">
        <v>4.65</v>
      </c>
    </row>
    <row r="322" customFormat="false" ht="15" hidden="false" customHeight="false" outlineLevel="0" collapsed="false">
      <c r="A322" s="10" t="n">
        <v>45444</v>
      </c>
      <c r="B322" s="11" t="n">
        <f aca="false">YEAR(A322)</f>
        <v>2024</v>
      </c>
      <c r="C322" s="11" t="str">
        <f aca="false">"Q"&amp;ROUNDUP(MONTH(A322)/3,0)</f>
        <v>Q2</v>
      </c>
      <c r="D322" s="11" t="str">
        <f aca="false">B322&amp;"-"&amp;C322</f>
        <v>2024-Q2</v>
      </c>
      <c r="E322" s="11" t="n">
        <f aca="false">MONTH(A322)</f>
        <v>6</v>
      </c>
      <c r="F322" s="11" t="str">
        <f aca="false">TEXT(A322,"mmm")</f>
        <v>Jun</v>
      </c>
      <c r="G322" s="11" t="s">
        <v>209</v>
      </c>
      <c r="H322" s="11" t="s">
        <v>205</v>
      </c>
      <c r="I322" s="12" t="n">
        <v>1453941</v>
      </c>
      <c r="J322" s="12" t="n">
        <v>387552</v>
      </c>
      <c r="K322" s="13" t="n">
        <f aca="false">IF(I322=0,0,J322/I322)</f>
        <v>0.266552769335207</v>
      </c>
      <c r="L322" s="12" t="n">
        <v>137319</v>
      </c>
      <c r="M322" s="12" t="n">
        <v>15737</v>
      </c>
      <c r="N322" s="12" t="n">
        <v>1714</v>
      </c>
      <c r="O322" s="12" t="n">
        <v>153</v>
      </c>
      <c r="P322" s="12" t="n">
        <f aca="false">M322+N322+O322</f>
        <v>17604</v>
      </c>
      <c r="Q322" s="13" t="n">
        <f aca="false">IF(I322=0,0,P322/I322)</f>
        <v>0.0121077815399662</v>
      </c>
      <c r="R322" s="13" t="n">
        <v>0.0444</v>
      </c>
      <c r="S322" s="14" t="n">
        <v>129050</v>
      </c>
      <c r="T322" s="14" t="n">
        <v>11164</v>
      </c>
      <c r="U322" s="14" t="n">
        <v>5533</v>
      </c>
      <c r="V322" s="14" t="n">
        <v>8596</v>
      </c>
      <c r="W322" s="14" t="n">
        <f aca="false">S322+T322+U322+V322</f>
        <v>154343</v>
      </c>
      <c r="X322" s="15" t="n">
        <f aca="false">IF(P322=0,0,S322/P322)</f>
        <v>7.33072029084299</v>
      </c>
      <c r="Y322" s="15" t="n">
        <f aca="false">IF(J322=0,0,W322/J322)</f>
        <v>0.398251073404343</v>
      </c>
      <c r="Z322" s="14" t="n">
        <v>24731</v>
      </c>
      <c r="AA322" s="15" t="n">
        <f aca="false">IF(L322=0,0,Z322/L322)</f>
        <v>0.180098893816588</v>
      </c>
      <c r="AB322" s="12" t="n">
        <v>30457356</v>
      </c>
      <c r="AC322" s="16" t="n">
        <v>11.2</v>
      </c>
      <c r="AD322" s="16" t="n">
        <v>22.6</v>
      </c>
      <c r="AE322" s="13" t="n">
        <v>0.407</v>
      </c>
      <c r="AF322" s="13" t="n">
        <v>0.583</v>
      </c>
      <c r="AG322" s="13" t="n">
        <v>0.338</v>
      </c>
      <c r="AH322" s="13" t="n">
        <v>0.219</v>
      </c>
      <c r="AI322" s="17"/>
    </row>
    <row r="323" customFormat="false" ht="15" hidden="false" customHeight="false" outlineLevel="0" collapsed="false">
      <c r="A323" s="10" t="n">
        <v>45444</v>
      </c>
      <c r="B323" s="11" t="n">
        <f aca="false">YEAR(A323)</f>
        <v>2024</v>
      </c>
      <c r="C323" s="11" t="str">
        <f aca="false">"Q"&amp;ROUNDUP(MONTH(A323)/3,0)</f>
        <v>Q2</v>
      </c>
      <c r="D323" s="11" t="str">
        <f aca="false">B323&amp;"-"&amp;C323</f>
        <v>2024-Q2</v>
      </c>
      <c r="E323" s="11" t="n">
        <f aca="false">MONTH(A323)</f>
        <v>6</v>
      </c>
      <c r="F323" s="11" t="str">
        <f aca="false">TEXT(A323,"mmm")</f>
        <v>Jun</v>
      </c>
      <c r="G323" s="11" t="s">
        <v>210</v>
      </c>
      <c r="H323" s="11" t="s">
        <v>203</v>
      </c>
      <c r="I323" s="12" t="n">
        <v>6615437</v>
      </c>
      <c r="J323" s="12" t="n">
        <v>2087451</v>
      </c>
      <c r="K323" s="13" t="n">
        <f aca="false">IF(I323=0,0,J323/I323)</f>
        <v>0.315542419948977</v>
      </c>
      <c r="L323" s="12" t="n">
        <v>733094</v>
      </c>
      <c r="M323" s="12" t="n">
        <v>197467</v>
      </c>
      <c r="N323" s="12" t="n">
        <v>19213</v>
      </c>
      <c r="O323" s="12" t="n">
        <v>3839</v>
      </c>
      <c r="P323" s="12" t="n">
        <f aca="false">M323+N323+O323</f>
        <v>220519</v>
      </c>
      <c r="Q323" s="13" t="n">
        <f aca="false">IF(I323=0,0,P323/I323)</f>
        <v>0.0333340034830654</v>
      </c>
      <c r="R323" s="13" t="n">
        <v>0.0438</v>
      </c>
      <c r="S323" s="14" t="n">
        <v>1600204</v>
      </c>
      <c r="T323" s="14" t="n">
        <v>113639</v>
      </c>
      <c r="U323" s="14" t="n">
        <v>71533</v>
      </c>
      <c r="V323" s="14" t="n">
        <v>103827</v>
      </c>
      <c r="W323" s="14" t="n">
        <f aca="false">S323+T323+U323+V323</f>
        <v>1889203</v>
      </c>
      <c r="X323" s="15" t="n">
        <f aca="false">IF(P323=0,0,S323/P323)</f>
        <v>7.25653571801069</v>
      </c>
      <c r="Y323" s="15" t="n">
        <f aca="false">IF(J323=0,0,W323/J323)</f>
        <v>0.905028668936421</v>
      </c>
      <c r="Z323" s="14" t="n">
        <v>381796</v>
      </c>
      <c r="AA323" s="15" t="n">
        <f aca="false">IF(L323=0,0,Z323/L323)</f>
        <v>0.520800879559784</v>
      </c>
      <c r="AB323" s="12" t="n">
        <v>165321897</v>
      </c>
      <c r="AC323" s="16" t="n">
        <v>12.7</v>
      </c>
      <c r="AD323" s="16" t="n">
        <v>22.1</v>
      </c>
      <c r="AE323" s="13" t="n">
        <v>0.415</v>
      </c>
      <c r="AF323" s="13" t="n">
        <v>0.591</v>
      </c>
      <c r="AG323" s="13" t="n">
        <v>0.358</v>
      </c>
      <c r="AH323" s="13" t="n">
        <v>0.201</v>
      </c>
      <c r="AI323" s="17" t="n">
        <v>4.68</v>
      </c>
    </row>
    <row r="324" customFormat="false" ht="15" hidden="false" customHeight="false" outlineLevel="0" collapsed="false">
      <c r="A324" s="10" t="n">
        <v>45444</v>
      </c>
      <c r="B324" s="11" t="n">
        <f aca="false">YEAR(A324)</f>
        <v>2024</v>
      </c>
      <c r="C324" s="11" t="str">
        <f aca="false">"Q"&amp;ROUNDUP(MONTH(A324)/3,0)</f>
        <v>Q2</v>
      </c>
      <c r="D324" s="11" t="str">
        <f aca="false">B324&amp;"-"&amp;C324</f>
        <v>2024-Q2</v>
      </c>
      <c r="E324" s="11" t="n">
        <f aca="false">MONTH(A324)</f>
        <v>6</v>
      </c>
      <c r="F324" s="11" t="str">
        <f aca="false">TEXT(A324,"mmm")</f>
        <v>Jun</v>
      </c>
      <c r="G324" s="11" t="s">
        <v>210</v>
      </c>
      <c r="H324" s="11" t="s">
        <v>204</v>
      </c>
      <c r="I324" s="12" t="n">
        <v>7729603</v>
      </c>
      <c r="J324" s="12" t="n">
        <v>2288940</v>
      </c>
      <c r="K324" s="13" t="n">
        <f aca="false">IF(I324=0,0,J324/I324)</f>
        <v>0.296126463416038</v>
      </c>
      <c r="L324" s="12" t="n">
        <v>841511</v>
      </c>
      <c r="M324" s="12" t="n">
        <v>114977</v>
      </c>
      <c r="N324" s="12" t="n">
        <v>12138</v>
      </c>
      <c r="O324" s="12" t="n">
        <v>1682</v>
      </c>
      <c r="P324" s="12" t="n">
        <f aca="false">M324+N324+O324</f>
        <v>128797</v>
      </c>
      <c r="Q324" s="13" t="n">
        <f aca="false">IF(I324=0,0,P324/I324)</f>
        <v>0.0166628221397658</v>
      </c>
      <c r="R324" s="13" t="n">
        <v>0.0444</v>
      </c>
      <c r="S324" s="14" t="n">
        <v>933119</v>
      </c>
      <c r="T324" s="14" t="n">
        <v>76281</v>
      </c>
      <c r="U324" s="14" t="n">
        <v>38093</v>
      </c>
      <c r="V324" s="14" t="n">
        <v>56825</v>
      </c>
      <c r="W324" s="14" t="n">
        <f aca="false">S324+T324+U324+V324</f>
        <v>1104318</v>
      </c>
      <c r="X324" s="15" t="n">
        <f aca="false">IF(P324=0,0,S324/P324)</f>
        <v>7.2448814801587</v>
      </c>
      <c r="Y324" s="15" t="n">
        <f aca="false">IF(J324=0,0,W324/J324)</f>
        <v>0.482458255786521</v>
      </c>
      <c r="Z324" s="14" t="n">
        <v>178888</v>
      </c>
      <c r="AA324" s="15" t="n">
        <f aca="false">IF(L324=0,0,Z324/L324)</f>
        <v>0.212579514706284</v>
      </c>
      <c r="AB324" s="12" t="n">
        <v>176143515</v>
      </c>
      <c r="AC324" s="16" t="n">
        <v>12.2</v>
      </c>
      <c r="AD324" s="16" t="n">
        <v>22.4</v>
      </c>
      <c r="AE324" s="13" t="n">
        <v>0.416</v>
      </c>
      <c r="AF324" s="13" t="n">
        <v>0.58</v>
      </c>
      <c r="AG324" s="13" t="n">
        <v>0.366</v>
      </c>
      <c r="AH324" s="13" t="n">
        <v>0.217</v>
      </c>
      <c r="AI324" s="17" t="n">
        <v>4.65</v>
      </c>
    </row>
    <row r="325" customFormat="false" ht="15" hidden="false" customHeight="false" outlineLevel="0" collapsed="false">
      <c r="A325" s="10" t="n">
        <v>45444</v>
      </c>
      <c r="B325" s="11" t="n">
        <f aca="false">YEAR(A325)</f>
        <v>2024</v>
      </c>
      <c r="C325" s="11" t="str">
        <f aca="false">"Q"&amp;ROUNDUP(MONTH(A325)/3,0)</f>
        <v>Q2</v>
      </c>
      <c r="D325" s="11" t="str">
        <f aca="false">B325&amp;"-"&amp;C325</f>
        <v>2024-Q2</v>
      </c>
      <c r="E325" s="11" t="n">
        <f aca="false">MONTH(A325)</f>
        <v>6</v>
      </c>
      <c r="F325" s="11" t="str">
        <f aca="false">TEXT(A325,"mmm")</f>
        <v>Jun</v>
      </c>
      <c r="G325" s="11" t="s">
        <v>210</v>
      </c>
      <c r="H325" s="11" t="s">
        <v>205</v>
      </c>
      <c r="I325" s="12" t="n">
        <v>2611316</v>
      </c>
      <c r="J325" s="12" t="n">
        <v>699889</v>
      </c>
      <c r="K325" s="13" t="n">
        <f aca="false">IF(I325=0,0,J325/I325)</f>
        <v>0.268021564605739</v>
      </c>
      <c r="L325" s="12" t="n">
        <v>243469</v>
      </c>
      <c r="M325" s="12" t="n">
        <v>29534</v>
      </c>
      <c r="N325" s="12" t="n">
        <v>3342</v>
      </c>
      <c r="O325" s="12" t="n">
        <v>289</v>
      </c>
      <c r="P325" s="12" t="n">
        <f aca="false">M325+N325+O325</f>
        <v>33165</v>
      </c>
      <c r="Q325" s="13" t="n">
        <f aca="false">IF(I325=0,0,P325/I325)</f>
        <v>0.0127004927783539</v>
      </c>
      <c r="R325" s="13" t="n">
        <v>0.0488</v>
      </c>
      <c r="S325" s="14" t="n">
        <v>264380</v>
      </c>
      <c r="T325" s="14" t="n">
        <v>21618</v>
      </c>
      <c r="U325" s="14" t="n">
        <v>11021</v>
      </c>
      <c r="V325" s="14" t="n">
        <v>18469</v>
      </c>
      <c r="W325" s="14" t="n">
        <f aca="false">S325+T325+U325+V325</f>
        <v>315488</v>
      </c>
      <c r="X325" s="15" t="n">
        <f aca="false">IF(P325=0,0,S325/P325)</f>
        <v>7.97165686717926</v>
      </c>
      <c r="Y325" s="15" t="n">
        <f aca="false">IF(J325=0,0,W325/J325)</f>
        <v>0.45076862188147</v>
      </c>
      <c r="Z325" s="14" t="n">
        <v>56877</v>
      </c>
      <c r="AA325" s="15" t="n">
        <f aca="false">IF(L325=0,0,Z325/L325)</f>
        <v>0.233610849841253</v>
      </c>
      <c r="AB325" s="12" t="n">
        <v>53971009</v>
      </c>
      <c r="AC325" s="16" t="n">
        <v>11.1</v>
      </c>
      <c r="AD325" s="16" t="n">
        <v>22.4</v>
      </c>
      <c r="AE325" s="13" t="n">
        <v>0.408</v>
      </c>
      <c r="AF325" s="13" t="n">
        <v>0.582</v>
      </c>
      <c r="AG325" s="13" t="n">
        <v>0.346</v>
      </c>
      <c r="AH325" s="13" t="n">
        <v>0.21</v>
      </c>
      <c r="AI325" s="17"/>
    </row>
    <row r="326" customFormat="false" ht="15" hidden="false" customHeight="false" outlineLevel="0" collapsed="false">
      <c r="A326" s="10" t="n">
        <v>45474</v>
      </c>
      <c r="B326" s="11" t="n">
        <f aca="false">YEAR(A326)</f>
        <v>2024</v>
      </c>
      <c r="C326" s="11" t="str">
        <f aca="false">"Q"&amp;ROUNDUP(MONTH(A326)/3,0)</f>
        <v>Q3</v>
      </c>
      <c r="D326" s="11" t="str">
        <f aca="false">B326&amp;"-"&amp;C326</f>
        <v>2024-Q3</v>
      </c>
      <c r="E326" s="11" t="n">
        <f aca="false">MONTH(A326)</f>
        <v>7</v>
      </c>
      <c r="F326" s="11" t="str">
        <f aca="false">TEXT(A326,"mmm")</f>
        <v>Jul</v>
      </c>
      <c r="G326" s="11" t="s">
        <v>202</v>
      </c>
      <c r="H326" s="11" t="s">
        <v>203</v>
      </c>
      <c r="I326" s="12" t="n">
        <v>8030360</v>
      </c>
      <c r="J326" s="12" t="n">
        <v>2783871</v>
      </c>
      <c r="K326" s="13" t="n">
        <f aca="false">IF(I326=0,0,J326/I326)</f>
        <v>0.346668268919451</v>
      </c>
      <c r="L326" s="12" t="n">
        <v>927502</v>
      </c>
      <c r="M326" s="12" t="n">
        <v>1808197</v>
      </c>
      <c r="N326" s="12" t="n">
        <v>200341</v>
      </c>
      <c r="O326" s="12" t="n">
        <v>159982</v>
      </c>
      <c r="P326" s="12" t="n">
        <f aca="false">M326+N326+O326</f>
        <v>2168520</v>
      </c>
      <c r="Q326" s="13" t="n">
        <f aca="false">IF(I326=0,0,P326/I326)</f>
        <v>0.270040197450675</v>
      </c>
      <c r="R326" s="13" t="n">
        <v>0.042</v>
      </c>
      <c r="S326" s="14" t="n">
        <v>12722812</v>
      </c>
      <c r="T326" s="14" t="n">
        <v>981879</v>
      </c>
      <c r="U326" s="14" t="n">
        <v>599452</v>
      </c>
      <c r="V326" s="14" t="n">
        <v>933527</v>
      </c>
      <c r="W326" s="14" t="n">
        <f aca="false">S326+T326+U326+V326</f>
        <v>15237670</v>
      </c>
      <c r="X326" s="15" t="n">
        <f aca="false">IF(P326=0,0,S326/P326)</f>
        <v>5.86704849390368</v>
      </c>
      <c r="Y326" s="15" t="n">
        <f aca="false">IF(J326=0,0,W326/J326)</f>
        <v>5.4735546295069</v>
      </c>
      <c r="Z326" s="14" t="n">
        <v>2743171</v>
      </c>
      <c r="AA326" s="15" t="n">
        <f aca="false">IF(L326=0,0,Z326/L326)</f>
        <v>2.95759038794526</v>
      </c>
      <c r="AB326" s="12" t="n">
        <v>223686558</v>
      </c>
      <c r="AC326" s="16" t="n">
        <v>13</v>
      </c>
      <c r="AD326" s="16" t="n">
        <v>21.7</v>
      </c>
      <c r="AE326" s="13" t="n">
        <v>0.423</v>
      </c>
      <c r="AF326" s="13" t="n">
        <v>0.593</v>
      </c>
      <c r="AG326" s="13" t="n">
        <v>0.354</v>
      </c>
      <c r="AH326" s="13" t="n">
        <v>0.201</v>
      </c>
      <c r="AI326" s="17" t="n">
        <v>4.72</v>
      </c>
    </row>
    <row r="327" customFormat="false" ht="15" hidden="false" customHeight="false" outlineLevel="0" collapsed="false">
      <c r="A327" s="10" t="n">
        <v>45474</v>
      </c>
      <c r="B327" s="11" t="n">
        <f aca="false">YEAR(A327)</f>
        <v>2024</v>
      </c>
      <c r="C327" s="11" t="str">
        <f aca="false">"Q"&amp;ROUNDUP(MONTH(A327)/3,0)</f>
        <v>Q3</v>
      </c>
      <c r="D327" s="11" t="str">
        <f aca="false">B327&amp;"-"&amp;C327</f>
        <v>2024-Q3</v>
      </c>
      <c r="E327" s="11" t="n">
        <f aca="false">MONTH(A327)</f>
        <v>7</v>
      </c>
      <c r="F327" s="11" t="str">
        <f aca="false">TEXT(A327,"mmm")</f>
        <v>Jul</v>
      </c>
      <c r="G327" s="11" t="s">
        <v>202</v>
      </c>
      <c r="H327" s="11" t="s">
        <v>204</v>
      </c>
      <c r="I327" s="12" t="n">
        <v>11010607</v>
      </c>
      <c r="J327" s="12" t="n">
        <v>3445793</v>
      </c>
      <c r="K327" s="13" t="n">
        <f aca="false">IF(I327=0,0,J327/I327)</f>
        <v>0.31295213787941</v>
      </c>
      <c r="L327" s="12" t="n">
        <v>1176936</v>
      </c>
      <c r="M327" s="12" t="n">
        <v>1084928</v>
      </c>
      <c r="N327" s="12" t="n">
        <v>125106</v>
      </c>
      <c r="O327" s="12" t="n">
        <v>70874</v>
      </c>
      <c r="P327" s="12" t="n">
        <f aca="false">M327+N327+O327</f>
        <v>1280908</v>
      </c>
      <c r="Q327" s="13" t="n">
        <f aca="false">IF(I327=0,0,P327/I327)</f>
        <v>0.116334004110763</v>
      </c>
      <c r="R327" s="13" t="n">
        <v>0.039</v>
      </c>
      <c r="S327" s="14" t="n">
        <v>7229489</v>
      </c>
      <c r="T327" s="14" t="n">
        <v>587851</v>
      </c>
      <c r="U327" s="14" t="n">
        <v>335500</v>
      </c>
      <c r="V327" s="14" t="n">
        <v>477820</v>
      </c>
      <c r="W327" s="14" t="n">
        <f aca="false">S327+T327+U327+V327</f>
        <v>8630660</v>
      </c>
      <c r="X327" s="15" t="n">
        <f aca="false">IF(P327=0,0,S327/P327)</f>
        <v>5.64403454424518</v>
      </c>
      <c r="Y327" s="15" t="n">
        <f aca="false">IF(J327=0,0,W327/J327)</f>
        <v>2.50469485543676</v>
      </c>
      <c r="Z327" s="14" t="n">
        <v>1479722</v>
      </c>
      <c r="AA327" s="15" t="n">
        <f aca="false">IF(L327=0,0,Z327/L327)</f>
        <v>1.25726632544166</v>
      </c>
      <c r="AB327" s="12" t="n">
        <v>282818799</v>
      </c>
      <c r="AC327" s="16" t="n">
        <v>12.3</v>
      </c>
      <c r="AD327" s="16" t="n">
        <v>23.1</v>
      </c>
      <c r="AE327" s="13" t="n">
        <v>0.415</v>
      </c>
      <c r="AF327" s="13" t="n">
        <v>0.578</v>
      </c>
      <c r="AG327" s="13" t="n">
        <v>0.351</v>
      </c>
      <c r="AH327" s="13" t="n">
        <v>0.215</v>
      </c>
      <c r="AI327" s="17" t="n">
        <v>4.63</v>
      </c>
    </row>
    <row r="328" customFormat="false" ht="15" hidden="false" customHeight="false" outlineLevel="0" collapsed="false">
      <c r="A328" s="10" t="n">
        <v>45474</v>
      </c>
      <c r="B328" s="11" t="n">
        <f aca="false">YEAR(A328)</f>
        <v>2024</v>
      </c>
      <c r="C328" s="11" t="str">
        <f aca="false">"Q"&amp;ROUNDUP(MONTH(A328)/3,0)</f>
        <v>Q3</v>
      </c>
      <c r="D328" s="11" t="str">
        <f aca="false">B328&amp;"-"&amp;C328</f>
        <v>2024-Q3</v>
      </c>
      <c r="E328" s="11" t="n">
        <f aca="false">MONTH(A328)</f>
        <v>7</v>
      </c>
      <c r="F328" s="11" t="str">
        <f aca="false">TEXT(A328,"mmm")</f>
        <v>Jul</v>
      </c>
      <c r="G328" s="11" t="s">
        <v>202</v>
      </c>
      <c r="H328" s="11" t="s">
        <v>205</v>
      </c>
      <c r="I328" s="12" t="n">
        <v>2972107</v>
      </c>
      <c r="J328" s="12" t="n">
        <v>856896</v>
      </c>
      <c r="K328" s="13" t="n">
        <f aca="false">IF(I328=0,0,J328/I328)</f>
        <v>0.288312634773916</v>
      </c>
      <c r="L328" s="12" t="n">
        <v>288695</v>
      </c>
      <c r="M328" s="12" t="n">
        <v>295774</v>
      </c>
      <c r="N328" s="12" t="n">
        <v>31584</v>
      </c>
      <c r="O328" s="12" t="n">
        <v>12538</v>
      </c>
      <c r="P328" s="12" t="n">
        <f aca="false">M328+N328+O328</f>
        <v>339896</v>
      </c>
      <c r="Q328" s="13" t="n">
        <f aca="false">IF(I328=0,0,P328/I328)</f>
        <v>0.114361966106873</v>
      </c>
      <c r="R328" s="13" t="n">
        <v>0.0465</v>
      </c>
      <c r="S328" s="14" t="n">
        <v>1998941</v>
      </c>
      <c r="T328" s="14" t="n">
        <v>158656</v>
      </c>
      <c r="U328" s="14" t="n">
        <v>85350</v>
      </c>
      <c r="V328" s="14" t="n">
        <v>121740</v>
      </c>
      <c r="W328" s="14" t="n">
        <f aca="false">S328+T328+U328+V328</f>
        <v>2364687</v>
      </c>
      <c r="X328" s="15" t="n">
        <f aca="false">IF(P328=0,0,S328/P328)</f>
        <v>5.88103714077247</v>
      </c>
      <c r="Y328" s="15" t="n">
        <f aca="false">IF(J328=0,0,W328/J328)</f>
        <v>2.75959626372395</v>
      </c>
      <c r="Z328" s="14" t="n">
        <v>410427</v>
      </c>
      <c r="AA328" s="15" t="n">
        <f aca="false">IF(L328=0,0,Z328/L328)</f>
        <v>1.42166300074473</v>
      </c>
      <c r="AB328" s="12" t="n">
        <v>68981020</v>
      </c>
      <c r="AC328" s="16" t="n">
        <v>11</v>
      </c>
      <c r="AD328" s="16" t="n">
        <v>23.1</v>
      </c>
      <c r="AE328" s="13" t="n">
        <v>0.411</v>
      </c>
      <c r="AF328" s="13" t="n">
        <v>0.591</v>
      </c>
      <c r="AG328" s="13" t="n">
        <v>0.353</v>
      </c>
      <c r="AH328" s="13" t="n">
        <v>0.21</v>
      </c>
      <c r="AI328" s="17"/>
    </row>
    <row r="329" customFormat="false" ht="15" hidden="false" customHeight="false" outlineLevel="0" collapsed="false">
      <c r="A329" s="10" t="n">
        <v>45474</v>
      </c>
      <c r="B329" s="11" t="n">
        <f aca="false">YEAR(A329)</f>
        <v>2024</v>
      </c>
      <c r="C329" s="11" t="str">
        <f aca="false">"Q"&amp;ROUNDUP(MONTH(A329)/3,0)</f>
        <v>Q3</v>
      </c>
      <c r="D329" s="11" t="str">
        <f aca="false">B329&amp;"-"&amp;C329</f>
        <v>2024-Q3</v>
      </c>
      <c r="E329" s="11" t="n">
        <f aca="false">MONTH(A329)</f>
        <v>7</v>
      </c>
      <c r="F329" s="11" t="str">
        <f aca="false">TEXT(A329,"mmm")</f>
        <v>Jul</v>
      </c>
      <c r="G329" s="11" t="s">
        <v>206</v>
      </c>
      <c r="H329" s="11" t="s">
        <v>203</v>
      </c>
      <c r="I329" s="12" t="n">
        <v>9194729</v>
      </c>
      <c r="J329" s="12" t="n">
        <v>3237294</v>
      </c>
      <c r="K329" s="13" t="n">
        <f aca="false">IF(I329=0,0,J329/I329)</f>
        <v>0.352081502347704</v>
      </c>
      <c r="L329" s="12" t="n">
        <v>1141904</v>
      </c>
      <c r="M329" s="12" t="n">
        <v>1080517</v>
      </c>
      <c r="N329" s="12" t="n">
        <v>113314</v>
      </c>
      <c r="O329" s="12" t="n">
        <v>57707</v>
      </c>
      <c r="P329" s="12" t="n">
        <f aca="false">M329+N329+O329</f>
        <v>1251538</v>
      </c>
      <c r="Q329" s="13" t="n">
        <f aca="false">IF(I329=0,0,P329/I329)</f>
        <v>0.136114723990234</v>
      </c>
      <c r="R329" s="13" t="n">
        <v>0.0433</v>
      </c>
      <c r="S329" s="14" t="n">
        <v>7928389</v>
      </c>
      <c r="T329" s="14" t="n">
        <v>578532</v>
      </c>
      <c r="U329" s="14" t="n">
        <v>370325</v>
      </c>
      <c r="V329" s="14" t="n">
        <v>466142</v>
      </c>
      <c r="W329" s="14" t="n">
        <f aca="false">S329+T329+U329+V329</f>
        <v>9343388</v>
      </c>
      <c r="X329" s="15" t="n">
        <f aca="false">IF(P329=0,0,S329/P329)</f>
        <v>6.3349167184696</v>
      </c>
      <c r="Y329" s="15" t="n">
        <f aca="false">IF(J329=0,0,W329/J329)</f>
        <v>2.88617221667232</v>
      </c>
      <c r="Z329" s="14" t="n">
        <v>1890386</v>
      </c>
      <c r="AA329" s="15" t="n">
        <f aca="false">IF(L329=0,0,Z329/L329)</f>
        <v>1.65546841065449</v>
      </c>
      <c r="AB329" s="12" t="n">
        <v>268495469</v>
      </c>
      <c r="AC329" s="16" t="n">
        <v>13.1</v>
      </c>
      <c r="AD329" s="16" t="n">
        <v>23.1</v>
      </c>
      <c r="AE329" s="13" t="n">
        <v>0.413</v>
      </c>
      <c r="AF329" s="13" t="n">
        <v>0.597</v>
      </c>
      <c r="AG329" s="13" t="n">
        <v>0.354</v>
      </c>
      <c r="AH329" s="13" t="n">
        <v>0.213</v>
      </c>
      <c r="AI329" s="17" t="n">
        <v>4.72</v>
      </c>
    </row>
    <row r="330" customFormat="false" ht="15" hidden="false" customHeight="false" outlineLevel="0" collapsed="false">
      <c r="A330" s="10" t="n">
        <v>45474</v>
      </c>
      <c r="B330" s="11" t="n">
        <f aca="false">YEAR(A330)</f>
        <v>2024</v>
      </c>
      <c r="C330" s="11" t="str">
        <f aca="false">"Q"&amp;ROUNDUP(MONTH(A330)/3,0)</f>
        <v>Q3</v>
      </c>
      <c r="D330" s="11" t="str">
        <f aca="false">B330&amp;"-"&amp;C330</f>
        <v>2024-Q3</v>
      </c>
      <c r="E330" s="11" t="n">
        <f aca="false">MONTH(A330)</f>
        <v>7</v>
      </c>
      <c r="F330" s="11" t="str">
        <f aca="false">TEXT(A330,"mmm")</f>
        <v>Jul</v>
      </c>
      <c r="G330" s="11" t="s">
        <v>206</v>
      </c>
      <c r="H330" s="11" t="s">
        <v>204</v>
      </c>
      <c r="I330" s="12" t="n">
        <v>12939912</v>
      </c>
      <c r="J330" s="12" t="n">
        <v>3941654</v>
      </c>
      <c r="K330" s="13" t="n">
        <f aca="false">IF(I330=0,0,J330/I330)</f>
        <v>0.304612117918576</v>
      </c>
      <c r="L330" s="12" t="n">
        <v>1458121</v>
      </c>
      <c r="M330" s="12" t="n">
        <v>632140</v>
      </c>
      <c r="N330" s="12" t="n">
        <v>65030</v>
      </c>
      <c r="O330" s="12" t="n">
        <v>24973</v>
      </c>
      <c r="P330" s="12" t="n">
        <f aca="false">M330+N330+O330</f>
        <v>722143</v>
      </c>
      <c r="Q330" s="13" t="n">
        <f aca="false">IF(I330=0,0,P330/I330)</f>
        <v>0.0558074119823999</v>
      </c>
      <c r="R330" s="13" t="n">
        <v>0.0429</v>
      </c>
      <c r="S330" s="14" t="n">
        <v>4268142</v>
      </c>
      <c r="T330" s="14" t="n">
        <v>322949</v>
      </c>
      <c r="U330" s="14" t="n">
        <v>189670</v>
      </c>
      <c r="V330" s="14" t="n">
        <v>256968</v>
      </c>
      <c r="W330" s="14" t="n">
        <f aca="false">S330+T330+U330+V330</f>
        <v>5037729</v>
      </c>
      <c r="X330" s="15" t="n">
        <f aca="false">IF(P330=0,0,S330/P330)</f>
        <v>5.91038340051763</v>
      </c>
      <c r="Y330" s="15" t="n">
        <f aca="false">IF(J330=0,0,W330/J330)</f>
        <v>1.27807488937385</v>
      </c>
      <c r="Z330" s="14" t="n">
        <v>860784</v>
      </c>
      <c r="AA330" s="15" t="n">
        <f aca="false">IF(L330=0,0,Z330/L330)</f>
        <v>0.59033783890363</v>
      </c>
      <c r="AB330" s="12" t="n">
        <v>312801607</v>
      </c>
      <c r="AC330" s="16" t="n">
        <v>12.6</v>
      </c>
      <c r="AD330" s="16" t="n">
        <v>22.6</v>
      </c>
      <c r="AE330" s="13" t="n">
        <v>0.404</v>
      </c>
      <c r="AF330" s="13" t="n">
        <v>0.578</v>
      </c>
      <c r="AG330" s="13" t="n">
        <v>0.357</v>
      </c>
      <c r="AH330" s="13" t="n">
        <v>0.205</v>
      </c>
      <c r="AI330" s="17" t="n">
        <v>4.62</v>
      </c>
    </row>
    <row r="331" customFormat="false" ht="15" hidden="false" customHeight="false" outlineLevel="0" collapsed="false">
      <c r="A331" s="10" t="n">
        <v>45474</v>
      </c>
      <c r="B331" s="11" t="n">
        <f aca="false">YEAR(A331)</f>
        <v>2024</v>
      </c>
      <c r="C331" s="11" t="str">
        <f aca="false">"Q"&amp;ROUNDUP(MONTH(A331)/3,0)</f>
        <v>Q3</v>
      </c>
      <c r="D331" s="11" t="str">
        <f aca="false">B331&amp;"-"&amp;C331</f>
        <v>2024-Q3</v>
      </c>
      <c r="E331" s="11" t="n">
        <f aca="false">MONTH(A331)</f>
        <v>7</v>
      </c>
      <c r="F331" s="11" t="str">
        <f aca="false">TEXT(A331,"mmm")</f>
        <v>Jul</v>
      </c>
      <c r="G331" s="11" t="s">
        <v>206</v>
      </c>
      <c r="H331" s="11" t="s">
        <v>205</v>
      </c>
      <c r="I331" s="12" t="n">
        <v>3411557</v>
      </c>
      <c r="J331" s="12" t="n">
        <v>987179</v>
      </c>
      <c r="K331" s="13" t="n">
        <f aca="false">IF(I331=0,0,J331/I331)</f>
        <v>0.289363185196671</v>
      </c>
      <c r="L331" s="12" t="n">
        <v>383937</v>
      </c>
      <c r="M331" s="12" t="n">
        <v>181953</v>
      </c>
      <c r="N331" s="12" t="n">
        <v>20656</v>
      </c>
      <c r="O331" s="12" t="n">
        <v>4781</v>
      </c>
      <c r="P331" s="12" t="n">
        <f aca="false">M331+N331+O331</f>
        <v>207390</v>
      </c>
      <c r="Q331" s="13" t="n">
        <f aca="false">IF(I331=0,0,P331/I331)</f>
        <v>0.0607904250170816</v>
      </c>
      <c r="R331" s="13" t="n">
        <v>0.0494</v>
      </c>
      <c r="S331" s="14" t="n">
        <v>1160173</v>
      </c>
      <c r="T331" s="14" t="n">
        <v>98869</v>
      </c>
      <c r="U331" s="14" t="n">
        <v>53898</v>
      </c>
      <c r="V331" s="14" t="n">
        <v>81759</v>
      </c>
      <c r="W331" s="14" t="n">
        <f aca="false">S331+T331+U331+V331</f>
        <v>1394699</v>
      </c>
      <c r="X331" s="15" t="n">
        <f aca="false">IF(P331=0,0,S331/P331)</f>
        <v>5.59416075992092</v>
      </c>
      <c r="Y331" s="15" t="n">
        <f aca="false">IF(J331=0,0,W331/J331)</f>
        <v>1.4128126712582</v>
      </c>
      <c r="Z331" s="14" t="n">
        <v>223552</v>
      </c>
      <c r="AA331" s="15" t="n">
        <f aca="false">IF(L331=0,0,Z331/L331)</f>
        <v>0.582262194057879</v>
      </c>
      <c r="AB331" s="12" t="n">
        <v>77847486</v>
      </c>
      <c r="AC331" s="16" t="n">
        <v>11.4</v>
      </c>
      <c r="AD331" s="16" t="n">
        <v>22.1</v>
      </c>
      <c r="AE331" s="13" t="n">
        <v>0.398</v>
      </c>
      <c r="AF331" s="13" t="n">
        <v>0.587</v>
      </c>
      <c r="AG331" s="13" t="n">
        <v>0.354</v>
      </c>
      <c r="AH331" s="13" t="n">
        <v>0.204</v>
      </c>
      <c r="AI331" s="17"/>
    </row>
    <row r="332" customFormat="false" ht="15" hidden="false" customHeight="false" outlineLevel="0" collapsed="false">
      <c r="A332" s="10" t="n">
        <v>45474</v>
      </c>
      <c r="B332" s="11" t="n">
        <f aca="false">YEAR(A332)</f>
        <v>2024</v>
      </c>
      <c r="C332" s="11" t="str">
        <f aca="false">"Q"&amp;ROUNDUP(MONTH(A332)/3,0)</f>
        <v>Q3</v>
      </c>
      <c r="D332" s="11" t="str">
        <f aca="false">B332&amp;"-"&amp;C332</f>
        <v>2024-Q3</v>
      </c>
      <c r="E332" s="11" t="n">
        <f aca="false">MONTH(A332)</f>
        <v>7</v>
      </c>
      <c r="F332" s="11" t="str">
        <f aca="false">TEXT(A332,"mmm")</f>
        <v>Jul</v>
      </c>
      <c r="G332" s="11" t="s">
        <v>207</v>
      </c>
      <c r="H332" s="11" t="s">
        <v>203</v>
      </c>
      <c r="I332" s="12" t="n">
        <v>7956729</v>
      </c>
      <c r="J332" s="12" t="n">
        <v>2655374</v>
      </c>
      <c r="K332" s="13" t="n">
        <f aca="false">IF(I332=0,0,J332/I332)</f>
        <v>0.333726836744094</v>
      </c>
      <c r="L332" s="12" t="n">
        <v>864142</v>
      </c>
      <c r="M332" s="12" t="n">
        <v>533394</v>
      </c>
      <c r="N332" s="12" t="n">
        <v>55932</v>
      </c>
      <c r="O332" s="12" t="n">
        <v>19656</v>
      </c>
      <c r="P332" s="12" t="n">
        <f aca="false">M332+N332+O332</f>
        <v>608982</v>
      </c>
      <c r="Q332" s="13" t="n">
        <f aca="false">IF(I332=0,0,P332/I332)</f>
        <v>0.0765367275924567</v>
      </c>
      <c r="R332" s="13" t="n">
        <v>0.0423</v>
      </c>
      <c r="S332" s="14" t="n">
        <v>3805512</v>
      </c>
      <c r="T332" s="14" t="n">
        <v>309274</v>
      </c>
      <c r="U332" s="14" t="n">
        <v>179748</v>
      </c>
      <c r="V332" s="14" t="n">
        <v>252857</v>
      </c>
      <c r="W332" s="14" t="n">
        <f aca="false">S332+T332+U332+V332</f>
        <v>4547391</v>
      </c>
      <c r="X332" s="15" t="n">
        <f aca="false">IF(P332=0,0,S332/P332)</f>
        <v>6.2489728760456</v>
      </c>
      <c r="Y332" s="15" t="n">
        <f aca="false">IF(J332=0,0,W332/J332)</f>
        <v>1.71252373488631</v>
      </c>
      <c r="Z332" s="14" t="n">
        <v>636824</v>
      </c>
      <c r="AA332" s="15" t="n">
        <f aca="false">IF(L332=0,0,Z332/L332)</f>
        <v>0.736943696753543</v>
      </c>
      <c r="AB332" s="12" t="n">
        <v>211295663</v>
      </c>
      <c r="AC332" s="16" t="n">
        <v>12.6</v>
      </c>
      <c r="AD332" s="16" t="n">
        <v>22.1</v>
      </c>
      <c r="AE332" s="13" t="n">
        <v>0.42</v>
      </c>
      <c r="AF332" s="13" t="n">
        <v>0.599</v>
      </c>
      <c r="AG332" s="13" t="n">
        <v>0.367</v>
      </c>
      <c r="AH332" s="13" t="n">
        <v>0.205</v>
      </c>
      <c r="AI332" s="17" t="n">
        <v>4.71</v>
      </c>
    </row>
    <row r="333" customFormat="false" ht="15" hidden="false" customHeight="false" outlineLevel="0" collapsed="false">
      <c r="A333" s="10" t="n">
        <v>45474</v>
      </c>
      <c r="B333" s="11" t="n">
        <f aca="false">YEAR(A333)</f>
        <v>2024</v>
      </c>
      <c r="C333" s="11" t="str">
        <f aca="false">"Q"&amp;ROUNDUP(MONTH(A333)/3,0)</f>
        <v>Q3</v>
      </c>
      <c r="D333" s="11" t="str">
        <f aca="false">B333&amp;"-"&amp;C333</f>
        <v>2024-Q3</v>
      </c>
      <c r="E333" s="11" t="n">
        <f aca="false">MONTH(A333)</f>
        <v>7</v>
      </c>
      <c r="F333" s="11" t="str">
        <f aca="false">TEXT(A333,"mmm")</f>
        <v>Jul</v>
      </c>
      <c r="G333" s="11" t="s">
        <v>207</v>
      </c>
      <c r="H333" s="11" t="s">
        <v>204</v>
      </c>
      <c r="I333" s="12" t="n">
        <v>9059387</v>
      </c>
      <c r="J333" s="12" t="n">
        <v>2880492</v>
      </c>
      <c r="K333" s="13" t="n">
        <f aca="false">IF(I333=0,0,J333/I333)</f>
        <v>0.317956612296174</v>
      </c>
      <c r="L333" s="12" t="n">
        <v>929987</v>
      </c>
      <c r="M333" s="12" t="n">
        <v>314729</v>
      </c>
      <c r="N333" s="12" t="n">
        <v>31939</v>
      </c>
      <c r="O333" s="12" t="n">
        <v>8600</v>
      </c>
      <c r="P333" s="12" t="n">
        <f aca="false">M333+N333+O333</f>
        <v>355268</v>
      </c>
      <c r="Q333" s="13" t="n">
        <f aca="false">IF(I333=0,0,P333/I333)</f>
        <v>0.0392154568515508</v>
      </c>
      <c r="R333" s="13" t="n">
        <v>0.0426</v>
      </c>
      <c r="S333" s="14" t="n">
        <v>2151741</v>
      </c>
      <c r="T333" s="14" t="n">
        <v>169794</v>
      </c>
      <c r="U333" s="14" t="n">
        <v>96230</v>
      </c>
      <c r="V333" s="14" t="n">
        <v>124590</v>
      </c>
      <c r="W333" s="14" t="n">
        <f aca="false">S333+T333+U333+V333</f>
        <v>2542355</v>
      </c>
      <c r="X333" s="15" t="n">
        <f aca="false">IF(P333=0,0,S333/P333)</f>
        <v>6.056669894277</v>
      </c>
      <c r="Y333" s="15" t="n">
        <f aca="false">IF(J333=0,0,W333/J333)</f>
        <v>0.882611373334833</v>
      </c>
      <c r="Z333" s="14" t="n">
        <v>393551</v>
      </c>
      <c r="AA333" s="15" t="n">
        <f aca="false">IF(L333=0,0,Z333/L333)</f>
        <v>0.423179033685417</v>
      </c>
      <c r="AB333" s="12" t="n">
        <v>235411605</v>
      </c>
      <c r="AC333" s="16" t="n">
        <v>12.3</v>
      </c>
      <c r="AD333" s="16" t="n">
        <v>22.3</v>
      </c>
      <c r="AE333" s="13" t="n">
        <v>0.41</v>
      </c>
      <c r="AF333" s="13" t="n">
        <v>0.589</v>
      </c>
      <c r="AG333" s="13" t="n">
        <v>0.352</v>
      </c>
      <c r="AH333" s="13" t="n">
        <v>0.206</v>
      </c>
      <c r="AI333" s="17" t="n">
        <v>4.69</v>
      </c>
    </row>
    <row r="334" customFormat="false" ht="15" hidden="false" customHeight="false" outlineLevel="0" collapsed="false">
      <c r="A334" s="10" t="n">
        <v>45474</v>
      </c>
      <c r="B334" s="11" t="n">
        <f aca="false">YEAR(A334)</f>
        <v>2024</v>
      </c>
      <c r="C334" s="11" t="str">
        <f aca="false">"Q"&amp;ROUNDUP(MONTH(A334)/3,0)</f>
        <v>Q3</v>
      </c>
      <c r="D334" s="11" t="str">
        <f aca="false">B334&amp;"-"&amp;C334</f>
        <v>2024-Q3</v>
      </c>
      <c r="E334" s="11" t="n">
        <f aca="false">MONTH(A334)</f>
        <v>7</v>
      </c>
      <c r="F334" s="11" t="str">
        <f aca="false">TEXT(A334,"mmm")</f>
        <v>Jul</v>
      </c>
      <c r="G334" s="11" t="s">
        <v>207</v>
      </c>
      <c r="H334" s="11" t="s">
        <v>205</v>
      </c>
      <c r="I334" s="12" t="n">
        <v>3093825</v>
      </c>
      <c r="J334" s="12" t="n">
        <v>893804</v>
      </c>
      <c r="K334" s="13" t="n">
        <f aca="false">IF(I334=0,0,J334/I334)</f>
        <v>0.288899339813984</v>
      </c>
      <c r="L334" s="12" t="n">
        <v>295265</v>
      </c>
      <c r="M334" s="12" t="n">
        <v>86380</v>
      </c>
      <c r="N334" s="12" t="n">
        <v>9917</v>
      </c>
      <c r="O334" s="12" t="n">
        <v>1580</v>
      </c>
      <c r="P334" s="12" t="n">
        <f aca="false">M334+N334+O334</f>
        <v>97877</v>
      </c>
      <c r="Q334" s="13" t="n">
        <f aca="false">IF(I334=0,0,P334/I334)</f>
        <v>0.0316362431617819</v>
      </c>
      <c r="R334" s="13" t="n">
        <v>0.0456</v>
      </c>
      <c r="S334" s="14" t="n">
        <v>645447</v>
      </c>
      <c r="T334" s="14" t="n">
        <v>50728</v>
      </c>
      <c r="U334" s="14" t="n">
        <v>31294</v>
      </c>
      <c r="V334" s="14" t="n">
        <v>45256</v>
      </c>
      <c r="W334" s="14" t="n">
        <f aca="false">S334+T334+U334+V334</f>
        <v>772725</v>
      </c>
      <c r="X334" s="15" t="n">
        <f aca="false">IF(P334=0,0,S334/P334)</f>
        <v>6.59447061107308</v>
      </c>
      <c r="Y334" s="15" t="n">
        <f aca="false">IF(J334=0,0,W334/J334)</f>
        <v>0.864535177734716</v>
      </c>
      <c r="Z334" s="14" t="n">
        <v>121363</v>
      </c>
      <c r="AA334" s="15" t="n">
        <f aca="false">IF(L334=0,0,Z334/L334)</f>
        <v>0.411030768970247</v>
      </c>
      <c r="AB334" s="12" t="n">
        <v>68979500</v>
      </c>
      <c r="AC334" s="16" t="n">
        <v>11.2</v>
      </c>
      <c r="AD334" s="16" t="n">
        <v>23.5</v>
      </c>
      <c r="AE334" s="13" t="n">
        <v>0.413</v>
      </c>
      <c r="AF334" s="13" t="n">
        <v>0.571</v>
      </c>
      <c r="AG334" s="13" t="n">
        <v>0.367</v>
      </c>
      <c r="AH334" s="13" t="n">
        <v>0.204</v>
      </c>
      <c r="AI334" s="17"/>
    </row>
    <row r="335" customFormat="false" ht="15" hidden="false" customHeight="false" outlineLevel="0" collapsed="false">
      <c r="A335" s="10" t="n">
        <v>45474</v>
      </c>
      <c r="B335" s="11" t="n">
        <f aca="false">YEAR(A335)</f>
        <v>2024</v>
      </c>
      <c r="C335" s="11" t="str">
        <f aca="false">"Q"&amp;ROUNDUP(MONTH(A335)/3,0)</f>
        <v>Q3</v>
      </c>
      <c r="D335" s="11" t="str">
        <f aca="false">B335&amp;"-"&amp;C335</f>
        <v>2024-Q3</v>
      </c>
      <c r="E335" s="11" t="n">
        <f aca="false">MONTH(A335)</f>
        <v>7</v>
      </c>
      <c r="F335" s="11" t="str">
        <f aca="false">TEXT(A335,"mmm")</f>
        <v>Jul</v>
      </c>
      <c r="G335" s="11" t="s">
        <v>208</v>
      </c>
      <c r="H335" s="11" t="s">
        <v>203</v>
      </c>
      <c r="I335" s="12" t="n">
        <v>5765589</v>
      </c>
      <c r="J335" s="12" t="n">
        <v>2005669</v>
      </c>
      <c r="K335" s="13" t="n">
        <f aca="false">IF(I335=0,0,J335/I335)</f>
        <v>0.347868882086462</v>
      </c>
      <c r="L335" s="12" t="n">
        <v>805391</v>
      </c>
      <c r="M335" s="12" t="n">
        <v>275785</v>
      </c>
      <c r="N335" s="12" t="n">
        <v>32626</v>
      </c>
      <c r="O335" s="12" t="n">
        <v>7278</v>
      </c>
      <c r="P335" s="12" t="n">
        <f aca="false">M335+N335+O335</f>
        <v>315689</v>
      </c>
      <c r="Q335" s="13" t="n">
        <f aca="false">IF(I335=0,0,P335/I335)</f>
        <v>0.054753989575046</v>
      </c>
      <c r="R335" s="13" t="n">
        <v>0.0438</v>
      </c>
      <c r="S335" s="14" t="n">
        <v>1901121</v>
      </c>
      <c r="T335" s="14" t="n">
        <v>145894</v>
      </c>
      <c r="U335" s="14" t="n">
        <v>78029</v>
      </c>
      <c r="V335" s="14" t="n">
        <v>120960</v>
      </c>
      <c r="W335" s="14" t="n">
        <f aca="false">S335+T335+U335+V335</f>
        <v>2246004</v>
      </c>
      <c r="X335" s="15" t="n">
        <f aca="false">IF(P335=0,0,S335/P335)</f>
        <v>6.02213254183706</v>
      </c>
      <c r="Y335" s="15" t="n">
        <f aca="false">IF(J335=0,0,W335/J335)</f>
        <v>1.11982784796494</v>
      </c>
      <c r="Z335" s="14" t="n">
        <v>377219</v>
      </c>
      <c r="AA335" s="15" t="n">
        <f aca="false">IF(L335=0,0,Z335/L335)</f>
        <v>0.468367538251607</v>
      </c>
      <c r="AB335" s="12" t="n">
        <v>161812233</v>
      </c>
      <c r="AC335" s="16" t="n">
        <v>12.9</v>
      </c>
      <c r="AD335" s="16" t="n">
        <v>23.5</v>
      </c>
      <c r="AE335" s="13" t="n">
        <v>0.41</v>
      </c>
      <c r="AF335" s="13" t="n">
        <v>0.588</v>
      </c>
      <c r="AG335" s="13" t="n">
        <v>0.341</v>
      </c>
      <c r="AH335" s="13" t="n">
        <v>0.211</v>
      </c>
      <c r="AI335" s="17" t="n">
        <v>4.72</v>
      </c>
    </row>
    <row r="336" customFormat="false" ht="15" hidden="false" customHeight="false" outlineLevel="0" collapsed="false">
      <c r="A336" s="10" t="n">
        <v>45474</v>
      </c>
      <c r="B336" s="11" t="n">
        <f aca="false">YEAR(A336)</f>
        <v>2024</v>
      </c>
      <c r="C336" s="11" t="str">
        <f aca="false">"Q"&amp;ROUNDUP(MONTH(A336)/3,0)</f>
        <v>Q3</v>
      </c>
      <c r="D336" s="11" t="str">
        <f aca="false">B336&amp;"-"&amp;C336</f>
        <v>2024-Q3</v>
      </c>
      <c r="E336" s="11" t="n">
        <f aca="false">MONTH(A336)</f>
        <v>7</v>
      </c>
      <c r="F336" s="11" t="str">
        <f aca="false">TEXT(A336,"mmm")</f>
        <v>Jul</v>
      </c>
      <c r="G336" s="11" t="s">
        <v>208</v>
      </c>
      <c r="H336" s="11" t="s">
        <v>204</v>
      </c>
      <c r="I336" s="12" t="n">
        <v>9293070</v>
      </c>
      <c r="J336" s="12" t="n">
        <v>2843545</v>
      </c>
      <c r="K336" s="13" t="n">
        <f aca="false">IF(I336=0,0,J336/I336)</f>
        <v>0.305985535458142</v>
      </c>
      <c r="L336" s="12" t="n">
        <v>893359</v>
      </c>
      <c r="M336" s="12" t="n">
        <v>154017</v>
      </c>
      <c r="N336" s="12" t="n">
        <v>17312</v>
      </c>
      <c r="O336" s="12" t="n">
        <v>3015</v>
      </c>
      <c r="P336" s="12" t="n">
        <f aca="false">M336+N336+O336</f>
        <v>174344</v>
      </c>
      <c r="Q336" s="13" t="n">
        <f aca="false">IF(I336=0,0,P336/I336)</f>
        <v>0.0187606463741261</v>
      </c>
      <c r="R336" s="13" t="n">
        <v>0.0435</v>
      </c>
      <c r="S336" s="14" t="n">
        <v>1010215</v>
      </c>
      <c r="T336" s="14" t="n">
        <v>89254</v>
      </c>
      <c r="U336" s="14" t="n">
        <v>47835</v>
      </c>
      <c r="V336" s="14" t="n">
        <v>69597</v>
      </c>
      <c r="W336" s="14" t="n">
        <f aca="false">S336+T336+U336+V336</f>
        <v>1216901</v>
      </c>
      <c r="X336" s="15" t="n">
        <f aca="false">IF(P336=0,0,S336/P336)</f>
        <v>5.79437778185656</v>
      </c>
      <c r="Y336" s="15" t="n">
        <f aca="false">IF(J336=0,0,W336/J336)</f>
        <v>0.42795208094122</v>
      </c>
      <c r="Z336" s="14" t="n">
        <v>213468</v>
      </c>
      <c r="AA336" s="15" t="n">
        <f aca="false">IF(L336=0,0,Z336/L336)</f>
        <v>0.238949851067712</v>
      </c>
      <c r="AB336" s="12" t="n">
        <v>225328337</v>
      </c>
      <c r="AC336" s="16" t="n">
        <v>12.4</v>
      </c>
      <c r="AD336" s="16" t="n">
        <v>22</v>
      </c>
      <c r="AE336" s="13" t="n">
        <v>0.428</v>
      </c>
      <c r="AF336" s="13" t="n">
        <v>0.574</v>
      </c>
      <c r="AG336" s="13" t="n">
        <v>0.353</v>
      </c>
      <c r="AH336" s="13" t="n">
        <v>0.21</v>
      </c>
      <c r="AI336" s="17" t="n">
        <v>4.71</v>
      </c>
    </row>
    <row r="337" customFormat="false" ht="15" hidden="false" customHeight="false" outlineLevel="0" collapsed="false">
      <c r="A337" s="10" t="n">
        <v>45474</v>
      </c>
      <c r="B337" s="11" t="n">
        <f aca="false">YEAR(A337)</f>
        <v>2024</v>
      </c>
      <c r="C337" s="11" t="str">
        <f aca="false">"Q"&amp;ROUNDUP(MONTH(A337)/3,0)</f>
        <v>Q3</v>
      </c>
      <c r="D337" s="11" t="str">
        <f aca="false">B337&amp;"-"&amp;C337</f>
        <v>2024-Q3</v>
      </c>
      <c r="E337" s="11" t="n">
        <f aca="false">MONTH(A337)</f>
        <v>7</v>
      </c>
      <c r="F337" s="11" t="str">
        <f aca="false">TEXT(A337,"mmm")</f>
        <v>Jul</v>
      </c>
      <c r="G337" s="11" t="s">
        <v>208</v>
      </c>
      <c r="H337" s="11" t="s">
        <v>205</v>
      </c>
      <c r="I337" s="12" t="n">
        <v>2835124</v>
      </c>
      <c r="J337" s="12" t="n">
        <v>797686</v>
      </c>
      <c r="K337" s="13" t="n">
        <f aca="false">IF(I337=0,0,J337/I337)</f>
        <v>0.281358416774716</v>
      </c>
      <c r="L337" s="12" t="n">
        <v>239427</v>
      </c>
      <c r="M337" s="12" t="n">
        <v>44309</v>
      </c>
      <c r="N337" s="12" t="n">
        <v>5034</v>
      </c>
      <c r="O337" s="12" t="n">
        <v>575</v>
      </c>
      <c r="P337" s="12" t="n">
        <f aca="false">M337+N337+O337</f>
        <v>49918</v>
      </c>
      <c r="Q337" s="13" t="n">
        <f aca="false">IF(I337=0,0,P337/I337)</f>
        <v>0.0176069900293603</v>
      </c>
      <c r="R337" s="13" t="n">
        <v>0.0439</v>
      </c>
      <c r="S337" s="14" t="n">
        <v>307358</v>
      </c>
      <c r="T337" s="14" t="n">
        <v>24340</v>
      </c>
      <c r="U337" s="14" t="n">
        <v>14787</v>
      </c>
      <c r="V337" s="14" t="n">
        <v>20380</v>
      </c>
      <c r="W337" s="14" t="n">
        <f aca="false">S337+T337+U337+V337</f>
        <v>366865</v>
      </c>
      <c r="X337" s="15" t="n">
        <f aca="false">IF(P337=0,0,S337/P337)</f>
        <v>6.15725790296086</v>
      </c>
      <c r="Y337" s="15" t="n">
        <f aca="false">IF(J337=0,0,W337/J337)</f>
        <v>0.459911544141429</v>
      </c>
      <c r="Z337" s="14" t="n">
        <v>56346</v>
      </c>
      <c r="AA337" s="15" t="n">
        <f aca="false">IF(L337=0,0,Z337/L337)</f>
        <v>0.235336866769412</v>
      </c>
      <c r="AB337" s="12" t="n">
        <v>63750201</v>
      </c>
      <c r="AC337" s="16" t="n">
        <v>11</v>
      </c>
      <c r="AD337" s="16" t="n">
        <v>23.5</v>
      </c>
      <c r="AE337" s="13" t="n">
        <v>0.408</v>
      </c>
      <c r="AF337" s="13" t="n">
        <v>0.566</v>
      </c>
      <c r="AG337" s="13" t="n">
        <v>0.358</v>
      </c>
      <c r="AH337" s="13" t="n">
        <v>0.205</v>
      </c>
      <c r="AI337" s="17"/>
    </row>
    <row r="338" customFormat="false" ht="15" hidden="false" customHeight="false" outlineLevel="0" collapsed="false">
      <c r="A338" s="10" t="n">
        <v>45474</v>
      </c>
      <c r="B338" s="11" t="n">
        <f aca="false">YEAR(A338)</f>
        <v>2024</v>
      </c>
      <c r="C338" s="11" t="str">
        <f aca="false">"Q"&amp;ROUNDUP(MONTH(A338)/3,0)</f>
        <v>Q3</v>
      </c>
      <c r="D338" s="11" t="str">
        <f aca="false">B338&amp;"-"&amp;C338</f>
        <v>2024-Q3</v>
      </c>
      <c r="E338" s="11" t="n">
        <f aca="false">MONTH(A338)</f>
        <v>7</v>
      </c>
      <c r="F338" s="11" t="str">
        <f aca="false">TEXT(A338,"mmm")</f>
        <v>Jul</v>
      </c>
      <c r="G338" s="11" t="s">
        <v>209</v>
      </c>
      <c r="H338" s="11" t="s">
        <v>203</v>
      </c>
      <c r="I338" s="12" t="n">
        <v>3944674</v>
      </c>
      <c r="J338" s="12" t="n">
        <v>1315244</v>
      </c>
      <c r="K338" s="13" t="n">
        <f aca="false">IF(I338=0,0,J338/I338)</f>
        <v>0.33342273658102</v>
      </c>
      <c r="L338" s="12" t="n">
        <v>391914</v>
      </c>
      <c r="M338" s="12" t="n">
        <v>111594</v>
      </c>
      <c r="N338" s="12" t="n">
        <v>11937</v>
      </c>
      <c r="O338" s="12" t="n">
        <v>2321</v>
      </c>
      <c r="P338" s="12" t="n">
        <f aca="false">M338+N338+O338</f>
        <v>125852</v>
      </c>
      <c r="Q338" s="13" t="n">
        <f aca="false">IF(I338=0,0,P338/I338)</f>
        <v>0.0319042841056067</v>
      </c>
      <c r="R338" s="13" t="n">
        <v>0.0439</v>
      </c>
      <c r="S338" s="14" t="n">
        <v>664557</v>
      </c>
      <c r="T338" s="14" t="n">
        <v>55230</v>
      </c>
      <c r="U338" s="14" t="n">
        <v>29754</v>
      </c>
      <c r="V338" s="14" t="n">
        <v>46648</v>
      </c>
      <c r="W338" s="14" t="n">
        <f aca="false">S338+T338+U338+V338</f>
        <v>796189</v>
      </c>
      <c r="X338" s="15" t="n">
        <f aca="false">IF(P338=0,0,S338/P338)</f>
        <v>5.28046435495662</v>
      </c>
      <c r="Y338" s="15" t="n">
        <f aca="false">IF(J338=0,0,W338/J338)</f>
        <v>0.605354595801235</v>
      </c>
      <c r="Z338" s="14" t="n">
        <v>131023</v>
      </c>
      <c r="AA338" s="15" t="n">
        <f aca="false">IF(L338=0,0,Z338/L338)</f>
        <v>0.334315691707875</v>
      </c>
      <c r="AB338" s="12" t="n">
        <v>108168820</v>
      </c>
      <c r="AC338" s="16" t="n">
        <v>13</v>
      </c>
      <c r="AD338" s="16" t="n">
        <v>23.9</v>
      </c>
      <c r="AE338" s="13" t="n">
        <v>0.411</v>
      </c>
      <c r="AF338" s="13" t="n">
        <v>0.582</v>
      </c>
      <c r="AG338" s="13" t="n">
        <v>0.339</v>
      </c>
      <c r="AH338" s="13" t="n">
        <v>0.205</v>
      </c>
      <c r="AI338" s="17" t="n">
        <v>4.71</v>
      </c>
    </row>
    <row r="339" customFormat="false" ht="15" hidden="false" customHeight="false" outlineLevel="0" collapsed="false">
      <c r="A339" s="10" t="n">
        <v>45474</v>
      </c>
      <c r="B339" s="11" t="n">
        <f aca="false">YEAR(A339)</f>
        <v>2024</v>
      </c>
      <c r="C339" s="11" t="str">
        <f aca="false">"Q"&amp;ROUNDUP(MONTH(A339)/3,0)</f>
        <v>Q3</v>
      </c>
      <c r="D339" s="11" t="str">
        <f aca="false">B339&amp;"-"&amp;C339</f>
        <v>2024-Q3</v>
      </c>
      <c r="E339" s="11" t="n">
        <f aca="false">MONTH(A339)</f>
        <v>7</v>
      </c>
      <c r="F339" s="11" t="str">
        <f aca="false">TEXT(A339,"mmm")</f>
        <v>Jul</v>
      </c>
      <c r="G339" s="11" t="s">
        <v>209</v>
      </c>
      <c r="H339" s="11" t="s">
        <v>204</v>
      </c>
      <c r="I339" s="12" t="n">
        <v>4883275</v>
      </c>
      <c r="J339" s="12" t="n">
        <v>1493772</v>
      </c>
      <c r="K339" s="13" t="n">
        <f aca="false">IF(I339=0,0,J339/I339)</f>
        <v>0.305895531175287</v>
      </c>
      <c r="L339" s="12" t="n">
        <v>497343</v>
      </c>
      <c r="M339" s="12" t="n">
        <v>59464</v>
      </c>
      <c r="N339" s="12" t="n">
        <v>6399</v>
      </c>
      <c r="O339" s="12" t="n">
        <v>924</v>
      </c>
      <c r="P339" s="12" t="n">
        <f aca="false">M339+N339+O339</f>
        <v>66787</v>
      </c>
      <c r="Q339" s="13" t="n">
        <f aca="false">IF(I339=0,0,P339/I339)</f>
        <v>0.0136766821446673</v>
      </c>
      <c r="R339" s="13" t="n">
        <v>0.0465</v>
      </c>
      <c r="S339" s="14" t="n">
        <v>418543</v>
      </c>
      <c r="T339" s="14" t="n">
        <v>32447</v>
      </c>
      <c r="U339" s="14" t="n">
        <v>19118</v>
      </c>
      <c r="V339" s="14" t="n">
        <v>27638</v>
      </c>
      <c r="W339" s="14" t="n">
        <f aca="false">S339+T339+U339+V339</f>
        <v>497746</v>
      </c>
      <c r="X339" s="15" t="n">
        <f aca="false">IF(P339=0,0,S339/P339)</f>
        <v>6.26683336577478</v>
      </c>
      <c r="Y339" s="15" t="n">
        <f aca="false">IF(J339=0,0,W339/J339)</f>
        <v>0.33321417190843</v>
      </c>
      <c r="Z339" s="14" t="n">
        <v>80230</v>
      </c>
      <c r="AA339" s="15" t="n">
        <f aca="false">IF(L339=0,0,Z339/L339)</f>
        <v>0.161317239812363</v>
      </c>
      <c r="AB339" s="12" t="n">
        <v>120062342</v>
      </c>
      <c r="AC339" s="16" t="n">
        <v>12.5</v>
      </c>
      <c r="AD339" s="16" t="n">
        <v>22.1</v>
      </c>
      <c r="AE339" s="13" t="n">
        <v>0.397</v>
      </c>
      <c r="AF339" s="13" t="n">
        <v>0.577</v>
      </c>
      <c r="AG339" s="13" t="n">
        <v>0.363</v>
      </c>
      <c r="AH339" s="13" t="n">
        <v>0.209</v>
      </c>
      <c r="AI339" s="17" t="n">
        <v>4.65</v>
      </c>
    </row>
    <row r="340" customFormat="false" ht="15" hidden="false" customHeight="false" outlineLevel="0" collapsed="false">
      <c r="A340" s="10" t="n">
        <v>45474</v>
      </c>
      <c r="B340" s="11" t="n">
        <f aca="false">YEAR(A340)</f>
        <v>2024</v>
      </c>
      <c r="C340" s="11" t="str">
        <f aca="false">"Q"&amp;ROUNDUP(MONTH(A340)/3,0)</f>
        <v>Q3</v>
      </c>
      <c r="D340" s="11" t="str">
        <f aca="false">B340&amp;"-"&amp;C340</f>
        <v>2024-Q3</v>
      </c>
      <c r="E340" s="11" t="n">
        <f aca="false">MONTH(A340)</f>
        <v>7</v>
      </c>
      <c r="F340" s="11" t="str">
        <f aca="false">TEXT(A340,"mmm")</f>
        <v>Jul</v>
      </c>
      <c r="G340" s="11" t="s">
        <v>209</v>
      </c>
      <c r="H340" s="11" t="s">
        <v>205</v>
      </c>
      <c r="I340" s="12" t="n">
        <v>1579045</v>
      </c>
      <c r="J340" s="12" t="n">
        <v>442234</v>
      </c>
      <c r="K340" s="13" t="n">
        <f aca="false">IF(I340=0,0,J340/I340)</f>
        <v>0.280064216029309</v>
      </c>
      <c r="L340" s="12" t="n">
        <v>144364</v>
      </c>
      <c r="M340" s="12" t="n">
        <v>16786</v>
      </c>
      <c r="N340" s="12" t="n">
        <v>1774</v>
      </c>
      <c r="O340" s="12" t="n">
        <v>173</v>
      </c>
      <c r="P340" s="12" t="n">
        <f aca="false">M340+N340+O340</f>
        <v>18733</v>
      </c>
      <c r="Q340" s="13" t="n">
        <f aca="false">IF(I340=0,0,P340/I340)</f>
        <v>0.0118634997735973</v>
      </c>
      <c r="R340" s="13" t="n">
        <v>0.0462</v>
      </c>
      <c r="S340" s="14" t="n">
        <v>108449</v>
      </c>
      <c r="T340" s="14" t="n">
        <v>7703</v>
      </c>
      <c r="U340" s="14" t="n">
        <v>5227</v>
      </c>
      <c r="V340" s="14" t="n">
        <v>6887</v>
      </c>
      <c r="W340" s="14" t="n">
        <f aca="false">S340+T340+U340+V340</f>
        <v>128266</v>
      </c>
      <c r="X340" s="15" t="n">
        <f aca="false">IF(P340=0,0,S340/P340)</f>
        <v>5.78919553728714</v>
      </c>
      <c r="Y340" s="15" t="n">
        <f aca="false">IF(J340=0,0,W340/J340)</f>
        <v>0.290041019008036</v>
      </c>
      <c r="Z340" s="14" t="n">
        <v>21344</v>
      </c>
      <c r="AA340" s="15" t="n">
        <f aca="false">IF(L340=0,0,Z340/L340)</f>
        <v>0.147848494084398</v>
      </c>
      <c r="AB340" s="12" t="n">
        <v>36071013</v>
      </c>
      <c r="AC340" s="16" t="n">
        <v>11</v>
      </c>
      <c r="AD340" s="16" t="n">
        <v>22.5</v>
      </c>
      <c r="AE340" s="13" t="n">
        <v>0.417</v>
      </c>
      <c r="AF340" s="13" t="n">
        <v>0.58</v>
      </c>
      <c r="AG340" s="13" t="n">
        <v>0.354</v>
      </c>
      <c r="AH340" s="13" t="n">
        <v>0.199</v>
      </c>
      <c r="AI340" s="17"/>
    </row>
    <row r="341" customFormat="false" ht="15" hidden="false" customHeight="false" outlineLevel="0" collapsed="false">
      <c r="A341" s="10" t="n">
        <v>45474</v>
      </c>
      <c r="B341" s="11" t="n">
        <f aca="false">YEAR(A341)</f>
        <v>2024</v>
      </c>
      <c r="C341" s="11" t="str">
        <f aca="false">"Q"&amp;ROUNDUP(MONTH(A341)/3,0)</f>
        <v>Q3</v>
      </c>
      <c r="D341" s="11" t="str">
        <f aca="false">B341&amp;"-"&amp;C341</f>
        <v>2024-Q3</v>
      </c>
      <c r="E341" s="11" t="n">
        <f aca="false">MONTH(A341)</f>
        <v>7</v>
      </c>
      <c r="F341" s="11" t="str">
        <f aca="false">TEXT(A341,"mmm")</f>
        <v>Jul</v>
      </c>
      <c r="G341" s="11" t="s">
        <v>210</v>
      </c>
      <c r="H341" s="11" t="s">
        <v>203</v>
      </c>
      <c r="I341" s="12" t="n">
        <v>6423162</v>
      </c>
      <c r="J341" s="12" t="n">
        <v>2045717</v>
      </c>
      <c r="K341" s="13" t="n">
        <f aca="false">IF(I341=0,0,J341/I341)</f>
        <v>0.318490643704767</v>
      </c>
      <c r="L341" s="12" t="n">
        <v>718445</v>
      </c>
      <c r="M341" s="12" t="n">
        <v>212305</v>
      </c>
      <c r="N341" s="12" t="n">
        <v>22242</v>
      </c>
      <c r="O341" s="12" t="n">
        <v>4407</v>
      </c>
      <c r="P341" s="12" t="n">
        <f aca="false">M341+N341+O341</f>
        <v>238954</v>
      </c>
      <c r="Q341" s="13" t="n">
        <f aca="false">IF(I341=0,0,P341/I341)</f>
        <v>0.0372019264032263</v>
      </c>
      <c r="R341" s="13" t="n">
        <v>0.0422</v>
      </c>
      <c r="S341" s="14" t="n">
        <v>1508759</v>
      </c>
      <c r="T341" s="14" t="n">
        <v>126452</v>
      </c>
      <c r="U341" s="14" t="n">
        <v>68646</v>
      </c>
      <c r="V341" s="14" t="n">
        <v>96628</v>
      </c>
      <c r="W341" s="14" t="n">
        <f aca="false">S341+T341+U341+V341</f>
        <v>1800485</v>
      </c>
      <c r="X341" s="15" t="n">
        <f aca="false">IF(P341=0,0,S341/P341)</f>
        <v>6.31401441281586</v>
      </c>
      <c r="Y341" s="15" t="n">
        <f aca="false">IF(J341=0,0,W341/J341)</f>
        <v>0.88012418139948</v>
      </c>
      <c r="Z341" s="14" t="n">
        <v>351846</v>
      </c>
      <c r="AA341" s="15" t="n">
        <f aca="false">IF(L341=0,0,Z341/L341)</f>
        <v>0.489732686566125</v>
      </c>
      <c r="AB341" s="12" t="n">
        <v>160506483</v>
      </c>
      <c r="AC341" s="16" t="n">
        <v>12.9</v>
      </c>
      <c r="AD341" s="16" t="n">
        <v>22.2</v>
      </c>
      <c r="AE341" s="13" t="n">
        <v>0.416</v>
      </c>
      <c r="AF341" s="13" t="n">
        <v>0.59</v>
      </c>
      <c r="AG341" s="13" t="n">
        <v>0.351</v>
      </c>
      <c r="AH341" s="13" t="n">
        <v>0.207</v>
      </c>
      <c r="AI341" s="17" t="n">
        <v>4.74</v>
      </c>
    </row>
    <row r="342" customFormat="false" ht="15" hidden="false" customHeight="false" outlineLevel="0" collapsed="false">
      <c r="A342" s="10" t="n">
        <v>45474</v>
      </c>
      <c r="B342" s="11" t="n">
        <f aca="false">YEAR(A342)</f>
        <v>2024</v>
      </c>
      <c r="C342" s="11" t="str">
        <f aca="false">"Q"&amp;ROUNDUP(MONTH(A342)/3,0)</f>
        <v>Q3</v>
      </c>
      <c r="D342" s="11" t="str">
        <f aca="false">B342&amp;"-"&amp;C342</f>
        <v>2024-Q3</v>
      </c>
      <c r="E342" s="11" t="n">
        <f aca="false">MONTH(A342)</f>
        <v>7</v>
      </c>
      <c r="F342" s="11" t="str">
        <f aca="false">TEXT(A342,"mmm")</f>
        <v>Jul</v>
      </c>
      <c r="G342" s="11" t="s">
        <v>210</v>
      </c>
      <c r="H342" s="11" t="s">
        <v>204</v>
      </c>
      <c r="I342" s="12" t="n">
        <v>7846931</v>
      </c>
      <c r="J342" s="12" t="n">
        <v>2236833</v>
      </c>
      <c r="K342" s="13" t="n">
        <f aca="false">IF(I342=0,0,J342/I342)</f>
        <v>0.285058324075999</v>
      </c>
      <c r="L342" s="12" t="n">
        <v>790087</v>
      </c>
      <c r="M342" s="12" t="n">
        <v>123277</v>
      </c>
      <c r="N342" s="12" t="n">
        <v>13980</v>
      </c>
      <c r="O342" s="12" t="n">
        <v>1925</v>
      </c>
      <c r="P342" s="12" t="n">
        <f aca="false">M342+N342+O342</f>
        <v>139182</v>
      </c>
      <c r="Q342" s="13" t="n">
        <f aca="false">IF(I342=0,0,P342/I342)</f>
        <v>0.0177371255080489</v>
      </c>
      <c r="R342" s="13" t="n">
        <v>0.043</v>
      </c>
      <c r="S342" s="14" t="n">
        <v>856345</v>
      </c>
      <c r="T342" s="14" t="n">
        <v>71492</v>
      </c>
      <c r="U342" s="14" t="n">
        <v>42153</v>
      </c>
      <c r="V342" s="14" t="n">
        <v>54128</v>
      </c>
      <c r="W342" s="14" t="n">
        <f aca="false">S342+T342+U342+V342</f>
        <v>1024118</v>
      </c>
      <c r="X342" s="15" t="n">
        <f aca="false">IF(P342=0,0,S342/P342)</f>
        <v>6.15269934330589</v>
      </c>
      <c r="Y342" s="15" t="n">
        <f aca="false">IF(J342=0,0,W342/J342)</f>
        <v>0.457842851925021</v>
      </c>
      <c r="Z342" s="14" t="n">
        <v>164240</v>
      </c>
      <c r="AA342" s="15" t="n">
        <f aca="false">IF(L342=0,0,Z342/L342)</f>
        <v>0.20787584152125</v>
      </c>
      <c r="AB342" s="12" t="n">
        <v>176816249</v>
      </c>
      <c r="AC342" s="16" t="n">
        <v>12.3</v>
      </c>
      <c r="AD342" s="16" t="n">
        <v>23.6</v>
      </c>
      <c r="AE342" s="13" t="n">
        <v>0.411</v>
      </c>
      <c r="AF342" s="13" t="n">
        <v>0.593</v>
      </c>
      <c r="AG342" s="13" t="n">
        <v>0.359</v>
      </c>
      <c r="AH342" s="13" t="n">
        <v>0.21</v>
      </c>
      <c r="AI342" s="17" t="n">
        <v>4.65</v>
      </c>
    </row>
    <row r="343" customFormat="false" ht="15" hidden="false" customHeight="false" outlineLevel="0" collapsed="false">
      <c r="A343" s="10" t="n">
        <v>45474</v>
      </c>
      <c r="B343" s="11" t="n">
        <f aca="false">YEAR(A343)</f>
        <v>2024</v>
      </c>
      <c r="C343" s="11" t="str">
        <f aca="false">"Q"&amp;ROUNDUP(MONTH(A343)/3,0)</f>
        <v>Q3</v>
      </c>
      <c r="D343" s="11" t="str">
        <f aca="false">B343&amp;"-"&amp;C343</f>
        <v>2024-Q3</v>
      </c>
      <c r="E343" s="11" t="n">
        <f aca="false">MONTH(A343)</f>
        <v>7</v>
      </c>
      <c r="F343" s="11" t="str">
        <f aca="false">TEXT(A343,"mmm")</f>
        <v>Jul</v>
      </c>
      <c r="G343" s="11" t="s">
        <v>210</v>
      </c>
      <c r="H343" s="11" t="s">
        <v>205</v>
      </c>
      <c r="I343" s="12" t="n">
        <v>2830497</v>
      </c>
      <c r="J343" s="12" t="n">
        <v>761109</v>
      </c>
      <c r="K343" s="13" t="n">
        <f aca="false">IF(I343=0,0,J343/I343)</f>
        <v>0.268895886482127</v>
      </c>
      <c r="L343" s="12" t="n">
        <v>261324</v>
      </c>
      <c r="M343" s="12" t="n">
        <v>34132</v>
      </c>
      <c r="N343" s="12" t="n">
        <v>3536</v>
      </c>
      <c r="O343" s="12" t="n">
        <v>351</v>
      </c>
      <c r="P343" s="12" t="n">
        <f aca="false">M343+N343+O343</f>
        <v>38019</v>
      </c>
      <c r="Q343" s="13" t="n">
        <f aca="false">IF(I343=0,0,P343/I343)</f>
        <v>0.0134319167269918</v>
      </c>
      <c r="R343" s="13" t="n">
        <v>0.0426</v>
      </c>
      <c r="S343" s="14" t="n">
        <v>224605</v>
      </c>
      <c r="T343" s="14" t="n">
        <v>18326</v>
      </c>
      <c r="U343" s="14" t="n">
        <v>9679</v>
      </c>
      <c r="V343" s="14" t="n">
        <v>14590</v>
      </c>
      <c r="W343" s="14" t="n">
        <f aca="false">S343+T343+U343+V343</f>
        <v>267200</v>
      </c>
      <c r="X343" s="15" t="n">
        <f aca="false">IF(P343=0,0,S343/P343)</f>
        <v>5.90770404271548</v>
      </c>
      <c r="Y343" s="15" t="n">
        <f aca="false">IF(J343=0,0,W343/J343)</f>
        <v>0.351066667192216</v>
      </c>
      <c r="Z343" s="14" t="n">
        <v>44709</v>
      </c>
      <c r="AA343" s="15" t="n">
        <f aca="false">IF(L343=0,0,Z343/L343)</f>
        <v>0.171086467373835</v>
      </c>
      <c r="AB343" s="12" t="n">
        <v>61226194</v>
      </c>
      <c r="AC343" s="16" t="n">
        <v>11.4</v>
      </c>
      <c r="AD343" s="16" t="n">
        <v>22.6</v>
      </c>
      <c r="AE343" s="13" t="n">
        <v>0.418</v>
      </c>
      <c r="AF343" s="13" t="n">
        <v>0.578</v>
      </c>
      <c r="AG343" s="13" t="n">
        <v>0.352</v>
      </c>
      <c r="AH343" s="13" t="n">
        <v>0.206</v>
      </c>
      <c r="AI343" s="17"/>
    </row>
    <row r="344" customFormat="false" ht="15" hidden="false" customHeight="false" outlineLevel="0" collapsed="false">
      <c r="A344" s="10" t="n">
        <v>45505</v>
      </c>
      <c r="B344" s="11" t="n">
        <f aca="false">YEAR(A344)</f>
        <v>2024</v>
      </c>
      <c r="C344" s="11" t="str">
        <f aca="false">"Q"&amp;ROUNDUP(MONTH(A344)/3,0)</f>
        <v>Q3</v>
      </c>
      <c r="D344" s="11" t="str">
        <f aca="false">B344&amp;"-"&amp;C344</f>
        <v>2024-Q3</v>
      </c>
      <c r="E344" s="11" t="n">
        <f aca="false">MONTH(A344)</f>
        <v>8</v>
      </c>
      <c r="F344" s="11" t="str">
        <f aca="false">TEXT(A344,"mmm")</f>
        <v>Aug</v>
      </c>
      <c r="G344" s="11" t="s">
        <v>202</v>
      </c>
      <c r="H344" s="11" t="s">
        <v>203</v>
      </c>
      <c r="I344" s="12" t="n">
        <v>9332703</v>
      </c>
      <c r="J344" s="12" t="n">
        <v>3117992</v>
      </c>
      <c r="K344" s="13" t="n">
        <f aca="false">IF(I344=0,0,J344/I344)</f>
        <v>0.334093134647058</v>
      </c>
      <c r="L344" s="12" t="n">
        <v>857570</v>
      </c>
      <c r="M344" s="12" t="n">
        <v>1870412</v>
      </c>
      <c r="N344" s="12" t="n">
        <v>209717</v>
      </c>
      <c r="O344" s="12" t="n">
        <v>175745</v>
      </c>
      <c r="P344" s="12" t="n">
        <f aca="false">M344+N344+O344</f>
        <v>2255874</v>
      </c>
      <c r="Q344" s="13" t="n">
        <f aca="false">IF(I344=0,0,P344/I344)</f>
        <v>0.241717110251982</v>
      </c>
      <c r="R344" s="13" t="n">
        <v>0.0408</v>
      </c>
      <c r="S344" s="14" t="n">
        <v>14574266</v>
      </c>
      <c r="T344" s="14" t="n">
        <v>1100044</v>
      </c>
      <c r="U344" s="14" t="n">
        <v>643156</v>
      </c>
      <c r="V344" s="14" t="n">
        <v>922948</v>
      </c>
      <c r="W344" s="14" t="n">
        <f aca="false">S344+T344+U344+V344</f>
        <v>17240414</v>
      </c>
      <c r="X344" s="15" t="n">
        <f aca="false">IF(P344=0,0,S344/P344)</f>
        <v>6.46058512133213</v>
      </c>
      <c r="Y344" s="15" t="n">
        <f aca="false">IF(J344=0,0,W344/J344)</f>
        <v>5.52933233953134</v>
      </c>
      <c r="Z344" s="14" t="n">
        <v>3070462</v>
      </c>
      <c r="AA344" s="15" t="n">
        <f aca="false">IF(L344=0,0,Z344/L344)</f>
        <v>3.58042142332404</v>
      </c>
      <c r="AB344" s="12" t="n">
        <v>255897798</v>
      </c>
      <c r="AC344" s="16" t="n">
        <v>13.1</v>
      </c>
      <c r="AD344" s="16" t="n">
        <v>22.4</v>
      </c>
      <c r="AE344" s="13" t="n">
        <v>0.393</v>
      </c>
      <c r="AF344" s="13" t="n">
        <v>0.599</v>
      </c>
      <c r="AG344" s="13" t="n">
        <v>0.349</v>
      </c>
      <c r="AH344" s="13" t="n">
        <v>0.205</v>
      </c>
      <c r="AI344" s="17" t="n">
        <v>4.71</v>
      </c>
    </row>
    <row r="345" customFormat="false" ht="15" hidden="false" customHeight="false" outlineLevel="0" collapsed="false">
      <c r="A345" s="10" t="n">
        <v>45505</v>
      </c>
      <c r="B345" s="11" t="n">
        <f aca="false">YEAR(A345)</f>
        <v>2024</v>
      </c>
      <c r="C345" s="11" t="str">
        <f aca="false">"Q"&amp;ROUNDUP(MONTH(A345)/3,0)</f>
        <v>Q3</v>
      </c>
      <c r="D345" s="11" t="str">
        <f aca="false">B345&amp;"-"&amp;C345</f>
        <v>2024-Q3</v>
      </c>
      <c r="E345" s="11" t="n">
        <f aca="false">MONTH(A345)</f>
        <v>8</v>
      </c>
      <c r="F345" s="11" t="str">
        <f aca="false">TEXT(A345,"mmm")</f>
        <v>Aug</v>
      </c>
      <c r="G345" s="11" t="s">
        <v>202</v>
      </c>
      <c r="H345" s="11" t="s">
        <v>204</v>
      </c>
      <c r="I345" s="12" t="n">
        <v>9768009</v>
      </c>
      <c r="J345" s="12" t="n">
        <v>3095432</v>
      </c>
      <c r="K345" s="13" t="n">
        <f aca="false">IF(I345=0,0,J345/I345)</f>
        <v>0.31689487591586</v>
      </c>
      <c r="L345" s="12" t="n">
        <v>1121830</v>
      </c>
      <c r="M345" s="12" t="n">
        <v>1034439</v>
      </c>
      <c r="N345" s="12" t="n">
        <v>123162</v>
      </c>
      <c r="O345" s="12" t="n">
        <v>71835</v>
      </c>
      <c r="P345" s="12" t="n">
        <f aca="false">M345+N345+O345</f>
        <v>1229436</v>
      </c>
      <c r="Q345" s="13" t="n">
        <f aca="false">IF(I345=0,0,P345/I345)</f>
        <v>0.125863520396019</v>
      </c>
      <c r="R345" s="13" t="n">
        <v>0.0425</v>
      </c>
      <c r="S345" s="14" t="n">
        <v>7862217</v>
      </c>
      <c r="T345" s="14" t="n">
        <v>621446</v>
      </c>
      <c r="U345" s="14" t="n">
        <v>364417</v>
      </c>
      <c r="V345" s="14" t="n">
        <v>551578</v>
      </c>
      <c r="W345" s="14" t="n">
        <f aca="false">S345+T345+U345+V345</f>
        <v>9399658</v>
      </c>
      <c r="X345" s="15" t="n">
        <f aca="false">IF(P345=0,0,S345/P345)</f>
        <v>6.39497867314769</v>
      </c>
      <c r="Y345" s="15" t="n">
        <f aca="false">IF(J345=0,0,W345/J345)</f>
        <v>3.03662235190435</v>
      </c>
      <c r="Z345" s="14" t="n">
        <v>1782748</v>
      </c>
      <c r="AA345" s="15" t="n">
        <f aca="false">IF(L345=0,0,Z345/L345)</f>
        <v>1.58914273998734</v>
      </c>
      <c r="AB345" s="12" t="n">
        <v>261907145</v>
      </c>
      <c r="AC345" s="16" t="n">
        <v>12.3</v>
      </c>
      <c r="AD345" s="16" t="n">
        <v>22.9</v>
      </c>
      <c r="AE345" s="13" t="n">
        <v>0.423</v>
      </c>
      <c r="AF345" s="13" t="n">
        <v>0.582</v>
      </c>
      <c r="AG345" s="13" t="n">
        <v>0.353</v>
      </c>
      <c r="AH345" s="13" t="n">
        <v>0.211</v>
      </c>
      <c r="AI345" s="17" t="n">
        <v>4.68</v>
      </c>
    </row>
    <row r="346" customFormat="false" ht="15" hidden="false" customHeight="false" outlineLevel="0" collapsed="false">
      <c r="A346" s="10" t="n">
        <v>45505</v>
      </c>
      <c r="B346" s="11" t="n">
        <f aca="false">YEAR(A346)</f>
        <v>2024</v>
      </c>
      <c r="C346" s="11" t="str">
        <f aca="false">"Q"&amp;ROUNDUP(MONTH(A346)/3,0)</f>
        <v>Q3</v>
      </c>
      <c r="D346" s="11" t="str">
        <f aca="false">B346&amp;"-"&amp;C346</f>
        <v>2024-Q3</v>
      </c>
      <c r="E346" s="11" t="n">
        <f aca="false">MONTH(A346)</f>
        <v>8</v>
      </c>
      <c r="F346" s="11" t="str">
        <f aca="false">TEXT(A346,"mmm")</f>
        <v>Aug</v>
      </c>
      <c r="G346" s="11" t="s">
        <v>202</v>
      </c>
      <c r="H346" s="11" t="s">
        <v>205</v>
      </c>
      <c r="I346" s="12" t="n">
        <v>3409252</v>
      </c>
      <c r="J346" s="12" t="n">
        <v>976042</v>
      </c>
      <c r="K346" s="13" t="n">
        <f aca="false">IF(I346=0,0,J346/I346)</f>
        <v>0.286292125076116</v>
      </c>
      <c r="L346" s="12" t="n">
        <v>291178</v>
      </c>
      <c r="M346" s="12" t="n">
        <v>308056</v>
      </c>
      <c r="N346" s="12" t="n">
        <v>32779</v>
      </c>
      <c r="O346" s="12" t="n">
        <v>13815</v>
      </c>
      <c r="P346" s="12" t="n">
        <f aca="false">M346+N346+O346</f>
        <v>354650</v>
      </c>
      <c r="Q346" s="13" t="n">
        <f aca="false">IF(I346=0,0,P346/I346)</f>
        <v>0.104025751103175</v>
      </c>
      <c r="R346" s="13" t="n">
        <v>0.0452</v>
      </c>
      <c r="S346" s="14" t="n">
        <v>2192060</v>
      </c>
      <c r="T346" s="14" t="n">
        <v>172853</v>
      </c>
      <c r="U346" s="14" t="n">
        <v>102992</v>
      </c>
      <c r="V346" s="14" t="n">
        <v>131518</v>
      </c>
      <c r="W346" s="14" t="n">
        <f aca="false">S346+T346+U346+V346</f>
        <v>2599423</v>
      </c>
      <c r="X346" s="15" t="n">
        <f aca="false">IF(P346=0,0,S346/P346)</f>
        <v>6.18091075708445</v>
      </c>
      <c r="Y346" s="15" t="n">
        <f aca="false">IF(J346=0,0,W346/J346)</f>
        <v>2.66322863155479</v>
      </c>
      <c r="Z346" s="14" t="n">
        <v>446269</v>
      </c>
      <c r="AA346" s="15" t="n">
        <f aca="false">IF(L346=0,0,Z346/L346)</f>
        <v>1.53263295990769</v>
      </c>
      <c r="AB346" s="12" t="n">
        <v>76747912</v>
      </c>
      <c r="AC346" s="16" t="n">
        <v>11.2</v>
      </c>
      <c r="AD346" s="16" t="n">
        <v>23.6</v>
      </c>
      <c r="AE346" s="13" t="n">
        <v>0.407</v>
      </c>
      <c r="AF346" s="13" t="n">
        <v>0.58</v>
      </c>
      <c r="AG346" s="13" t="n">
        <v>0.344</v>
      </c>
      <c r="AH346" s="13" t="n">
        <v>0.213</v>
      </c>
      <c r="AI346" s="17"/>
    </row>
    <row r="347" customFormat="false" ht="15" hidden="false" customHeight="false" outlineLevel="0" collapsed="false">
      <c r="A347" s="10" t="n">
        <v>45505</v>
      </c>
      <c r="B347" s="11" t="n">
        <f aca="false">YEAR(A347)</f>
        <v>2024</v>
      </c>
      <c r="C347" s="11" t="str">
        <f aca="false">"Q"&amp;ROUNDUP(MONTH(A347)/3,0)</f>
        <v>Q3</v>
      </c>
      <c r="D347" s="11" t="str">
        <f aca="false">B347&amp;"-"&amp;C347</f>
        <v>2024-Q3</v>
      </c>
      <c r="E347" s="11" t="n">
        <f aca="false">MONTH(A347)</f>
        <v>8</v>
      </c>
      <c r="F347" s="11" t="str">
        <f aca="false">TEXT(A347,"mmm")</f>
        <v>Aug</v>
      </c>
      <c r="G347" s="11" t="s">
        <v>206</v>
      </c>
      <c r="H347" s="11" t="s">
        <v>203</v>
      </c>
      <c r="I347" s="12" t="n">
        <v>8780122</v>
      </c>
      <c r="J347" s="12" t="n">
        <v>3214130</v>
      </c>
      <c r="K347" s="13" t="n">
        <f aca="false">IF(I347=0,0,J347/I347)</f>
        <v>0.366068945283448</v>
      </c>
      <c r="L347" s="12" t="n">
        <v>1266603</v>
      </c>
      <c r="M347" s="12" t="n">
        <v>1058057</v>
      </c>
      <c r="N347" s="12" t="n">
        <v>117676</v>
      </c>
      <c r="O347" s="12" t="n">
        <v>60178</v>
      </c>
      <c r="P347" s="12" t="n">
        <f aca="false">M347+N347+O347</f>
        <v>1235911</v>
      </c>
      <c r="Q347" s="13" t="n">
        <f aca="false">IF(I347=0,0,P347/I347)</f>
        <v>0.140762394873329</v>
      </c>
      <c r="R347" s="13" t="n">
        <v>0.0429</v>
      </c>
      <c r="S347" s="14" t="n">
        <v>8416084</v>
      </c>
      <c r="T347" s="14" t="n">
        <v>671052</v>
      </c>
      <c r="U347" s="14" t="n">
        <v>423107</v>
      </c>
      <c r="V347" s="14" t="n">
        <v>544107</v>
      </c>
      <c r="W347" s="14" t="n">
        <f aca="false">S347+T347+U347+V347</f>
        <v>10054350</v>
      </c>
      <c r="X347" s="15" t="n">
        <f aca="false">IF(P347=0,0,S347/P347)</f>
        <v>6.80961978653803</v>
      </c>
      <c r="Y347" s="15" t="n">
        <f aca="false">IF(J347=0,0,W347/J347)</f>
        <v>3.1281715425325</v>
      </c>
      <c r="Z347" s="14" t="n">
        <v>1821722</v>
      </c>
      <c r="AA347" s="15" t="n">
        <f aca="false">IF(L347=0,0,Z347/L347)</f>
        <v>1.43827387113405</v>
      </c>
      <c r="AB347" s="12" t="n">
        <v>263625820</v>
      </c>
      <c r="AC347" s="16" t="n">
        <v>12.8</v>
      </c>
      <c r="AD347" s="16" t="n">
        <v>22.9</v>
      </c>
      <c r="AE347" s="13" t="n">
        <v>0.415</v>
      </c>
      <c r="AF347" s="13" t="n">
        <v>0.571</v>
      </c>
      <c r="AG347" s="13" t="n">
        <v>0.352</v>
      </c>
      <c r="AH347" s="13" t="n">
        <v>0.213</v>
      </c>
      <c r="AI347" s="17" t="n">
        <v>4.69</v>
      </c>
    </row>
    <row r="348" customFormat="false" ht="15" hidden="false" customHeight="false" outlineLevel="0" collapsed="false">
      <c r="A348" s="10" t="n">
        <v>45505</v>
      </c>
      <c r="B348" s="11" t="n">
        <f aca="false">YEAR(A348)</f>
        <v>2024</v>
      </c>
      <c r="C348" s="11" t="str">
        <f aca="false">"Q"&amp;ROUNDUP(MONTH(A348)/3,0)</f>
        <v>Q3</v>
      </c>
      <c r="D348" s="11" t="str">
        <f aca="false">B348&amp;"-"&amp;C348</f>
        <v>2024-Q3</v>
      </c>
      <c r="E348" s="11" t="n">
        <f aca="false">MONTH(A348)</f>
        <v>8</v>
      </c>
      <c r="F348" s="11" t="str">
        <f aca="false">TEXT(A348,"mmm")</f>
        <v>Aug</v>
      </c>
      <c r="G348" s="11" t="s">
        <v>206</v>
      </c>
      <c r="H348" s="11" t="s">
        <v>204</v>
      </c>
      <c r="I348" s="12" t="n">
        <v>12630792</v>
      </c>
      <c r="J348" s="12" t="n">
        <v>4103542</v>
      </c>
      <c r="K348" s="13" t="n">
        <f aca="false">IF(I348=0,0,J348/I348)</f>
        <v>0.324883981938741</v>
      </c>
      <c r="L348" s="12" t="n">
        <v>1557763</v>
      </c>
      <c r="M348" s="12" t="n">
        <v>636073</v>
      </c>
      <c r="N348" s="12" t="n">
        <v>72706</v>
      </c>
      <c r="O348" s="12" t="n">
        <v>26864</v>
      </c>
      <c r="P348" s="12" t="n">
        <f aca="false">M348+N348+O348</f>
        <v>735643</v>
      </c>
      <c r="Q348" s="13" t="n">
        <f aca="false">IF(I348=0,0,P348/I348)</f>
        <v>0.0582420326453005</v>
      </c>
      <c r="R348" s="13" t="n">
        <v>0.0445</v>
      </c>
      <c r="S348" s="14" t="n">
        <v>4992182</v>
      </c>
      <c r="T348" s="14" t="n">
        <v>360918</v>
      </c>
      <c r="U348" s="14" t="n">
        <v>222569</v>
      </c>
      <c r="V348" s="14" t="n">
        <v>332523</v>
      </c>
      <c r="W348" s="14" t="n">
        <f aca="false">S348+T348+U348+V348</f>
        <v>5908192</v>
      </c>
      <c r="X348" s="15" t="n">
        <f aca="false">IF(P348=0,0,S348/P348)</f>
        <v>6.78614762867315</v>
      </c>
      <c r="Y348" s="15" t="n">
        <f aca="false">IF(J348=0,0,W348/J348)</f>
        <v>1.43977861077089</v>
      </c>
      <c r="Z348" s="14" t="n">
        <v>1035028</v>
      </c>
      <c r="AA348" s="15" t="n">
        <f aca="false">IF(L348=0,0,Z348/L348)</f>
        <v>0.664432266012224</v>
      </c>
      <c r="AB348" s="12" t="n">
        <v>324568442</v>
      </c>
      <c r="AC348" s="16" t="n">
        <v>12.4</v>
      </c>
      <c r="AD348" s="16" t="n">
        <v>22.7</v>
      </c>
      <c r="AE348" s="13" t="n">
        <v>0.407</v>
      </c>
      <c r="AF348" s="13" t="n">
        <v>0.59</v>
      </c>
      <c r="AG348" s="13" t="n">
        <v>0.35</v>
      </c>
      <c r="AH348" s="13" t="n">
        <v>0.212</v>
      </c>
      <c r="AI348" s="17" t="n">
        <v>4.63</v>
      </c>
    </row>
    <row r="349" customFormat="false" ht="15" hidden="false" customHeight="false" outlineLevel="0" collapsed="false">
      <c r="A349" s="10" t="n">
        <v>45505</v>
      </c>
      <c r="B349" s="11" t="n">
        <f aca="false">YEAR(A349)</f>
        <v>2024</v>
      </c>
      <c r="C349" s="11" t="str">
        <f aca="false">"Q"&amp;ROUNDUP(MONTH(A349)/3,0)</f>
        <v>Q3</v>
      </c>
      <c r="D349" s="11" t="str">
        <f aca="false">B349&amp;"-"&amp;C349</f>
        <v>2024-Q3</v>
      </c>
      <c r="E349" s="11" t="n">
        <f aca="false">MONTH(A349)</f>
        <v>8</v>
      </c>
      <c r="F349" s="11" t="str">
        <f aca="false">TEXT(A349,"mmm")</f>
        <v>Aug</v>
      </c>
      <c r="G349" s="11" t="s">
        <v>206</v>
      </c>
      <c r="H349" s="11" t="s">
        <v>205</v>
      </c>
      <c r="I349" s="12" t="n">
        <v>4014949</v>
      </c>
      <c r="J349" s="12" t="n">
        <v>1175178</v>
      </c>
      <c r="K349" s="13" t="n">
        <f aca="false">IF(I349=0,0,J349/I349)</f>
        <v>0.292700604665215</v>
      </c>
      <c r="L349" s="12" t="n">
        <v>358133</v>
      </c>
      <c r="M349" s="12" t="n">
        <v>173874</v>
      </c>
      <c r="N349" s="12" t="n">
        <v>19156</v>
      </c>
      <c r="O349" s="12" t="n">
        <v>4817</v>
      </c>
      <c r="P349" s="12" t="n">
        <f aca="false">M349+N349+O349</f>
        <v>197847</v>
      </c>
      <c r="Q349" s="13" t="n">
        <f aca="false">IF(I349=0,0,P349/I349)</f>
        <v>0.0492775873367258</v>
      </c>
      <c r="R349" s="13" t="n">
        <v>0.0404</v>
      </c>
      <c r="S349" s="14" t="n">
        <v>1349726</v>
      </c>
      <c r="T349" s="14" t="n">
        <v>115089</v>
      </c>
      <c r="U349" s="14" t="n">
        <v>64247</v>
      </c>
      <c r="V349" s="14" t="n">
        <v>87025</v>
      </c>
      <c r="W349" s="14" t="n">
        <f aca="false">S349+T349+U349+V349</f>
        <v>1616087</v>
      </c>
      <c r="X349" s="15" t="n">
        <f aca="false">IF(P349=0,0,S349/P349)</f>
        <v>6.82206957901813</v>
      </c>
      <c r="Y349" s="15" t="n">
        <f aca="false">IF(J349=0,0,W349/J349)</f>
        <v>1.37518486561185</v>
      </c>
      <c r="Z349" s="14" t="n">
        <v>254996</v>
      </c>
      <c r="AA349" s="15" t="n">
        <f aca="false">IF(L349=0,0,Z349/L349)</f>
        <v>0.712014810140367</v>
      </c>
      <c r="AB349" s="12" t="n">
        <v>94863252</v>
      </c>
      <c r="AC349" s="16" t="n">
        <v>11.2</v>
      </c>
      <c r="AD349" s="16" t="n">
        <v>22.2</v>
      </c>
      <c r="AE349" s="13" t="n">
        <v>0.421</v>
      </c>
      <c r="AF349" s="13" t="n">
        <v>0.588</v>
      </c>
      <c r="AG349" s="13" t="n">
        <v>0.337</v>
      </c>
      <c r="AH349" s="13" t="n">
        <v>0.201</v>
      </c>
      <c r="AI349" s="17"/>
    </row>
    <row r="350" customFormat="false" ht="15" hidden="false" customHeight="false" outlineLevel="0" collapsed="false">
      <c r="A350" s="10" t="n">
        <v>45505</v>
      </c>
      <c r="B350" s="11" t="n">
        <f aca="false">YEAR(A350)</f>
        <v>2024</v>
      </c>
      <c r="C350" s="11" t="str">
        <f aca="false">"Q"&amp;ROUNDUP(MONTH(A350)/3,0)</f>
        <v>Q3</v>
      </c>
      <c r="D350" s="11" t="str">
        <f aca="false">B350&amp;"-"&amp;C350</f>
        <v>2024-Q3</v>
      </c>
      <c r="E350" s="11" t="n">
        <f aca="false">MONTH(A350)</f>
        <v>8</v>
      </c>
      <c r="F350" s="11" t="str">
        <f aca="false">TEXT(A350,"mmm")</f>
        <v>Aug</v>
      </c>
      <c r="G350" s="11" t="s">
        <v>207</v>
      </c>
      <c r="H350" s="11" t="s">
        <v>203</v>
      </c>
      <c r="I350" s="12" t="n">
        <v>8188832</v>
      </c>
      <c r="J350" s="12" t="n">
        <v>2658448</v>
      </c>
      <c r="K350" s="13" t="n">
        <f aca="false">IF(I350=0,0,J350/I350)</f>
        <v>0.324643123707997</v>
      </c>
      <c r="L350" s="12" t="n">
        <v>896904</v>
      </c>
      <c r="M350" s="12" t="n">
        <v>588664</v>
      </c>
      <c r="N350" s="12" t="n">
        <v>61986</v>
      </c>
      <c r="O350" s="12" t="n">
        <v>22959</v>
      </c>
      <c r="P350" s="12" t="n">
        <f aca="false">M350+N350+O350</f>
        <v>673609</v>
      </c>
      <c r="Q350" s="13" t="n">
        <f aca="false">IF(I350=0,0,P350/I350)</f>
        <v>0.0822594724131598</v>
      </c>
      <c r="R350" s="13" t="n">
        <v>0.0382</v>
      </c>
      <c r="S350" s="14" t="n">
        <v>4147412</v>
      </c>
      <c r="T350" s="14" t="n">
        <v>331809</v>
      </c>
      <c r="U350" s="14" t="n">
        <v>200604</v>
      </c>
      <c r="V350" s="14" t="n">
        <v>261991</v>
      </c>
      <c r="W350" s="14" t="n">
        <f aca="false">S350+T350+U350+V350</f>
        <v>4941816</v>
      </c>
      <c r="X350" s="15" t="n">
        <f aca="false">IF(P350=0,0,S350/P350)</f>
        <v>6.157002059058</v>
      </c>
      <c r="Y350" s="15" t="n">
        <f aca="false">IF(J350=0,0,W350/J350)</f>
        <v>1.85891016111656</v>
      </c>
      <c r="Z350" s="14" t="n">
        <v>843141</v>
      </c>
      <c r="AA350" s="15" t="n">
        <f aca="false">IF(L350=0,0,Z350/L350)</f>
        <v>0.940057129860052</v>
      </c>
      <c r="AB350" s="12" t="n">
        <v>207339376</v>
      </c>
      <c r="AC350" s="16" t="n">
        <v>13</v>
      </c>
      <c r="AD350" s="16" t="n">
        <v>22.5</v>
      </c>
      <c r="AE350" s="13" t="n">
        <v>0.418</v>
      </c>
      <c r="AF350" s="13" t="n">
        <v>0.575</v>
      </c>
      <c r="AG350" s="13" t="n">
        <v>0.353</v>
      </c>
      <c r="AH350" s="13" t="n">
        <v>0.207</v>
      </c>
      <c r="AI350" s="17" t="n">
        <v>4.71</v>
      </c>
    </row>
    <row r="351" customFormat="false" ht="15" hidden="false" customHeight="false" outlineLevel="0" collapsed="false">
      <c r="A351" s="10" t="n">
        <v>45505</v>
      </c>
      <c r="B351" s="11" t="n">
        <f aca="false">YEAR(A351)</f>
        <v>2024</v>
      </c>
      <c r="C351" s="11" t="str">
        <f aca="false">"Q"&amp;ROUNDUP(MONTH(A351)/3,0)</f>
        <v>Q3</v>
      </c>
      <c r="D351" s="11" t="str">
        <f aca="false">B351&amp;"-"&amp;C351</f>
        <v>2024-Q3</v>
      </c>
      <c r="E351" s="11" t="n">
        <f aca="false">MONTH(A351)</f>
        <v>8</v>
      </c>
      <c r="F351" s="11" t="str">
        <f aca="false">TEXT(A351,"mmm")</f>
        <v>Aug</v>
      </c>
      <c r="G351" s="11" t="s">
        <v>207</v>
      </c>
      <c r="H351" s="11" t="s">
        <v>204</v>
      </c>
      <c r="I351" s="12" t="n">
        <v>10250533</v>
      </c>
      <c r="J351" s="12" t="n">
        <v>2977201</v>
      </c>
      <c r="K351" s="13" t="n">
        <f aca="false">IF(I351=0,0,J351/I351)</f>
        <v>0.290443531082725</v>
      </c>
      <c r="L351" s="12" t="n">
        <v>1097342</v>
      </c>
      <c r="M351" s="12" t="n">
        <v>341095</v>
      </c>
      <c r="N351" s="12" t="n">
        <v>33276</v>
      </c>
      <c r="O351" s="12" t="n">
        <v>9821</v>
      </c>
      <c r="P351" s="12" t="n">
        <f aca="false">M351+N351+O351</f>
        <v>384192</v>
      </c>
      <c r="Q351" s="13" t="n">
        <f aca="false">IF(I351=0,0,P351/I351)</f>
        <v>0.0374801973712001</v>
      </c>
      <c r="R351" s="13" t="n">
        <v>0.0445</v>
      </c>
      <c r="S351" s="14" t="n">
        <v>2558529</v>
      </c>
      <c r="T351" s="14" t="n">
        <v>207125</v>
      </c>
      <c r="U351" s="14" t="n">
        <v>127578</v>
      </c>
      <c r="V351" s="14" t="n">
        <v>164915</v>
      </c>
      <c r="W351" s="14" t="n">
        <f aca="false">S351+T351+U351+V351</f>
        <v>3058147</v>
      </c>
      <c r="X351" s="15" t="n">
        <f aca="false">IF(P351=0,0,S351/P351)</f>
        <v>6.6595061844078</v>
      </c>
      <c r="Y351" s="15" t="n">
        <f aca="false">IF(J351=0,0,W351/J351)</f>
        <v>1.0271886244832</v>
      </c>
      <c r="Z351" s="14" t="n">
        <v>491638</v>
      </c>
      <c r="AA351" s="15" t="n">
        <f aca="false">IF(L351=0,0,Z351/L351)</f>
        <v>0.448026230655529</v>
      </c>
      <c r="AB351" s="12" t="n">
        <v>246926224</v>
      </c>
      <c r="AC351" s="16" t="n">
        <v>12.4</v>
      </c>
      <c r="AD351" s="16" t="n">
        <v>23.2</v>
      </c>
      <c r="AE351" s="13" t="n">
        <v>0.404</v>
      </c>
      <c r="AF351" s="13" t="n">
        <v>0.579</v>
      </c>
      <c r="AG351" s="13" t="n">
        <v>0.362</v>
      </c>
      <c r="AH351" s="13" t="n">
        <v>0.199</v>
      </c>
      <c r="AI351" s="17" t="n">
        <v>4.63</v>
      </c>
    </row>
    <row r="352" customFormat="false" ht="15" hidden="false" customHeight="false" outlineLevel="0" collapsed="false">
      <c r="A352" s="10" t="n">
        <v>45505</v>
      </c>
      <c r="B352" s="11" t="n">
        <f aca="false">YEAR(A352)</f>
        <v>2024</v>
      </c>
      <c r="C352" s="11" t="str">
        <f aca="false">"Q"&amp;ROUNDUP(MONTH(A352)/3,0)</f>
        <v>Q3</v>
      </c>
      <c r="D352" s="11" t="str">
        <f aca="false">B352&amp;"-"&amp;C352</f>
        <v>2024-Q3</v>
      </c>
      <c r="E352" s="11" t="n">
        <f aca="false">MONTH(A352)</f>
        <v>8</v>
      </c>
      <c r="F352" s="11" t="str">
        <f aca="false">TEXT(A352,"mmm")</f>
        <v>Aug</v>
      </c>
      <c r="G352" s="11" t="s">
        <v>207</v>
      </c>
      <c r="H352" s="11" t="s">
        <v>205</v>
      </c>
      <c r="I352" s="12" t="n">
        <v>3289312</v>
      </c>
      <c r="J352" s="12" t="n">
        <v>893192</v>
      </c>
      <c r="K352" s="13" t="n">
        <f aca="false">IF(I352=0,0,J352/I352)</f>
        <v>0.271543714916676</v>
      </c>
      <c r="L352" s="12" t="n">
        <v>294931</v>
      </c>
      <c r="M352" s="12" t="n">
        <v>96839</v>
      </c>
      <c r="N352" s="12" t="n">
        <v>11274</v>
      </c>
      <c r="O352" s="12" t="n">
        <v>1874</v>
      </c>
      <c r="P352" s="12" t="n">
        <f aca="false">M352+N352+O352</f>
        <v>109987</v>
      </c>
      <c r="Q352" s="13" t="n">
        <f aca="false">IF(I352=0,0,P352/I352)</f>
        <v>0.0334376915294141</v>
      </c>
      <c r="R352" s="13" t="n">
        <v>0.046</v>
      </c>
      <c r="S352" s="14" t="n">
        <v>674002</v>
      </c>
      <c r="T352" s="14" t="n">
        <v>54976</v>
      </c>
      <c r="U352" s="14" t="n">
        <v>30402</v>
      </c>
      <c r="V352" s="14" t="n">
        <v>44092</v>
      </c>
      <c r="W352" s="14" t="n">
        <f aca="false">S352+T352+U352+V352</f>
        <v>803472</v>
      </c>
      <c r="X352" s="15" t="n">
        <f aca="false">IF(P352=0,0,S352/P352)</f>
        <v>6.12801512906071</v>
      </c>
      <c r="Y352" s="15" t="n">
        <f aca="false">IF(J352=0,0,W352/J352)</f>
        <v>0.89955127229084</v>
      </c>
      <c r="Z352" s="14" t="n">
        <v>136801</v>
      </c>
      <c r="AA352" s="15" t="n">
        <f aca="false">IF(L352=0,0,Z352/L352)</f>
        <v>0.463840694942207</v>
      </c>
      <c r="AB352" s="12" t="n">
        <v>69266058</v>
      </c>
      <c r="AC352" s="16" t="n">
        <v>11.3</v>
      </c>
      <c r="AD352" s="16" t="n">
        <v>23</v>
      </c>
      <c r="AE352" s="13" t="n">
        <v>0.418</v>
      </c>
      <c r="AF352" s="13" t="n">
        <v>0.589</v>
      </c>
      <c r="AG352" s="13" t="n">
        <v>0.367</v>
      </c>
      <c r="AH352" s="13" t="n">
        <v>0.2</v>
      </c>
      <c r="AI352" s="17"/>
    </row>
    <row r="353" customFormat="false" ht="15" hidden="false" customHeight="false" outlineLevel="0" collapsed="false">
      <c r="A353" s="10" t="n">
        <v>45505</v>
      </c>
      <c r="B353" s="11" t="n">
        <f aca="false">YEAR(A353)</f>
        <v>2024</v>
      </c>
      <c r="C353" s="11" t="str">
        <f aca="false">"Q"&amp;ROUNDUP(MONTH(A353)/3,0)</f>
        <v>Q3</v>
      </c>
      <c r="D353" s="11" t="str">
        <f aca="false">B353&amp;"-"&amp;C353</f>
        <v>2024-Q3</v>
      </c>
      <c r="E353" s="11" t="n">
        <f aca="false">MONTH(A353)</f>
        <v>8</v>
      </c>
      <c r="F353" s="11" t="str">
        <f aca="false">TEXT(A353,"mmm")</f>
        <v>Aug</v>
      </c>
      <c r="G353" s="11" t="s">
        <v>208</v>
      </c>
      <c r="H353" s="11" t="s">
        <v>203</v>
      </c>
      <c r="I353" s="12" t="n">
        <v>6962181</v>
      </c>
      <c r="J353" s="12" t="n">
        <v>2414292</v>
      </c>
      <c r="K353" s="13" t="n">
        <f aca="false">IF(I353=0,0,J353/I353)</f>
        <v>0.346772369175694</v>
      </c>
      <c r="L353" s="12" t="n">
        <v>772104</v>
      </c>
      <c r="M353" s="12" t="n">
        <v>292179</v>
      </c>
      <c r="N353" s="12" t="n">
        <v>30202</v>
      </c>
      <c r="O353" s="12" t="n">
        <v>8044</v>
      </c>
      <c r="P353" s="12" t="n">
        <f aca="false">M353+N353+O353</f>
        <v>330425</v>
      </c>
      <c r="Q353" s="13" t="n">
        <f aca="false">IF(I353=0,0,P353/I353)</f>
        <v>0.0474599841630087</v>
      </c>
      <c r="R353" s="13" t="n">
        <v>0.0388</v>
      </c>
      <c r="S353" s="14" t="n">
        <v>2108520</v>
      </c>
      <c r="T353" s="14" t="n">
        <v>175752</v>
      </c>
      <c r="U353" s="14" t="n">
        <v>99523</v>
      </c>
      <c r="V353" s="14" t="n">
        <v>136465</v>
      </c>
      <c r="W353" s="14" t="n">
        <f aca="false">S353+T353+U353+V353</f>
        <v>2520260</v>
      </c>
      <c r="X353" s="15" t="n">
        <f aca="false">IF(P353=0,0,S353/P353)</f>
        <v>6.38123628660059</v>
      </c>
      <c r="Y353" s="15" t="n">
        <f aca="false">IF(J353=0,0,W353/J353)</f>
        <v>1.043891956731</v>
      </c>
      <c r="Z353" s="14" t="n">
        <v>426045</v>
      </c>
      <c r="AA353" s="15" t="n">
        <f aca="false">IF(L353=0,0,Z353/L353)</f>
        <v>0.551797426253458</v>
      </c>
      <c r="AB353" s="12" t="n">
        <v>200210361</v>
      </c>
      <c r="AC353" s="16" t="n">
        <v>12.9</v>
      </c>
      <c r="AD353" s="16" t="n">
        <v>22.8</v>
      </c>
      <c r="AE353" s="13" t="n">
        <v>0.415</v>
      </c>
      <c r="AF353" s="13" t="n">
        <v>0.591</v>
      </c>
      <c r="AG353" s="13" t="n">
        <v>0.344</v>
      </c>
      <c r="AH353" s="13" t="n">
        <v>0.207</v>
      </c>
      <c r="AI353" s="17" t="n">
        <v>4.72</v>
      </c>
    </row>
    <row r="354" customFormat="false" ht="15" hidden="false" customHeight="false" outlineLevel="0" collapsed="false">
      <c r="A354" s="10" t="n">
        <v>45505</v>
      </c>
      <c r="B354" s="11" t="n">
        <f aca="false">YEAR(A354)</f>
        <v>2024</v>
      </c>
      <c r="C354" s="11" t="str">
        <f aca="false">"Q"&amp;ROUNDUP(MONTH(A354)/3,0)</f>
        <v>Q3</v>
      </c>
      <c r="D354" s="11" t="str">
        <f aca="false">B354&amp;"-"&amp;C354</f>
        <v>2024-Q3</v>
      </c>
      <c r="E354" s="11" t="n">
        <f aca="false">MONTH(A354)</f>
        <v>8</v>
      </c>
      <c r="F354" s="11" t="str">
        <f aca="false">TEXT(A354,"mmm")</f>
        <v>Aug</v>
      </c>
      <c r="G354" s="11" t="s">
        <v>208</v>
      </c>
      <c r="H354" s="11" t="s">
        <v>204</v>
      </c>
      <c r="I354" s="12" t="n">
        <v>8687277</v>
      </c>
      <c r="J354" s="12" t="n">
        <v>2695481</v>
      </c>
      <c r="K354" s="13" t="n">
        <f aca="false">IF(I354=0,0,J354/I354)</f>
        <v>0.310279158820422</v>
      </c>
      <c r="L354" s="12" t="n">
        <v>846103</v>
      </c>
      <c r="M354" s="12" t="n">
        <v>151681</v>
      </c>
      <c r="N354" s="12" t="n">
        <v>17518</v>
      </c>
      <c r="O354" s="12" t="n">
        <v>3147</v>
      </c>
      <c r="P354" s="12" t="n">
        <f aca="false">M354+N354+O354</f>
        <v>172346</v>
      </c>
      <c r="Q354" s="13" t="n">
        <f aca="false">IF(I354=0,0,P354/I354)</f>
        <v>0.0198388977351591</v>
      </c>
      <c r="R354" s="13" t="n">
        <v>0.0394</v>
      </c>
      <c r="S354" s="14" t="n">
        <v>1234499</v>
      </c>
      <c r="T354" s="14" t="n">
        <v>100729</v>
      </c>
      <c r="U354" s="14" t="n">
        <v>58706</v>
      </c>
      <c r="V354" s="14" t="n">
        <v>84102</v>
      </c>
      <c r="W354" s="14" t="n">
        <f aca="false">S354+T354+U354+V354</f>
        <v>1478036</v>
      </c>
      <c r="X354" s="15" t="n">
        <f aca="false">IF(P354=0,0,S354/P354)</f>
        <v>7.16291065647012</v>
      </c>
      <c r="Y354" s="15" t="n">
        <f aca="false">IF(J354=0,0,W354/J354)</f>
        <v>0.548338496913909</v>
      </c>
      <c r="Z354" s="14" t="n">
        <v>210730</v>
      </c>
      <c r="AA354" s="15" t="n">
        <f aca="false">IF(L354=0,0,Z354/L354)</f>
        <v>0.249059511667019</v>
      </c>
      <c r="AB354" s="12" t="n">
        <v>210701411</v>
      </c>
      <c r="AC354" s="16" t="n">
        <v>12.3</v>
      </c>
      <c r="AD354" s="16" t="n">
        <v>24</v>
      </c>
      <c r="AE354" s="13" t="n">
        <v>0.417</v>
      </c>
      <c r="AF354" s="13" t="n">
        <v>0.586</v>
      </c>
      <c r="AG354" s="13" t="n">
        <v>0.35</v>
      </c>
      <c r="AH354" s="13" t="n">
        <v>0.201</v>
      </c>
      <c r="AI354" s="17" t="n">
        <v>4.65</v>
      </c>
    </row>
    <row r="355" customFormat="false" ht="15" hidden="false" customHeight="false" outlineLevel="0" collapsed="false">
      <c r="A355" s="10" t="n">
        <v>45505</v>
      </c>
      <c r="B355" s="11" t="n">
        <f aca="false">YEAR(A355)</f>
        <v>2024</v>
      </c>
      <c r="C355" s="11" t="str">
        <f aca="false">"Q"&amp;ROUNDUP(MONTH(A355)/3,0)</f>
        <v>Q3</v>
      </c>
      <c r="D355" s="11" t="str">
        <f aca="false">B355&amp;"-"&amp;C355</f>
        <v>2024-Q3</v>
      </c>
      <c r="E355" s="11" t="n">
        <f aca="false">MONTH(A355)</f>
        <v>8</v>
      </c>
      <c r="F355" s="11" t="str">
        <f aca="false">TEXT(A355,"mmm")</f>
        <v>Aug</v>
      </c>
      <c r="G355" s="11" t="s">
        <v>208</v>
      </c>
      <c r="H355" s="11" t="s">
        <v>205</v>
      </c>
      <c r="I355" s="12" t="n">
        <v>2531236</v>
      </c>
      <c r="J355" s="12" t="n">
        <v>763829</v>
      </c>
      <c r="K355" s="13" t="n">
        <f aca="false">IF(I355=0,0,J355/I355)</f>
        <v>0.301761273938898</v>
      </c>
      <c r="L355" s="12" t="n">
        <v>233748</v>
      </c>
      <c r="M355" s="12" t="n">
        <v>43411</v>
      </c>
      <c r="N355" s="12" t="n">
        <v>4747</v>
      </c>
      <c r="O355" s="12" t="n">
        <v>593</v>
      </c>
      <c r="P355" s="12" t="n">
        <f aca="false">M355+N355+O355</f>
        <v>48751</v>
      </c>
      <c r="Q355" s="13" t="n">
        <f aca="false">IF(I355=0,0,P355/I355)</f>
        <v>0.0192597608441094</v>
      </c>
      <c r="R355" s="13" t="n">
        <v>0.0496</v>
      </c>
      <c r="S355" s="14" t="n">
        <v>332006</v>
      </c>
      <c r="T355" s="14" t="n">
        <v>27068</v>
      </c>
      <c r="U355" s="14" t="n">
        <v>15068</v>
      </c>
      <c r="V355" s="14" t="n">
        <v>21272</v>
      </c>
      <c r="W355" s="14" t="n">
        <f aca="false">S355+T355+U355+V355</f>
        <v>395414</v>
      </c>
      <c r="X355" s="15" t="n">
        <f aca="false">IF(P355=0,0,S355/P355)</f>
        <v>6.81023978995303</v>
      </c>
      <c r="Y355" s="15" t="n">
        <f aca="false">IF(J355=0,0,W355/J355)</f>
        <v>0.517673458326406</v>
      </c>
      <c r="Z355" s="14" t="n">
        <v>76648</v>
      </c>
      <c r="AA355" s="15" t="n">
        <f aca="false">IF(L355=0,0,Z355/L355)</f>
        <v>0.327908687988774</v>
      </c>
      <c r="AB355" s="12" t="n">
        <v>62876356</v>
      </c>
      <c r="AC355" s="16" t="n">
        <v>11.4</v>
      </c>
      <c r="AD355" s="16" t="n">
        <v>23.2</v>
      </c>
      <c r="AE355" s="13" t="n">
        <v>0.405</v>
      </c>
      <c r="AF355" s="13" t="n">
        <v>0.599</v>
      </c>
      <c r="AG355" s="13" t="n">
        <v>0.361</v>
      </c>
      <c r="AH355" s="13" t="n">
        <v>0.209</v>
      </c>
      <c r="AI355" s="17"/>
    </row>
    <row r="356" customFormat="false" ht="15" hidden="false" customHeight="false" outlineLevel="0" collapsed="false">
      <c r="A356" s="10" t="n">
        <v>45505</v>
      </c>
      <c r="B356" s="11" t="n">
        <f aca="false">YEAR(A356)</f>
        <v>2024</v>
      </c>
      <c r="C356" s="11" t="str">
        <f aca="false">"Q"&amp;ROUNDUP(MONTH(A356)/3,0)</f>
        <v>Q3</v>
      </c>
      <c r="D356" s="11" t="str">
        <f aca="false">B356&amp;"-"&amp;C356</f>
        <v>2024-Q3</v>
      </c>
      <c r="E356" s="11" t="n">
        <f aca="false">MONTH(A356)</f>
        <v>8</v>
      </c>
      <c r="F356" s="11" t="str">
        <f aca="false">TEXT(A356,"mmm")</f>
        <v>Aug</v>
      </c>
      <c r="G356" s="11" t="s">
        <v>209</v>
      </c>
      <c r="H356" s="11" t="s">
        <v>203</v>
      </c>
      <c r="I356" s="12" t="n">
        <v>4129442</v>
      </c>
      <c r="J356" s="12" t="n">
        <v>1381030</v>
      </c>
      <c r="K356" s="13" t="n">
        <f aca="false">IF(I356=0,0,J356/I356)</f>
        <v>0.334435015675241</v>
      </c>
      <c r="L356" s="12" t="n">
        <v>438519</v>
      </c>
      <c r="M356" s="12" t="n">
        <v>115296</v>
      </c>
      <c r="N356" s="12" t="n">
        <v>12102</v>
      </c>
      <c r="O356" s="12" t="n">
        <v>2531</v>
      </c>
      <c r="P356" s="12" t="n">
        <f aca="false">M356+N356+O356</f>
        <v>129929</v>
      </c>
      <c r="Q356" s="13" t="n">
        <f aca="false">IF(I356=0,0,P356/I356)</f>
        <v>0.0314640573714318</v>
      </c>
      <c r="R356" s="13" t="n">
        <v>0.0389</v>
      </c>
      <c r="S356" s="14" t="n">
        <v>815557</v>
      </c>
      <c r="T356" s="14" t="n">
        <v>58397</v>
      </c>
      <c r="U356" s="14" t="n">
        <v>32729</v>
      </c>
      <c r="V356" s="14" t="n">
        <v>51295</v>
      </c>
      <c r="W356" s="14" t="n">
        <f aca="false">S356+T356+U356+V356</f>
        <v>957978</v>
      </c>
      <c r="X356" s="15" t="n">
        <f aca="false">IF(P356=0,0,S356/P356)</f>
        <v>6.27694356148358</v>
      </c>
      <c r="Y356" s="15" t="n">
        <f aca="false">IF(J356=0,0,W356/J356)</f>
        <v>0.69366921790258</v>
      </c>
      <c r="Z356" s="14" t="n">
        <v>174631</v>
      </c>
      <c r="AA356" s="15" t="n">
        <f aca="false">IF(L356=0,0,Z356/L356)</f>
        <v>0.398229039106629</v>
      </c>
      <c r="AB356" s="12" t="n">
        <v>109479430</v>
      </c>
      <c r="AC356" s="16" t="n">
        <v>13.2</v>
      </c>
      <c r="AD356" s="16" t="n">
        <v>22.7</v>
      </c>
      <c r="AE356" s="13" t="n">
        <v>0.423</v>
      </c>
      <c r="AF356" s="13" t="n">
        <v>0.579</v>
      </c>
      <c r="AG356" s="13" t="n">
        <v>0.355</v>
      </c>
      <c r="AH356" s="13" t="n">
        <v>0.211</v>
      </c>
      <c r="AI356" s="17" t="n">
        <v>4.7</v>
      </c>
    </row>
    <row r="357" customFormat="false" ht="15" hidden="false" customHeight="false" outlineLevel="0" collapsed="false">
      <c r="A357" s="10" t="n">
        <v>45505</v>
      </c>
      <c r="B357" s="11" t="n">
        <f aca="false">YEAR(A357)</f>
        <v>2024</v>
      </c>
      <c r="C357" s="11" t="str">
        <f aca="false">"Q"&amp;ROUNDUP(MONTH(A357)/3,0)</f>
        <v>Q3</v>
      </c>
      <c r="D357" s="11" t="str">
        <f aca="false">B357&amp;"-"&amp;C357</f>
        <v>2024-Q3</v>
      </c>
      <c r="E357" s="11" t="n">
        <f aca="false">MONTH(A357)</f>
        <v>8</v>
      </c>
      <c r="F357" s="11" t="str">
        <f aca="false">TEXT(A357,"mmm")</f>
        <v>Aug</v>
      </c>
      <c r="G357" s="11" t="s">
        <v>209</v>
      </c>
      <c r="H357" s="11" t="s">
        <v>204</v>
      </c>
      <c r="I357" s="12" t="n">
        <v>5038749</v>
      </c>
      <c r="J357" s="12" t="n">
        <v>1481587</v>
      </c>
      <c r="K357" s="13" t="n">
        <f aca="false">IF(I357=0,0,J357/I357)</f>
        <v>0.29403865919894</v>
      </c>
      <c r="L357" s="12" t="n">
        <v>451920</v>
      </c>
      <c r="M357" s="12" t="n">
        <v>65580</v>
      </c>
      <c r="N357" s="12" t="n">
        <v>7191</v>
      </c>
      <c r="O357" s="12" t="n">
        <v>1079</v>
      </c>
      <c r="P357" s="12" t="n">
        <f aca="false">M357+N357+O357</f>
        <v>73850</v>
      </c>
      <c r="Q357" s="13" t="n">
        <f aca="false">IF(I357=0,0,P357/I357)</f>
        <v>0.0146564157095343</v>
      </c>
      <c r="R357" s="13" t="n">
        <v>0.0436</v>
      </c>
      <c r="S357" s="14" t="n">
        <v>444867</v>
      </c>
      <c r="T357" s="14" t="n">
        <v>35649</v>
      </c>
      <c r="U357" s="14" t="n">
        <v>18386</v>
      </c>
      <c r="V357" s="14" t="n">
        <v>28356</v>
      </c>
      <c r="W357" s="14" t="n">
        <f aca="false">S357+T357+U357+V357</f>
        <v>527258</v>
      </c>
      <c r="X357" s="15" t="n">
        <f aca="false">IF(P357=0,0,S357/P357)</f>
        <v>6.0239268788084</v>
      </c>
      <c r="Y357" s="15" t="n">
        <f aca="false">IF(J357=0,0,W357/J357)</f>
        <v>0.355873802888389</v>
      </c>
      <c r="Z357" s="14" t="n">
        <v>78814</v>
      </c>
      <c r="AA357" s="15" t="n">
        <f aca="false">IF(L357=0,0,Z357/L357)</f>
        <v>0.174398123561692</v>
      </c>
      <c r="AB357" s="12" t="n">
        <v>124186173</v>
      </c>
      <c r="AC357" s="16" t="n">
        <v>12.5</v>
      </c>
      <c r="AD357" s="16" t="n">
        <v>22</v>
      </c>
      <c r="AE357" s="13" t="n">
        <v>0.405</v>
      </c>
      <c r="AF357" s="13" t="n">
        <v>0.591</v>
      </c>
      <c r="AG357" s="13" t="n">
        <v>0.36</v>
      </c>
      <c r="AH357" s="13" t="n">
        <v>0.218</v>
      </c>
      <c r="AI357" s="17" t="n">
        <v>4.66</v>
      </c>
    </row>
    <row r="358" customFormat="false" ht="15" hidden="false" customHeight="false" outlineLevel="0" collapsed="false">
      <c r="A358" s="10" t="n">
        <v>45505</v>
      </c>
      <c r="B358" s="11" t="n">
        <f aca="false">YEAR(A358)</f>
        <v>2024</v>
      </c>
      <c r="C358" s="11" t="str">
        <f aca="false">"Q"&amp;ROUNDUP(MONTH(A358)/3,0)</f>
        <v>Q3</v>
      </c>
      <c r="D358" s="11" t="str">
        <f aca="false">B358&amp;"-"&amp;C358</f>
        <v>2024-Q3</v>
      </c>
      <c r="E358" s="11" t="n">
        <f aca="false">MONTH(A358)</f>
        <v>8</v>
      </c>
      <c r="F358" s="11" t="str">
        <f aca="false">TEXT(A358,"mmm")</f>
        <v>Aug</v>
      </c>
      <c r="G358" s="11" t="s">
        <v>209</v>
      </c>
      <c r="H358" s="11" t="s">
        <v>205</v>
      </c>
      <c r="I358" s="12" t="n">
        <v>1568573</v>
      </c>
      <c r="J358" s="12" t="n">
        <v>438745</v>
      </c>
      <c r="K358" s="13" t="n">
        <f aca="false">IF(I358=0,0,J358/I358)</f>
        <v>0.279709646921119</v>
      </c>
      <c r="L358" s="12" t="n">
        <v>143262</v>
      </c>
      <c r="M358" s="12" t="n">
        <v>17408</v>
      </c>
      <c r="N358" s="12" t="n">
        <v>1946</v>
      </c>
      <c r="O358" s="12" t="n">
        <v>190</v>
      </c>
      <c r="P358" s="12" t="n">
        <f aca="false">M358+N358+O358</f>
        <v>19544</v>
      </c>
      <c r="Q358" s="13" t="n">
        <f aca="false">IF(I358=0,0,P358/I358)</f>
        <v>0.0124597325084647</v>
      </c>
      <c r="R358" s="13" t="n">
        <v>0.0432</v>
      </c>
      <c r="S358" s="14" t="n">
        <v>131855</v>
      </c>
      <c r="T358" s="14" t="n">
        <v>10803</v>
      </c>
      <c r="U358" s="14" t="n">
        <v>6648</v>
      </c>
      <c r="V358" s="14" t="n">
        <v>8589</v>
      </c>
      <c r="W358" s="14" t="n">
        <f aca="false">S358+T358+U358+V358</f>
        <v>157895</v>
      </c>
      <c r="X358" s="15" t="n">
        <f aca="false">IF(P358=0,0,S358/P358)</f>
        <v>6.74657183790422</v>
      </c>
      <c r="Y358" s="15" t="n">
        <f aca="false">IF(J358=0,0,W358/J358)</f>
        <v>0.359878745056924</v>
      </c>
      <c r="Z358" s="14" t="n">
        <v>25748</v>
      </c>
      <c r="AA358" s="15" t="n">
        <f aca="false">IF(L358=0,0,Z358/L358)</f>
        <v>0.179726654660692</v>
      </c>
      <c r="AB358" s="12" t="n">
        <v>34364377</v>
      </c>
      <c r="AC358" s="16" t="n">
        <v>11.3</v>
      </c>
      <c r="AD358" s="16" t="n">
        <v>23.5</v>
      </c>
      <c r="AE358" s="13" t="n">
        <v>0.413</v>
      </c>
      <c r="AF358" s="13" t="n">
        <v>0.581</v>
      </c>
      <c r="AG358" s="13" t="n">
        <v>0.358</v>
      </c>
      <c r="AH358" s="13" t="n">
        <v>0.213</v>
      </c>
      <c r="AI358" s="17"/>
    </row>
    <row r="359" customFormat="false" ht="15" hidden="false" customHeight="false" outlineLevel="0" collapsed="false">
      <c r="A359" s="10" t="n">
        <v>45505</v>
      </c>
      <c r="B359" s="11" t="n">
        <f aca="false">YEAR(A359)</f>
        <v>2024</v>
      </c>
      <c r="C359" s="11" t="str">
        <f aca="false">"Q"&amp;ROUNDUP(MONTH(A359)/3,0)</f>
        <v>Q3</v>
      </c>
      <c r="D359" s="11" t="str">
        <f aca="false">B359&amp;"-"&amp;C359</f>
        <v>2024-Q3</v>
      </c>
      <c r="E359" s="11" t="n">
        <f aca="false">MONTH(A359)</f>
        <v>8</v>
      </c>
      <c r="F359" s="11" t="str">
        <f aca="false">TEXT(A359,"mmm")</f>
        <v>Aug</v>
      </c>
      <c r="G359" s="11" t="s">
        <v>210</v>
      </c>
      <c r="H359" s="11" t="s">
        <v>203</v>
      </c>
      <c r="I359" s="12" t="n">
        <v>6761156</v>
      </c>
      <c r="J359" s="12" t="n">
        <v>2285360</v>
      </c>
      <c r="K359" s="13" t="n">
        <f aca="false">IF(I359=0,0,J359/I359)</f>
        <v>0.338013203659256</v>
      </c>
      <c r="L359" s="12" t="n">
        <v>739754</v>
      </c>
      <c r="M359" s="12" t="n">
        <v>227799</v>
      </c>
      <c r="N359" s="12" t="n">
        <v>25640</v>
      </c>
      <c r="O359" s="12" t="n">
        <v>5034</v>
      </c>
      <c r="P359" s="12" t="n">
        <f aca="false">M359+N359+O359</f>
        <v>258473</v>
      </c>
      <c r="Q359" s="13" t="n">
        <f aca="false">IF(I359=0,0,P359/I359)</f>
        <v>0.0382291134829606</v>
      </c>
      <c r="R359" s="13" t="n">
        <v>0.0454</v>
      </c>
      <c r="S359" s="14" t="n">
        <v>1553034</v>
      </c>
      <c r="T359" s="14" t="n">
        <v>130319</v>
      </c>
      <c r="U359" s="14" t="n">
        <v>75193</v>
      </c>
      <c r="V359" s="14" t="n">
        <v>92177</v>
      </c>
      <c r="W359" s="14" t="n">
        <f aca="false">S359+T359+U359+V359</f>
        <v>1850723</v>
      </c>
      <c r="X359" s="15" t="n">
        <f aca="false">IF(P359=0,0,S359/P359)</f>
        <v>6.00849605181199</v>
      </c>
      <c r="Y359" s="15" t="n">
        <f aca="false">IF(J359=0,0,W359/J359)</f>
        <v>0.809816834109287</v>
      </c>
      <c r="Z359" s="14" t="n">
        <v>326708</v>
      </c>
      <c r="AA359" s="15" t="n">
        <f aca="false">IF(L359=0,0,Z359/L359)</f>
        <v>0.441644114124425</v>
      </c>
      <c r="AB359" s="12" t="n">
        <v>179999416</v>
      </c>
      <c r="AC359" s="16" t="n">
        <v>12.9</v>
      </c>
      <c r="AD359" s="16" t="n">
        <v>22.5</v>
      </c>
      <c r="AE359" s="13" t="n">
        <v>0.425</v>
      </c>
      <c r="AF359" s="13" t="n">
        <v>0.586</v>
      </c>
      <c r="AG359" s="13" t="n">
        <v>0.353</v>
      </c>
      <c r="AH359" s="13" t="n">
        <v>0.213</v>
      </c>
      <c r="AI359" s="17" t="n">
        <v>4.71</v>
      </c>
    </row>
    <row r="360" customFormat="false" ht="15" hidden="false" customHeight="false" outlineLevel="0" collapsed="false">
      <c r="A360" s="10" t="n">
        <v>45505</v>
      </c>
      <c r="B360" s="11" t="n">
        <f aca="false">YEAR(A360)</f>
        <v>2024</v>
      </c>
      <c r="C360" s="11" t="str">
        <f aca="false">"Q"&amp;ROUNDUP(MONTH(A360)/3,0)</f>
        <v>Q3</v>
      </c>
      <c r="D360" s="11" t="str">
        <f aca="false">B360&amp;"-"&amp;C360</f>
        <v>2024-Q3</v>
      </c>
      <c r="E360" s="11" t="n">
        <f aca="false">MONTH(A360)</f>
        <v>8</v>
      </c>
      <c r="F360" s="11" t="str">
        <f aca="false">TEXT(A360,"mmm")</f>
        <v>Aug</v>
      </c>
      <c r="G360" s="11" t="s">
        <v>210</v>
      </c>
      <c r="H360" s="11" t="s">
        <v>204</v>
      </c>
      <c r="I360" s="12" t="n">
        <v>8406254</v>
      </c>
      <c r="J360" s="12" t="n">
        <v>2449838</v>
      </c>
      <c r="K360" s="13" t="n">
        <f aca="false">IF(I360=0,0,J360/I360)</f>
        <v>0.291430404077726</v>
      </c>
      <c r="L360" s="12" t="n">
        <v>918163</v>
      </c>
      <c r="M360" s="12" t="n">
        <v>133667</v>
      </c>
      <c r="N360" s="12" t="n">
        <v>14580</v>
      </c>
      <c r="O360" s="12" t="n">
        <v>2198</v>
      </c>
      <c r="P360" s="12" t="n">
        <f aca="false">M360+N360+O360</f>
        <v>150445</v>
      </c>
      <c r="Q360" s="13" t="n">
        <f aca="false">IF(I360=0,0,P360/I360)</f>
        <v>0.0178967944580309</v>
      </c>
      <c r="R360" s="13" t="n">
        <v>0.0366</v>
      </c>
      <c r="S360" s="14" t="n">
        <v>930324</v>
      </c>
      <c r="T360" s="14" t="n">
        <v>73087</v>
      </c>
      <c r="U360" s="14" t="n">
        <v>43390</v>
      </c>
      <c r="V360" s="14" t="n">
        <v>58941</v>
      </c>
      <c r="W360" s="14" t="n">
        <f aca="false">S360+T360+U360+V360</f>
        <v>1105742</v>
      </c>
      <c r="X360" s="15" t="n">
        <f aca="false">IF(P360=0,0,S360/P360)</f>
        <v>6.18381468310678</v>
      </c>
      <c r="Y360" s="15" t="n">
        <f aca="false">IF(J360=0,0,W360/J360)</f>
        <v>0.451353109879102</v>
      </c>
      <c r="Z360" s="14" t="n">
        <v>185977</v>
      </c>
      <c r="AA360" s="15" t="n">
        <f aca="false">IF(L360=0,0,Z360/L360)</f>
        <v>0.202553359261918</v>
      </c>
      <c r="AB360" s="12" t="n">
        <v>200975327</v>
      </c>
      <c r="AC360" s="16" t="n">
        <v>12.7</v>
      </c>
      <c r="AD360" s="16" t="n">
        <v>22.8</v>
      </c>
      <c r="AE360" s="13" t="n">
        <v>0.419</v>
      </c>
      <c r="AF360" s="13" t="n">
        <v>0.587</v>
      </c>
      <c r="AG360" s="13" t="n">
        <v>0.371</v>
      </c>
      <c r="AH360" s="13" t="n">
        <v>0.209</v>
      </c>
      <c r="AI360" s="17" t="n">
        <v>4.65</v>
      </c>
    </row>
    <row r="361" customFormat="false" ht="15" hidden="false" customHeight="false" outlineLevel="0" collapsed="false">
      <c r="A361" s="10" t="n">
        <v>45505</v>
      </c>
      <c r="B361" s="11" t="n">
        <f aca="false">YEAR(A361)</f>
        <v>2024</v>
      </c>
      <c r="C361" s="11" t="str">
        <f aca="false">"Q"&amp;ROUNDUP(MONTH(A361)/3,0)</f>
        <v>Q3</v>
      </c>
      <c r="D361" s="11" t="str">
        <f aca="false">B361&amp;"-"&amp;C361</f>
        <v>2024-Q3</v>
      </c>
      <c r="E361" s="11" t="n">
        <f aca="false">MONTH(A361)</f>
        <v>8</v>
      </c>
      <c r="F361" s="11" t="str">
        <f aca="false">TEXT(A361,"mmm")</f>
        <v>Aug</v>
      </c>
      <c r="G361" s="11" t="s">
        <v>210</v>
      </c>
      <c r="H361" s="11" t="s">
        <v>205</v>
      </c>
      <c r="I361" s="12" t="n">
        <v>2638699</v>
      </c>
      <c r="J361" s="12" t="n">
        <v>706682</v>
      </c>
      <c r="K361" s="13" t="n">
        <f aca="false">IF(I361=0,0,J361/I361)</f>
        <v>0.267814555582126</v>
      </c>
      <c r="L361" s="12" t="n">
        <v>216174</v>
      </c>
      <c r="M361" s="12" t="n">
        <v>35271</v>
      </c>
      <c r="N361" s="12" t="n">
        <v>3437</v>
      </c>
      <c r="O361" s="12" t="n">
        <v>381</v>
      </c>
      <c r="P361" s="12" t="n">
        <f aca="false">M361+N361+O361</f>
        <v>39089</v>
      </c>
      <c r="Q361" s="13" t="n">
        <f aca="false">IF(I361=0,0,P361/I361)</f>
        <v>0.0148137396497289</v>
      </c>
      <c r="R361" s="13" t="n">
        <v>0.0484</v>
      </c>
      <c r="S361" s="14" t="n">
        <v>257146</v>
      </c>
      <c r="T361" s="14" t="n">
        <v>19624</v>
      </c>
      <c r="U361" s="14" t="n">
        <v>12248</v>
      </c>
      <c r="V361" s="14" t="n">
        <v>17873</v>
      </c>
      <c r="W361" s="14" t="n">
        <f aca="false">S361+T361+U361+V361</f>
        <v>306891</v>
      </c>
      <c r="X361" s="15" t="n">
        <f aca="false">IF(P361=0,0,S361/P361)</f>
        <v>6.57847476272097</v>
      </c>
      <c r="Y361" s="15" t="n">
        <f aca="false">IF(J361=0,0,W361/J361)</f>
        <v>0.434270294135127</v>
      </c>
      <c r="Z361" s="14" t="n">
        <v>46515</v>
      </c>
      <c r="AA361" s="15" t="n">
        <f aca="false">IF(L361=0,0,Z361/L361)</f>
        <v>0.215173887701574</v>
      </c>
      <c r="AB361" s="12" t="n">
        <v>55730194</v>
      </c>
      <c r="AC361" s="16" t="n">
        <v>11.3</v>
      </c>
      <c r="AD361" s="16" t="n">
        <v>23.2</v>
      </c>
      <c r="AE361" s="13" t="n">
        <v>0.406</v>
      </c>
      <c r="AF361" s="13" t="n">
        <v>0.58</v>
      </c>
      <c r="AG361" s="13" t="n">
        <v>0.352</v>
      </c>
      <c r="AH361" s="13" t="n">
        <v>0.211</v>
      </c>
      <c r="AI361" s="17"/>
    </row>
    <row r="362" customFormat="false" ht="15" hidden="false" customHeight="false" outlineLevel="0" collapsed="false">
      <c r="A362" s="10" t="n">
        <v>45536</v>
      </c>
      <c r="B362" s="11" t="n">
        <f aca="false">YEAR(A362)</f>
        <v>2024</v>
      </c>
      <c r="C362" s="11" t="str">
        <f aca="false">"Q"&amp;ROUNDUP(MONTH(A362)/3,0)</f>
        <v>Q3</v>
      </c>
      <c r="D362" s="11" t="str">
        <f aca="false">B362&amp;"-"&amp;C362</f>
        <v>2024-Q3</v>
      </c>
      <c r="E362" s="11" t="n">
        <f aca="false">MONTH(A362)</f>
        <v>9</v>
      </c>
      <c r="F362" s="11" t="str">
        <f aca="false">TEXT(A362,"mmm")</f>
        <v>Sep</v>
      </c>
      <c r="G362" s="11" t="s">
        <v>202</v>
      </c>
      <c r="H362" s="11" t="s">
        <v>203</v>
      </c>
      <c r="I362" s="12" t="n">
        <v>8749303</v>
      </c>
      <c r="J362" s="12" t="n">
        <v>3106050</v>
      </c>
      <c r="K362" s="13" t="n">
        <f aca="false">IF(I362=0,0,J362/I362)</f>
        <v>0.355005421574724</v>
      </c>
      <c r="L362" s="12" t="n">
        <v>1090729</v>
      </c>
      <c r="M362" s="12" t="n">
        <v>1799955</v>
      </c>
      <c r="N362" s="12" t="n">
        <v>211406</v>
      </c>
      <c r="O362" s="12" t="n">
        <v>179751</v>
      </c>
      <c r="P362" s="12" t="n">
        <f aca="false">M362+N362+O362</f>
        <v>2191112</v>
      </c>
      <c r="Q362" s="13" t="n">
        <f aca="false">IF(I362=0,0,P362/I362)</f>
        <v>0.250432748757244</v>
      </c>
      <c r="R362" s="13" t="n">
        <v>0.0389</v>
      </c>
      <c r="S362" s="14" t="n">
        <v>15033919</v>
      </c>
      <c r="T362" s="14" t="n">
        <v>1198364</v>
      </c>
      <c r="U362" s="14" t="n">
        <v>731895</v>
      </c>
      <c r="V362" s="14" t="n">
        <v>892255</v>
      </c>
      <c r="W362" s="14" t="n">
        <f aca="false">S362+T362+U362+V362</f>
        <v>17856433</v>
      </c>
      <c r="X362" s="15" t="n">
        <f aca="false">IF(P362=0,0,S362/P362)</f>
        <v>6.86131927532687</v>
      </c>
      <c r="Y362" s="15" t="n">
        <f aca="false">IF(J362=0,0,W362/J362)</f>
        <v>5.74892001094638</v>
      </c>
      <c r="Z362" s="14" t="n">
        <v>2974788</v>
      </c>
      <c r="AA362" s="15" t="n">
        <f aca="false">IF(L362=0,0,Z362/L362)</f>
        <v>2.72733923825258</v>
      </c>
      <c r="AB362" s="12" t="n">
        <v>255267678</v>
      </c>
      <c r="AC362" s="16" t="n">
        <v>13.2</v>
      </c>
      <c r="AD362" s="16" t="n">
        <v>23.3</v>
      </c>
      <c r="AE362" s="13" t="n">
        <v>0.417</v>
      </c>
      <c r="AF362" s="13" t="n">
        <v>0.596</v>
      </c>
      <c r="AG362" s="13" t="n">
        <v>0.344</v>
      </c>
      <c r="AH362" s="13" t="n">
        <v>0.208</v>
      </c>
      <c r="AI362" s="17" t="n">
        <v>4.72</v>
      </c>
    </row>
    <row r="363" customFormat="false" ht="15" hidden="false" customHeight="false" outlineLevel="0" collapsed="false">
      <c r="A363" s="10" t="n">
        <v>45536</v>
      </c>
      <c r="B363" s="11" t="n">
        <f aca="false">YEAR(A363)</f>
        <v>2024</v>
      </c>
      <c r="C363" s="11" t="str">
        <f aca="false">"Q"&amp;ROUNDUP(MONTH(A363)/3,0)</f>
        <v>Q3</v>
      </c>
      <c r="D363" s="11" t="str">
        <f aca="false">B363&amp;"-"&amp;C363</f>
        <v>2024-Q3</v>
      </c>
      <c r="E363" s="11" t="n">
        <f aca="false">MONTH(A363)</f>
        <v>9</v>
      </c>
      <c r="F363" s="11" t="str">
        <f aca="false">TEXT(A363,"mmm")</f>
        <v>Sep</v>
      </c>
      <c r="G363" s="11" t="s">
        <v>202</v>
      </c>
      <c r="H363" s="11" t="s">
        <v>204</v>
      </c>
      <c r="I363" s="12" t="n">
        <v>11055129</v>
      </c>
      <c r="J363" s="12" t="n">
        <v>3609122</v>
      </c>
      <c r="K363" s="13" t="n">
        <f aca="false">IF(I363=0,0,J363/I363)</f>
        <v>0.326465842234858</v>
      </c>
      <c r="L363" s="12" t="n">
        <v>1238241</v>
      </c>
      <c r="M363" s="12" t="n">
        <v>1106817</v>
      </c>
      <c r="N363" s="12" t="n">
        <v>131501</v>
      </c>
      <c r="O363" s="12" t="n">
        <v>81185</v>
      </c>
      <c r="P363" s="12" t="n">
        <f aca="false">M363+N363+O363</f>
        <v>1319503</v>
      </c>
      <c r="Q363" s="13" t="n">
        <f aca="false">IF(I363=0,0,P363/I363)</f>
        <v>0.119356635277616</v>
      </c>
      <c r="R363" s="13" t="n">
        <v>0.0411</v>
      </c>
      <c r="S363" s="14" t="n">
        <v>8452950</v>
      </c>
      <c r="T363" s="14" t="n">
        <v>692630</v>
      </c>
      <c r="U363" s="14" t="n">
        <v>390643</v>
      </c>
      <c r="V363" s="14" t="n">
        <v>489363</v>
      </c>
      <c r="W363" s="14" t="n">
        <f aca="false">S363+T363+U363+V363</f>
        <v>10025586</v>
      </c>
      <c r="X363" s="15" t="n">
        <f aca="false">IF(P363=0,0,S363/P363)</f>
        <v>6.40616201706249</v>
      </c>
      <c r="Y363" s="15" t="n">
        <f aca="false">IF(J363=0,0,W363/J363)</f>
        <v>2.77784624626156</v>
      </c>
      <c r="Z363" s="14" t="n">
        <v>1743758</v>
      </c>
      <c r="AA363" s="15" t="n">
        <f aca="false">IF(L363=0,0,Z363/L363)</f>
        <v>1.40825412823513</v>
      </c>
      <c r="AB363" s="12" t="n">
        <v>291684461</v>
      </c>
      <c r="AC363" s="16" t="n">
        <v>12.7</v>
      </c>
      <c r="AD363" s="16" t="n">
        <v>24.1</v>
      </c>
      <c r="AE363" s="13" t="n">
        <v>0.414</v>
      </c>
      <c r="AF363" s="13" t="n">
        <v>0.588</v>
      </c>
      <c r="AG363" s="13" t="n">
        <v>0.357</v>
      </c>
      <c r="AH363" s="13" t="n">
        <v>0.218</v>
      </c>
      <c r="AI363" s="17" t="n">
        <v>4.66</v>
      </c>
    </row>
    <row r="364" customFormat="false" ht="15" hidden="false" customHeight="false" outlineLevel="0" collapsed="false">
      <c r="A364" s="10" t="n">
        <v>45536</v>
      </c>
      <c r="B364" s="11" t="n">
        <f aca="false">YEAR(A364)</f>
        <v>2024</v>
      </c>
      <c r="C364" s="11" t="str">
        <f aca="false">"Q"&amp;ROUNDUP(MONTH(A364)/3,0)</f>
        <v>Q3</v>
      </c>
      <c r="D364" s="11" t="str">
        <f aca="false">B364&amp;"-"&amp;C364</f>
        <v>2024-Q3</v>
      </c>
      <c r="E364" s="11" t="n">
        <f aca="false">MONTH(A364)</f>
        <v>9</v>
      </c>
      <c r="F364" s="11" t="str">
        <f aca="false">TEXT(A364,"mmm")</f>
        <v>Sep</v>
      </c>
      <c r="G364" s="11" t="s">
        <v>202</v>
      </c>
      <c r="H364" s="11" t="s">
        <v>205</v>
      </c>
      <c r="I364" s="12" t="n">
        <v>3321786</v>
      </c>
      <c r="J364" s="12" t="n">
        <v>955684</v>
      </c>
      <c r="K364" s="13" t="n">
        <f aca="false">IF(I364=0,0,J364/I364)</f>
        <v>0.28770185677223</v>
      </c>
      <c r="L364" s="12" t="n">
        <v>335038</v>
      </c>
      <c r="M364" s="12" t="n">
        <v>281138</v>
      </c>
      <c r="N364" s="12" t="n">
        <v>29628</v>
      </c>
      <c r="O364" s="12" t="n">
        <v>13292</v>
      </c>
      <c r="P364" s="12" t="n">
        <f aca="false">M364+N364+O364</f>
        <v>324058</v>
      </c>
      <c r="Q364" s="13" t="n">
        <f aca="false">IF(I364=0,0,P364/I364)</f>
        <v>0.0975553512477926</v>
      </c>
      <c r="R364" s="13" t="n">
        <v>0.0448</v>
      </c>
      <c r="S364" s="14" t="n">
        <v>2289595</v>
      </c>
      <c r="T364" s="14" t="n">
        <v>189708</v>
      </c>
      <c r="U364" s="14" t="n">
        <v>109497</v>
      </c>
      <c r="V364" s="14" t="n">
        <v>129604</v>
      </c>
      <c r="W364" s="14" t="n">
        <f aca="false">S364+T364+U364+V364</f>
        <v>2718404</v>
      </c>
      <c r="X364" s="15" t="n">
        <f aca="false">IF(P364=0,0,S364/P364)</f>
        <v>7.06538644316758</v>
      </c>
      <c r="Y364" s="15" t="n">
        <f aca="false">IF(J364=0,0,W364/J364)</f>
        <v>2.84445904713273</v>
      </c>
      <c r="Z364" s="14" t="n">
        <v>499606</v>
      </c>
      <c r="AA364" s="15" t="n">
        <f aca="false">IF(L364=0,0,Z364/L364)</f>
        <v>1.49119204388756</v>
      </c>
      <c r="AB364" s="12" t="n">
        <v>76040615</v>
      </c>
      <c r="AC364" s="16" t="n">
        <v>11.2</v>
      </c>
      <c r="AD364" s="16" t="n">
        <v>23.1</v>
      </c>
      <c r="AE364" s="13" t="n">
        <v>0.41</v>
      </c>
      <c r="AF364" s="13" t="n">
        <v>0.59</v>
      </c>
      <c r="AG364" s="13" t="n">
        <v>0.338</v>
      </c>
      <c r="AH364" s="13" t="n">
        <v>0.215</v>
      </c>
      <c r="AI364" s="17"/>
    </row>
    <row r="365" customFormat="false" ht="15" hidden="false" customHeight="false" outlineLevel="0" collapsed="false">
      <c r="A365" s="10" t="n">
        <v>45536</v>
      </c>
      <c r="B365" s="11" t="n">
        <f aca="false">YEAR(A365)</f>
        <v>2024</v>
      </c>
      <c r="C365" s="11" t="str">
        <f aca="false">"Q"&amp;ROUNDUP(MONTH(A365)/3,0)</f>
        <v>Q3</v>
      </c>
      <c r="D365" s="11" t="str">
        <f aca="false">B365&amp;"-"&amp;C365</f>
        <v>2024-Q3</v>
      </c>
      <c r="E365" s="11" t="n">
        <f aca="false">MONTH(A365)</f>
        <v>9</v>
      </c>
      <c r="F365" s="11" t="str">
        <f aca="false">TEXT(A365,"mmm")</f>
        <v>Sep</v>
      </c>
      <c r="G365" s="11" t="s">
        <v>206</v>
      </c>
      <c r="H365" s="11" t="s">
        <v>203</v>
      </c>
      <c r="I365" s="12" t="n">
        <v>9528018</v>
      </c>
      <c r="J365" s="12" t="n">
        <v>3431886</v>
      </c>
      <c r="K365" s="13" t="n">
        <f aca="false">IF(I365=0,0,J365/I365)</f>
        <v>0.360188866141941</v>
      </c>
      <c r="L365" s="12" t="n">
        <v>1310938</v>
      </c>
      <c r="M365" s="12" t="n">
        <v>1165530</v>
      </c>
      <c r="N365" s="12" t="n">
        <v>128660</v>
      </c>
      <c r="O365" s="12" t="n">
        <v>69943</v>
      </c>
      <c r="P365" s="12" t="n">
        <f aca="false">M365+N365+O365</f>
        <v>1364133</v>
      </c>
      <c r="Q365" s="13" t="n">
        <f aca="false">IF(I365=0,0,P365/I365)</f>
        <v>0.143170699299686</v>
      </c>
      <c r="R365" s="13" t="n">
        <v>0.0437</v>
      </c>
      <c r="S365" s="14" t="n">
        <v>9593053</v>
      </c>
      <c r="T365" s="14" t="n">
        <v>741703</v>
      </c>
      <c r="U365" s="14" t="n">
        <v>434098</v>
      </c>
      <c r="V365" s="14" t="n">
        <v>624560</v>
      </c>
      <c r="W365" s="14" t="n">
        <f aca="false">S365+T365+U365+V365</f>
        <v>11393414</v>
      </c>
      <c r="X365" s="15" t="n">
        <f aca="false">IF(P365=0,0,S365/P365)</f>
        <v>7.03234435351978</v>
      </c>
      <c r="Y365" s="15" t="n">
        <f aca="false">IF(J365=0,0,W365/J365)</f>
        <v>3.31986959939812</v>
      </c>
      <c r="Z365" s="14" t="n">
        <v>2025632</v>
      </c>
      <c r="AA365" s="15" t="n">
        <f aca="false">IF(L365=0,0,Z365/L365)</f>
        <v>1.54517757514085</v>
      </c>
      <c r="AB365" s="12" t="n">
        <v>279840400</v>
      </c>
      <c r="AC365" s="16" t="n">
        <v>12.9</v>
      </c>
      <c r="AD365" s="16" t="n">
        <v>23.4</v>
      </c>
      <c r="AE365" s="13" t="n">
        <v>0.415</v>
      </c>
      <c r="AF365" s="13" t="n">
        <v>0.594</v>
      </c>
      <c r="AG365" s="13" t="n">
        <v>0.355</v>
      </c>
      <c r="AH365" s="13" t="n">
        <v>0.208</v>
      </c>
      <c r="AI365" s="17" t="n">
        <v>4.7</v>
      </c>
    </row>
    <row r="366" customFormat="false" ht="15" hidden="false" customHeight="false" outlineLevel="0" collapsed="false">
      <c r="A366" s="10" t="n">
        <v>45536</v>
      </c>
      <c r="B366" s="11" t="n">
        <f aca="false">YEAR(A366)</f>
        <v>2024</v>
      </c>
      <c r="C366" s="11" t="str">
        <f aca="false">"Q"&amp;ROUNDUP(MONTH(A366)/3,0)</f>
        <v>Q3</v>
      </c>
      <c r="D366" s="11" t="str">
        <f aca="false">B366&amp;"-"&amp;C366</f>
        <v>2024-Q3</v>
      </c>
      <c r="E366" s="11" t="n">
        <f aca="false">MONTH(A366)</f>
        <v>9</v>
      </c>
      <c r="F366" s="11" t="str">
        <f aca="false">TEXT(A366,"mmm")</f>
        <v>Sep</v>
      </c>
      <c r="G366" s="11" t="s">
        <v>206</v>
      </c>
      <c r="H366" s="11" t="s">
        <v>204</v>
      </c>
      <c r="I366" s="12" t="n">
        <v>12990005</v>
      </c>
      <c r="J366" s="12" t="n">
        <v>4263508</v>
      </c>
      <c r="K366" s="13" t="n">
        <f aca="false">IF(I366=0,0,J366/I366)</f>
        <v>0.328214500302348</v>
      </c>
      <c r="L366" s="12" t="n">
        <v>1443742</v>
      </c>
      <c r="M366" s="12" t="n">
        <v>620622</v>
      </c>
      <c r="N366" s="12" t="n">
        <v>74828</v>
      </c>
      <c r="O366" s="12" t="n">
        <v>27813</v>
      </c>
      <c r="P366" s="12" t="n">
        <f aca="false">M366+N366+O366</f>
        <v>723263</v>
      </c>
      <c r="Q366" s="13" t="n">
        <f aca="false">IF(I366=0,0,P366/I366)</f>
        <v>0.0556784235263959</v>
      </c>
      <c r="R366" s="13" t="n">
        <v>0.0382</v>
      </c>
      <c r="S366" s="14" t="n">
        <v>4896456</v>
      </c>
      <c r="T366" s="14" t="n">
        <v>335752</v>
      </c>
      <c r="U366" s="14" t="n">
        <v>215206</v>
      </c>
      <c r="V366" s="14" t="n">
        <v>305446</v>
      </c>
      <c r="W366" s="14" t="n">
        <f aca="false">S366+T366+U366+V366</f>
        <v>5752860</v>
      </c>
      <c r="X366" s="15" t="n">
        <f aca="false">IF(P366=0,0,S366/P366)</f>
        <v>6.76995228568308</v>
      </c>
      <c r="Y366" s="15" t="n">
        <f aca="false">IF(J366=0,0,W366/J366)</f>
        <v>1.34932548502313</v>
      </c>
      <c r="Z366" s="14" t="n">
        <v>1014702</v>
      </c>
      <c r="AA366" s="15" t="n">
        <f aca="false">IF(L366=0,0,Z366/L366)</f>
        <v>0.702827790560917</v>
      </c>
      <c r="AB366" s="12" t="n">
        <v>339132401</v>
      </c>
      <c r="AC366" s="16" t="n">
        <v>12.7</v>
      </c>
      <c r="AD366" s="16" t="n">
        <v>23.8</v>
      </c>
      <c r="AE366" s="13" t="n">
        <v>0.421</v>
      </c>
      <c r="AF366" s="13" t="n">
        <v>0.577</v>
      </c>
      <c r="AG366" s="13" t="n">
        <v>0.351</v>
      </c>
      <c r="AH366" s="13" t="n">
        <v>0.205</v>
      </c>
      <c r="AI366" s="17" t="n">
        <v>4.62</v>
      </c>
    </row>
    <row r="367" customFormat="false" ht="15" hidden="false" customHeight="false" outlineLevel="0" collapsed="false">
      <c r="A367" s="10" t="n">
        <v>45536</v>
      </c>
      <c r="B367" s="11" t="n">
        <f aca="false">YEAR(A367)</f>
        <v>2024</v>
      </c>
      <c r="C367" s="11" t="str">
        <f aca="false">"Q"&amp;ROUNDUP(MONTH(A367)/3,0)</f>
        <v>Q3</v>
      </c>
      <c r="D367" s="11" t="str">
        <f aca="false">B367&amp;"-"&amp;C367</f>
        <v>2024-Q3</v>
      </c>
      <c r="E367" s="11" t="n">
        <f aca="false">MONTH(A367)</f>
        <v>9</v>
      </c>
      <c r="F367" s="11" t="str">
        <f aca="false">TEXT(A367,"mmm")</f>
        <v>Sep</v>
      </c>
      <c r="G367" s="11" t="s">
        <v>206</v>
      </c>
      <c r="H367" s="11" t="s">
        <v>205</v>
      </c>
      <c r="I367" s="12" t="n">
        <v>3426287</v>
      </c>
      <c r="J367" s="12" t="n">
        <v>1080756</v>
      </c>
      <c r="K367" s="13" t="n">
        <f aca="false">IF(I367=0,0,J367/I367)</f>
        <v>0.31543066882605</v>
      </c>
      <c r="L367" s="12" t="n">
        <v>386551</v>
      </c>
      <c r="M367" s="12" t="n">
        <v>185477</v>
      </c>
      <c r="N367" s="12" t="n">
        <v>20852</v>
      </c>
      <c r="O367" s="12" t="n">
        <v>5429</v>
      </c>
      <c r="P367" s="12" t="n">
        <f aca="false">M367+N367+O367</f>
        <v>211758</v>
      </c>
      <c r="Q367" s="13" t="n">
        <f aca="false">IF(I367=0,0,P367/I367)</f>
        <v>0.0618039294431552</v>
      </c>
      <c r="R367" s="13" t="n">
        <v>0.0476</v>
      </c>
      <c r="S367" s="14" t="n">
        <v>1381762</v>
      </c>
      <c r="T367" s="14" t="n">
        <v>104960</v>
      </c>
      <c r="U367" s="14" t="n">
        <v>66461</v>
      </c>
      <c r="V367" s="14" t="n">
        <v>84625</v>
      </c>
      <c r="W367" s="14" t="n">
        <f aca="false">S367+T367+U367+V367</f>
        <v>1637808</v>
      </c>
      <c r="X367" s="15" t="n">
        <f aca="false">IF(P367=0,0,S367/P367)</f>
        <v>6.52519385336091</v>
      </c>
      <c r="Y367" s="15" t="n">
        <f aca="false">IF(J367=0,0,W367/J367)</f>
        <v>1.51542808922643</v>
      </c>
      <c r="Z367" s="14" t="n">
        <v>291184</v>
      </c>
      <c r="AA367" s="15" t="n">
        <f aca="false">IF(L367=0,0,Z367/L367)</f>
        <v>0.753287405801563</v>
      </c>
      <c r="AB367" s="12" t="n">
        <v>86504314</v>
      </c>
      <c r="AC367" s="16" t="n">
        <v>11.4</v>
      </c>
      <c r="AD367" s="16" t="n">
        <v>23.4</v>
      </c>
      <c r="AE367" s="13" t="n">
        <v>0.408</v>
      </c>
      <c r="AF367" s="13" t="n">
        <v>0.591</v>
      </c>
      <c r="AG367" s="13" t="n">
        <v>0.36</v>
      </c>
      <c r="AH367" s="13" t="n">
        <v>0.212</v>
      </c>
      <c r="AI367" s="17"/>
    </row>
    <row r="368" customFormat="false" ht="15" hidden="false" customHeight="false" outlineLevel="0" collapsed="false">
      <c r="A368" s="10" t="n">
        <v>45536</v>
      </c>
      <c r="B368" s="11" t="n">
        <f aca="false">YEAR(A368)</f>
        <v>2024</v>
      </c>
      <c r="C368" s="11" t="str">
        <f aca="false">"Q"&amp;ROUNDUP(MONTH(A368)/3,0)</f>
        <v>Q3</v>
      </c>
      <c r="D368" s="11" t="str">
        <f aca="false">B368&amp;"-"&amp;C368</f>
        <v>2024-Q3</v>
      </c>
      <c r="E368" s="11" t="n">
        <f aca="false">MONTH(A368)</f>
        <v>9</v>
      </c>
      <c r="F368" s="11" t="str">
        <f aca="false">TEXT(A368,"mmm")</f>
        <v>Sep</v>
      </c>
      <c r="G368" s="11" t="s">
        <v>207</v>
      </c>
      <c r="H368" s="11" t="s">
        <v>203</v>
      </c>
      <c r="I368" s="12" t="n">
        <v>8557951</v>
      </c>
      <c r="J368" s="12" t="n">
        <v>2944050</v>
      </c>
      <c r="K368" s="13" t="n">
        <f aca="false">IF(I368=0,0,J368/I368)</f>
        <v>0.344013420969576</v>
      </c>
      <c r="L368" s="12" t="n">
        <v>887195</v>
      </c>
      <c r="M368" s="12" t="n">
        <v>601173</v>
      </c>
      <c r="N368" s="12" t="n">
        <v>69970</v>
      </c>
      <c r="O368" s="12" t="n">
        <v>24985</v>
      </c>
      <c r="P368" s="12" t="n">
        <f aca="false">M368+N368+O368</f>
        <v>696128</v>
      </c>
      <c r="Q368" s="13" t="n">
        <f aca="false">IF(I368=0,0,P368/I368)</f>
        <v>0.0813428354520843</v>
      </c>
      <c r="R368" s="13" t="n">
        <v>0.0431</v>
      </c>
      <c r="S368" s="14" t="n">
        <v>4668086</v>
      </c>
      <c r="T368" s="14" t="n">
        <v>360959</v>
      </c>
      <c r="U368" s="14" t="n">
        <v>220702</v>
      </c>
      <c r="V368" s="14" t="n">
        <v>290584</v>
      </c>
      <c r="W368" s="14" t="n">
        <f aca="false">S368+T368+U368+V368</f>
        <v>5540331</v>
      </c>
      <c r="X368" s="15" t="n">
        <f aca="false">IF(P368=0,0,S368/P368)</f>
        <v>6.70578686678312</v>
      </c>
      <c r="Y368" s="15" t="n">
        <f aca="false">IF(J368=0,0,W368/J368)</f>
        <v>1.88187394915168</v>
      </c>
      <c r="Z368" s="14" t="n">
        <v>835399</v>
      </c>
      <c r="AA368" s="15" t="n">
        <f aca="false">IF(L368=0,0,Z368/L368)</f>
        <v>0.941618246270549</v>
      </c>
      <c r="AB368" s="12" t="n">
        <v>239140451</v>
      </c>
      <c r="AC368" s="16" t="n">
        <v>12.9</v>
      </c>
      <c r="AD368" s="16" t="n">
        <v>23.9</v>
      </c>
      <c r="AE368" s="13" t="n">
        <v>0.415</v>
      </c>
      <c r="AF368" s="13" t="n">
        <v>0.599</v>
      </c>
      <c r="AG368" s="13" t="n">
        <v>0.344</v>
      </c>
      <c r="AH368" s="13" t="n">
        <v>0.206</v>
      </c>
      <c r="AI368" s="17" t="n">
        <v>4.71</v>
      </c>
    </row>
    <row r="369" customFormat="false" ht="15" hidden="false" customHeight="false" outlineLevel="0" collapsed="false">
      <c r="A369" s="10" t="n">
        <v>45536</v>
      </c>
      <c r="B369" s="11" t="n">
        <f aca="false">YEAR(A369)</f>
        <v>2024</v>
      </c>
      <c r="C369" s="11" t="str">
        <f aca="false">"Q"&amp;ROUNDUP(MONTH(A369)/3,0)</f>
        <v>Q3</v>
      </c>
      <c r="D369" s="11" t="str">
        <f aca="false">B369&amp;"-"&amp;C369</f>
        <v>2024-Q3</v>
      </c>
      <c r="E369" s="11" t="n">
        <f aca="false">MONTH(A369)</f>
        <v>9</v>
      </c>
      <c r="F369" s="11" t="str">
        <f aca="false">TEXT(A369,"mmm")</f>
        <v>Sep</v>
      </c>
      <c r="G369" s="11" t="s">
        <v>207</v>
      </c>
      <c r="H369" s="11" t="s">
        <v>204</v>
      </c>
      <c r="I369" s="12" t="n">
        <v>10414335</v>
      </c>
      <c r="J369" s="12" t="n">
        <v>3232692</v>
      </c>
      <c r="K369" s="13" t="n">
        <f aca="false">IF(I369=0,0,J369/I369)</f>
        <v>0.310407913707404</v>
      </c>
      <c r="L369" s="12" t="n">
        <v>1254445</v>
      </c>
      <c r="M369" s="12" t="n">
        <v>354416</v>
      </c>
      <c r="N369" s="12" t="n">
        <v>42097</v>
      </c>
      <c r="O369" s="12" t="n">
        <v>10969</v>
      </c>
      <c r="P369" s="12" t="n">
        <f aca="false">M369+N369+O369</f>
        <v>407482</v>
      </c>
      <c r="Q369" s="13" t="n">
        <f aca="false">IF(I369=0,0,P369/I369)</f>
        <v>0.0391270301944387</v>
      </c>
      <c r="R369" s="13" t="n">
        <v>0.0417</v>
      </c>
      <c r="S369" s="14" t="n">
        <v>2649878</v>
      </c>
      <c r="T369" s="14" t="n">
        <v>216434</v>
      </c>
      <c r="U369" s="14" t="n">
        <v>127783</v>
      </c>
      <c r="V369" s="14" t="n">
        <v>168641</v>
      </c>
      <c r="W369" s="14" t="n">
        <f aca="false">S369+T369+U369+V369</f>
        <v>3162736</v>
      </c>
      <c r="X369" s="15" t="n">
        <f aca="false">IF(P369=0,0,S369/P369)</f>
        <v>6.50305534968416</v>
      </c>
      <c r="Y369" s="15" t="n">
        <f aca="false">IF(J369=0,0,W369/J369)</f>
        <v>0.978359831372738</v>
      </c>
      <c r="Z369" s="14" t="n">
        <v>505749</v>
      </c>
      <c r="AA369" s="15" t="n">
        <f aca="false">IF(L369=0,0,Z369/L369)</f>
        <v>0.403165543327926</v>
      </c>
      <c r="AB369" s="12" t="n">
        <v>256050872</v>
      </c>
      <c r="AC369" s="16" t="n">
        <v>12.6</v>
      </c>
      <c r="AD369" s="16" t="n">
        <v>23.9</v>
      </c>
      <c r="AE369" s="13" t="n">
        <v>0.428</v>
      </c>
      <c r="AF369" s="13" t="n">
        <v>0.595</v>
      </c>
      <c r="AG369" s="13" t="n">
        <v>0.364</v>
      </c>
      <c r="AH369" s="13" t="n">
        <v>0.214</v>
      </c>
      <c r="AI369" s="17" t="n">
        <v>4.7</v>
      </c>
    </row>
    <row r="370" customFormat="false" ht="15" hidden="false" customHeight="false" outlineLevel="0" collapsed="false">
      <c r="A370" s="10" t="n">
        <v>45536</v>
      </c>
      <c r="B370" s="11" t="n">
        <f aca="false">YEAR(A370)</f>
        <v>2024</v>
      </c>
      <c r="C370" s="11" t="str">
        <f aca="false">"Q"&amp;ROUNDUP(MONTH(A370)/3,0)</f>
        <v>Q3</v>
      </c>
      <c r="D370" s="11" t="str">
        <f aca="false">B370&amp;"-"&amp;C370</f>
        <v>2024-Q3</v>
      </c>
      <c r="E370" s="11" t="n">
        <f aca="false">MONTH(A370)</f>
        <v>9</v>
      </c>
      <c r="F370" s="11" t="str">
        <f aca="false">TEXT(A370,"mmm")</f>
        <v>Sep</v>
      </c>
      <c r="G370" s="11" t="s">
        <v>207</v>
      </c>
      <c r="H370" s="11" t="s">
        <v>205</v>
      </c>
      <c r="I370" s="12" t="n">
        <v>3279572</v>
      </c>
      <c r="J370" s="12" t="n">
        <v>892605</v>
      </c>
      <c r="K370" s="13" t="n">
        <f aca="false">IF(I370=0,0,J370/I370)</f>
        <v>0.272171185752287</v>
      </c>
      <c r="L370" s="12" t="n">
        <v>327229</v>
      </c>
      <c r="M370" s="12" t="n">
        <v>93295</v>
      </c>
      <c r="N370" s="12" t="n">
        <v>11038</v>
      </c>
      <c r="O370" s="12" t="n">
        <v>1907</v>
      </c>
      <c r="P370" s="12" t="n">
        <f aca="false">M370+N370+O370</f>
        <v>106240</v>
      </c>
      <c r="Q370" s="13" t="n">
        <f aca="false">IF(I370=0,0,P370/I370)</f>
        <v>0.0323944709858482</v>
      </c>
      <c r="R370" s="13" t="n">
        <v>0.0433</v>
      </c>
      <c r="S370" s="14" t="n">
        <v>685575</v>
      </c>
      <c r="T370" s="14" t="n">
        <v>53394</v>
      </c>
      <c r="U370" s="14" t="n">
        <v>32138</v>
      </c>
      <c r="V370" s="14" t="n">
        <v>42130</v>
      </c>
      <c r="W370" s="14" t="n">
        <f aca="false">S370+T370+U370+V370</f>
        <v>813237</v>
      </c>
      <c r="X370" s="15" t="n">
        <f aca="false">IF(P370=0,0,S370/P370)</f>
        <v>6.45307793674699</v>
      </c>
      <c r="Y370" s="15" t="n">
        <f aca="false">IF(J370=0,0,W370/J370)</f>
        <v>0.911082729762885</v>
      </c>
      <c r="Z370" s="14" t="n">
        <v>133201</v>
      </c>
      <c r="AA370" s="15" t="n">
        <f aca="false">IF(L370=0,0,Z370/L370)</f>
        <v>0.407057442952795</v>
      </c>
      <c r="AB370" s="12" t="n">
        <v>73797994</v>
      </c>
      <c r="AC370" s="16" t="n">
        <v>11.5</v>
      </c>
      <c r="AD370" s="16" t="n">
        <v>22.2</v>
      </c>
      <c r="AE370" s="13" t="n">
        <v>0.416</v>
      </c>
      <c r="AF370" s="13" t="n">
        <v>0.583</v>
      </c>
      <c r="AG370" s="13" t="n">
        <v>0.346</v>
      </c>
      <c r="AH370" s="13" t="n">
        <v>0.215</v>
      </c>
      <c r="AI370" s="17"/>
    </row>
    <row r="371" customFormat="false" ht="15" hidden="false" customHeight="false" outlineLevel="0" collapsed="false">
      <c r="A371" s="10" t="n">
        <v>45536</v>
      </c>
      <c r="B371" s="11" t="n">
        <f aca="false">YEAR(A371)</f>
        <v>2024</v>
      </c>
      <c r="C371" s="11" t="str">
        <f aca="false">"Q"&amp;ROUNDUP(MONTH(A371)/3,0)</f>
        <v>Q3</v>
      </c>
      <c r="D371" s="11" t="str">
        <f aca="false">B371&amp;"-"&amp;C371</f>
        <v>2024-Q3</v>
      </c>
      <c r="E371" s="11" t="n">
        <f aca="false">MONTH(A371)</f>
        <v>9</v>
      </c>
      <c r="F371" s="11" t="str">
        <f aca="false">TEXT(A371,"mmm")</f>
        <v>Sep</v>
      </c>
      <c r="G371" s="11" t="s">
        <v>208</v>
      </c>
      <c r="H371" s="11" t="s">
        <v>203</v>
      </c>
      <c r="I371" s="12" t="n">
        <v>6516277</v>
      </c>
      <c r="J371" s="12" t="n">
        <v>2287102</v>
      </c>
      <c r="K371" s="13" t="n">
        <f aca="false">IF(I371=0,0,J371/I371)</f>
        <v>0.350982930897505</v>
      </c>
      <c r="L371" s="12" t="n">
        <v>836982</v>
      </c>
      <c r="M371" s="12" t="n">
        <v>300069</v>
      </c>
      <c r="N371" s="12" t="n">
        <v>33180</v>
      </c>
      <c r="O371" s="12" t="n">
        <v>8768</v>
      </c>
      <c r="P371" s="12" t="n">
        <f aca="false">M371+N371+O371</f>
        <v>342017</v>
      </c>
      <c r="Q371" s="13" t="n">
        <f aca="false">IF(I371=0,0,P371/I371)</f>
        <v>0.0524865655649691</v>
      </c>
      <c r="R371" s="13" t="n">
        <v>0.0419</v>
      </c>
      <c r="S371" s="14" t="n">
        <v>2169380</v>
      </c>
      <c r="T371" s="14" t="n">
        <v>175176</v>
      </c>
      <c r="U371" s="14" t="n">
        <v>110496</v>
      </c>
      <c r="V371" s="14" t="n">
        <v>133263</v>
      </c>
      <c r="W371" s="14" t="n">
        <f aca="false">S371+T371+U371+V371</f>
        <v>2588315</v>
      </c>
      <c r="X371" s="15" t="n">
        <f aca="false">IF(P371=0,0,S371/P371)</f>
        <v>6.34290108386425</v>
      </c>
      <c r="Y371" s="15" t="n">
        <f aca="false">IF(J371=0,0,W371/J371)</f>
        <v>1.13170072869509</v>
      </c>
      <c r="Z371" s="14" t="n">
        <v>464618</v>
      </c>
      <c r="AA371" s="15" t="n">
        <f aca="false">IF(L371=0,0,Z371/L371)</f>
        <v>0.555111101552961</v>
      </c>
      <c r="AB371" s="12" t="n">
        <v>193554497</v>
      </c>
      <c r="AC371" s="16" t="n">
        <v>12.9</v>
      </c>
      <c r="AD371" s="16" t="n">
        <v>23.3</v>
      </c>
      <c r="AE371" s="13" t="n">
        <v>0.424</v>
      </c>
      <c r="AF371" s="13" t="n">
        <v>0.588</v>
      </c>
      <c r="AG371" s="13" t="n">
        <v>0.348</v>
      </c>
      <c r="AH371" s="13" t="n">
        <v>0.214</v>
      </c>
      <c r="AI371" s="17" t="n">
        <v>4.69</v>
      </c>
    </row>
    <row r="372" customFormat="false" ht="15" hidden="false" customHeight="false" outlineLevel="0" collapsed="false">
      <c r="A372" s="10" t="n">
        <v>45536</v>
      </c>
      <c r="B372" s="11" t="n">
        <f aca="false">YEAR(A372)</f>
        <v>2024</v>
      </c>
      <c r="C372" s="11" t="str">
        <f aca="false">"Q"&amp;ROUNDUP(MONTH(A372)/3,0)</f>
        <v>Q3</v>
      </c>
      <c r="D372" s="11" t="str">
        <f aca="false">B372&amp;"-"&amp;C372</f>
        <v>2024-Q3</v>
      </c>
      <c r="E372" s="11" t="n">
        <f aca="false">MONTH(A372)</f>
        <v>9</v>
      </c>
      <c r="F372" s="11" t="str">
        <f aca="false">TEXT(A372,"mmm")</f>
        <v>Sep</v>
      </c>
      <c r="G372" s="11" t="s">
        <v>208</v>
      </c>
      <c r="H372" s="11" t="s">
        <v>204</v>
      </c>
      <c r="I372" s="12" t="n">
        <v>8322754</v>
      </c>
      <c r="J372" s="12" t="n">
        <v>2675411</v>
      </c>
      <c r="K372" s="13" t="n">
        <f aca="false">IF(I372=0,0,J372/I372)</f>
        <v>0.321457416619547</v>
      </c>
      <c r="L372" s="12" t="n">
        <v>932221</v>
      </c>
      <c r="M372" s="12" t="n">
        <v>178370</v>
      </c>
      <c r="N372" s="12" t="n">
        <v>18934</v>
      </c>
      <c r="O372" s="12" t="n">
        <v>3868</v>
      </c>
      <c r="P372" s="12" t="n">
        <f aca="false">M372+N372+O372</f>
        <v>201172</v>
      </c>
      <c r="Q372" s="13" t="n">
        <f aca="false">IF(I372=0,0,P372/I372)</f>
        <v>0.0241713259817604</v>
      </c>
      <c r="R372" s="13" t="n">
        <v>0.0425</v>
      </c>
      <c r="S372" s="14" t="n">
        <v>1206440</v>
      </c>
      <c r="T372" s="14" t="n">
        <v>86065</v>
      </c>
      <c r="U372" s="14" t="n">
        <v>52442</v>
      </c>
      <c r="V372" s="14" t="n">
        <v>70402</v>
      </c>
      <c r="W372" s="14" t="n">
        <f aca="false">S372+T372+U372+V372</f>
        <v>1415349</v>
      </c>
      <c r="X372" s="15" t="n">
        <f aca="false">IF(P372=0,0,S372/P372)</f>
        <v>5.99705724454696</v>
      </c>
      <c r="Y372" s="15" t="n">
        <f aca="false">IF(J372=0,0,W372/J372)</f>
        <v>0.529021148526339</v>
      </c>
      <c r="Z372" s="14" t="n">
        <v>235205</v>
      </c>
      <c r="AA372" s="15" t="n">
        <f aca="false">IF(L372=0,0,Z372/L372)</f>
        <v>0.252306051891129</v>
      </c>
      <c r="AB372" s="12" t="n">
        <v>221842344</v>
      </c>
      <c r="AC372" s="16" t="n">
        <v>12.7</v>
      </c>
      <c r="AD372" s="16" t="n">
        <v>23.9</v>
      </c>
      <c r="AE372" s="13" t="n">
        <v>0.407</v>
      </c>
      <c r="AF372" s="13" t="n">
        <v>0.582</v>
      </c>
      <c r="AG372" s="13" t="n">
        <v>0.351</v>
      </c>
      <c r="AH372" s="13" t="n">
        <v>0.217</v>
      </c>
      <c r="AI372" s="17" t="n">
        <v>4.63</v>
      </c>
    </row>
    <row r="373" customFormat="false" ht="15" hidden="false" customHeight="false" outlineLevel="0" collapsed="false">
      <c r="A373" s="10" t="n">
        <v>45536</v>
      </c>
      <c r="B373" s="11" t="n">
        <f aca="false">YEAR(A373)</f>
        <v>2024</v>
      </c>
      <c r="C373" s="11" t="str">
        <f aca="false">"Q"&amp;ROUNDUP(MONTH(A373)/3,0)</f>
        <v>Q3</v>
      </c>
      <c r="D373" s="11" t="str">
        <f aca="false">B373&amp;"-"&amp;C373</f>
        <v>2024-Q3</v>
      </c>
      <c r="E373" s="11" t="n">
        <f aca="false">MONTH(A373)</f>
        <v>9</v>
      </c>
      <c r="F373" s="11" t="str">
        <f aca="false">TEXT(A373,"mmm")</f>
        <v>Sep</v>
      </c>
      <c r="G373" s="11" t="s">
        <v>208</v>
      </c>
      <c r="H373" s="11" t="s">
        <v>205</v>
      </c>
      <c r="I373" s="12" t="n">
        <v>2696269</v>
      </c>
      <c r="J373" s="12" t="n">
        <v>767368</v>
      </c>
      <c r="K373" s="13" t="n">
        <f aca="false">IF(I373=0,0,J373/I373)</f>
        <v>0.284603650451791</v>
      </c>
      <c r="L373" s="12" t="n">
        <v>265734</v>
      </c>
      <c r="M373" s="12" t="n">
        <v>46015</v>
      </c>
      <c r="N373" s="12" t="n">
        <v>4569</v>
      </c>
      <c r="O373" s="12" t="n">
        <v>657</v>
      </c>
      <c r="P373" s="12" t="n">
        <f aca="false">M373+N373+O373</f>
        <v>51241</v>
      </c>
      <c r="Q373" s="13" t="n">
        <f aca="false">IF(I373=0,0,P373/I373)</f>
        <v>0.0190044094265075</v>
      </c>
      <c r="R373" s="13" t="n">
        <v>0.0428</v>
      </c>
      <c r="S373" s="14" t="n">
        <v>354642</v>
      </c>
      <c r="T373" s="14" t="n">
        <v>29266</v>
      </c>
      <c r="U373" s="14" t="n">
        <v>17393</v>
      </c>
      <c r="V373" s="14" t="n">
        <v>21822</v>
      </c>
      <c r="W373" s="14" t="n">
        <f aca="false">S373+T373+U373+V373</f>
        <v>423123</v>
      </c>
      <c r="X373" s="15" t="n">
        <f aca="false">IF(P373=0,0,S373/P373)</f>
        <v>6.92105930797603</v>
      </c>
      <c r="Y373" s="15" t="n">
        <f aca="false">IF(J373=0,0,W373/J373)</f>
        <v>0.551395158515862</v>
      </c>
      <c r="Z373" s="14" t="n">
        <v>67356</v>
      </c>
      <c r="AA373" s="15" t="n">
        <f aca="false">IF(L373=0,0,Z373/L373)</f>
        <v>0.253471516629411</v>
      </c>
      <c r="AB373" s="12" t="n">
        <v>60966012</v>
      </c>
      <c r="AC373" s="16" t="n">
        <v>11.3</v>
      </c>
      <c r="AD373" s="16" t="n">
        <v>23.9</v>
      </c>
      <c r="AE373" s="13" t="n">
        <v>0.414</v>
      </c>
      <c r="AF373" s="13" t="n">
        <v>0.593</v>
      </c>
      <c r="AG373" s="13" t="n">
        <v>0.357</v>
      </c>
      <c r="AH373" s="13" t="n">
        <v>0.218</v>
      </c>
      <c r="AI373" s="17"/>
    </row>
    <row r="374" customFormat="false" ht="15" hidden="false" customHeight="false" outlineLevel="0" collapsed="false">
      <c r="A374" s="10" t="n">
        <v>45536</v>
      </c>
      <c r="B374" s="11" t="n">
        <f aca="false">YEAR(A374)</f>
        <v>2024</v>
      </c>
      <c r="C374" s="11" t="str">
        <f aca="false">"Q"&amp;ROUNDUP(MONTH(A374)/3,0)</f>
        <v>Q3</v>
      </c>
      <c r="D374" s="11" t="str">
        <f aca="false">B374&amp;"-"&amp;C374</f>
        <v>2024-Q3</v>
      </c>
      <c r="E374" s="11" t="n">
        <f aca="false">MONTH(A374)</f>
        <v>9</v>
      </c>
      <c r="F374" s="11" t="str">
        <f aca="false">TEXT(A374,"mmm")</f>
        <v>Sep</v>
      </c>
      <c r="G374" s="11" t="s">
        <v>209</v>
      </c>
      <c r="H374" s="11" t="s">
        <v>203</v>
      </c>
      <c r="I374" s="12" t="n">
        <v>4101098</v>
      </c>
      <c r="J374" s="12" t="n">
        <v>1382716</v>
      </c>
      <c r="K374" s="13" t="n">
        <f aca="false">IF(I374=0,0,J374/I374)</f>
        <v>0.337157512451543</v>
      </c>
      <c r="L374" s="12" t="n">
        <v>568190</v>
      </c>
      <c r="M374" s="12" t="n">
        <v>115701</v>
      </c>
      <c r="N374" s="12" t="n">
        <v>13008</v>
      </c>
      <c r="O374" s="12" t="n">
        <v>2695</v>
      </c>
      <c r="P374" s="12" t="n">
        <f aca="false">M374+N374+O374</f>
        <v>131404</v>
      </c>
      <c r="Q374" s="13" t="n">
        <f aca="false">IF(I374=0,0,P374/I374)</f>
        <v>0.0320411753145133</v>
      </c>
      <c r="R374" s="13" t="n">
        <v>0.041</v>
      </c>
      <c r="S374" s="14" t="n">
        <v>880997</v>
      </c>
      <c r="T374" s="14" t="n">
        <v>63696</v>
      </c>
      <c r="U374" s="14" t="n">
        <v>37755</v>
      </c>
      <c r="V374" s="14" t="n">
        <v>55357</v>
      </c>
      <c r="W374" s="14" t="n">
        <f aca="false">S374+T374+U374+V374</f>
        <v>1037805</v>
      </c>
      <c r="X374" s="15" t="n">
        <f aca="false">IF(P374=0,0,S374/P374)</f>
        <v>6.70449149188761</v>
      </c>
      <c r="Y374" s="15" t="n">
        <f aca="false">IF(J374=0,0,W374/J374)</f>
        <v>0.750555428591265</v>
      </c>
      <c r="Z374" s="14" t="n">
        <v>167307</v>
      </c>
      <c r="AA374" s="15" t="n">
        <f aca="false">IF(L374=0,0,Z374/L374)</f>
        <v>0.29445607983245</v>
      </c>
      <c r="AB374" s="12" t="n">
        <v>113045228</v>
      </c>
      <c r="AC374" s="16" t="n">
        <v>13</v>
      </c>
      <c r="AD374" s="16" t="n">
        <v>24.1</v>
      </c>
      <c r="AE374" s="13" t="n">
        <v>0.417</v>
      </c>
      <c r="AF374" s="13" t="n">
        <v>0.584</v>
      </c>
      <c r="AG374" s="13" t="n">
        <v>0.366</v>
      </c>
      <c r="AH374" s="13" t="n">
        <v>0.219</v>
      </c>
      <c r="AI374" s="17" t="n">
        <v>4.69</v>
      </c>
    </row>
    <row r="375" customFormat="false" ht="15" hidden="false" customHeight="false" outlineLevel="0" collapsed="false">
      <c r="A375" s="10" t="n">
        <v>45536</v>
      </c>
      <c r="B375" s="11" t="n">
        <f aca="false">YEAR(A375)</f>
        <v>2024</v>
      </c>
      <c r="C375" s="11" t="str">
        <f aca="false">"Q"&amp;ROUNDUP(MONTH(A375)/3,0)</f>
        <v>Q3</v>
      </c>
      <c r="D375" s="11" t="str">
        <f aca="false">B375&amp;"-"&amp;C375</f>
        <v>2024-Q3</v>
      </c>
      <c r="E375" s="11" t="n">
        <f aca="false">MONTH(A375)</f>
        <v>9</v>
      </c>
      <c r="F375" s="11" t="str">
        <f aca="false">TEXT(A375,"mmm")</f>
        <v>Sep</v>
      </c>
      <c r="G375" s="11" t="s">
        <v>209</v>
      </c>
      <c r="H375" s="11" t="s">
        <v>204</v>
      </c>
      <c r="I375" s="12" t="n">
        <v>5554817</v>
      </c>
      <c r="J375" s="12" t="n">
        <v>1723676</v>
      </c>
      <c r="K375" s="13" t="n">
        <f aca="false">IF(I375=0,0,J375/I375)</f>
        <v>0.310302931671736</v>
      </c>
      <c r="L375" s="12" t="n">
        <v>584944</v>
      </c>
      <c r="M375" s="12" t="n">
        <v>63770</v>
      </c>
      <c r="N375" s="12" t="n">
        <v>7310</v>
      </c>
      <c r="O375" s="12" t="n">
        <v>1110</v>
      </c>
      <c r="P375" s="12" t="n">
        <f aca="false">M375+N375+O375</f>
        <v>72190</v>
      </c>
      <c r="Q375" s="13" t="n">
        <f aca="false">IF(I375=0,0,P375/I375)</f>
        <v>0.0129959276786256</v>
      </c>
      <c r="R375" s="13" t="n">
        <v>0.045</v>
      </c>
      <c r="S375" s="14" t="n">
        <v>467151</v>
      </c>
      <c r="T375" s="14" t="n">
        <v>32388</v>
      </c>
      <c r="U375" s="14" t="n">
        <v>21600</v>
      </c>
      <c r="V375" s="14" t="n">
        <v>26295</v>
      </c>
      <c r="W375" s="14" t="n">
        <f aca="false">S375+T375+U375+V375</f>
        <v>547434</v>
      </c>
      <c r="X375" s="15" t="n">
        <f aca="false">IF(P375=0,0,S375/P375)</f>
        <v>6.47113173569747</v>
      </c>
      <c r="Y375" s="15" t="n">
        <f aca="false">IF(J375=0,0,W375/J375)</f>
        <v>0.317596810537479</v>
      </c>
      <c r="Z375" s="14" t="n">
        <v>86742</v>
      </c>
      <c r="AA375" s="15" t="n">
        <f aca="false">IF(L375=0,0,Z375/L375)</f>
        <v>0.148291118466041</v>
      </c>
      <c r="AB375" s="12" t="n">
        <v>134710561</v>
      </c>
      <c r="AC375" s="16" t="n">
        <v>12.6</v>
      </c>
      <c r="AD375" s="16" t="n">
        <v>21.9</v>
      </c>
      <c r="AE375" s="13" t="n">
        <v>0.421</v>
      </c>
      <c r="AF375" s="13" t="n">
        <v>0.589</v>
      </c>
      <c r="AG375" s="13" t="n">
        <v>0.354</v>
      </c>
      <c r="AH375" s="13" t="n">
        <v>0.215</v>
      </c>
      <c r="AI375" s="17" t="n">
        <v>4.62</v>
      </c>
    </row>
    <row r="376" customFormat="false" ht="15" hidden="false" customHeight="false" outlineLevel="0" collapsed="false">
      <c r="A376" s="10" t="n">
        <v>45536</v>
      </c>
      <c r="B376" s="11" t="n">
        <f aca="false">YEAR(A376)</f>
        <v>2024</v>
      </c>
      <c r="C376" s="11" t="str">
        <f aca="false">"Q"&amp;ROUNDUP(MONTH(A376)/3,0)</f>
        <v>Q3</v>
      </c>
      <c r="D376" s="11" t="str">
        <f aca="false">B376&amp;"-"&amp;C376</f>
        <v>2024-Q3</v>
      </c>
      <c r="E376" s="11" t="n">
        <f aca="false">MONTH(A376)</f>
        <v>9</v>
      </c>
      <c r="F376" s="11" t="str">
        <f aca="false">TEXT(A376,"mmm")</f>
        <v>Sep</v>
      </c>
      <c r="G376" s="11" t="s">
        <v>209</v>
      </c>
      <c r="H376" s="11" t="s">
        <v>205</v>
      </c>
      <c r="I376" s="12" t="n">
        <v>1560611</v>
      </c>
      <c r="J376" s="12" t="n">
        <v>442167</v>
      </c>
      <c r="K376" s="13" t="n">
        <f aca="false">IF(I376=0,0,J376/I376)</f>
        <v>0.283329413928263</v>
      </c>
      <c r="L376" s="12" t="n">
        <v>167147</v>
      </c>
      <c r="M376" s="12" t="n">
        <v>17717</v>
      </c>
      <c r="N376" s="12" t="n">
        <v>2093</v>
      </c>
      <c r="O376" s="12" t="n">
        <v>205</v>
      </c>
      <c r="P376" s="12" t="n">
        <f aca="false">M376+N376+O376</f>
        <v>20015</v>
      </c>
      <c r="Q376" s="13" t="n">
        <f aca="false">IF(I376=0,0,P376/I376)</f>
        <v>0.0128251050389879</v>
      </c>
      <c r="R376" s="13" t="n">
        <v>0.0454</v>
      </c>
      <c r="S376" s="14" t="n">
        <v>143169</v>
      </c>
      <c r="T376" s="14" t="n">
        <v>10583</v>
      </c>
      <c r="U376" s="14" t="n">
        <v>6630</v>
      </c>
      <c r="V376" s="14" t="n">
        <v>8545</v>
      </c>
      <c r="W376" s="14" t="n">
        <f aca="false">S376+T376+U376+V376</f>
        <v>168927</v>
      </c>
      <c r="X376" s="15" t="n">
        <f aca="false">IF(P376=0,0,S376/P376)</f>
        <v>7.15308518611042</v>
      </c>
      <c r="Y376" s="15" t="n">
        <f aca="false">IF(J376=0,0,W376/J376)</f>
        <v>0.382043436077319</v>
      </c>
      <c r="Z376" s="14" t="n">
        <v>28799</v>
      </c>
      <c r="AA376" s="15" t="n">
        <f aca="false">IF(L376=0,0,Z376/L376)</f>
        <v>0.172297438781432</v>
      </c>
      <c r="AB376" s="12" t="n">
        <v>36071171</v>
      </c>
      <c r="AC376" s="16" t="n">
        <v>11</v>
      </c>
      <c r="AD376" s="16" t="n">
        <v>23.3</v>
      </c>
      <c r="AE376" s="13" t="n">
        <v>0.422</v>
      </c>
      <c r="AF376" s="13" t="n">
        <v>0.576</v>
      </c>
      <c r="AG376" s="13" t="n">
        <v>0.353</v>
      </c>
      <c r="AH376" s="13" t="n">
        <v>0.212</v>
      </c>
      <c r="AI376" s="17"/>
    </row>
    <row r="377" customFormat="false" ht="15" hidden="false" customHeight="false" outlineLevel="0" collapsed="false">
      <c r="A377" s="10" t="n">
        <v>45536</v>
      </c>
      <c r="B377" s="11" t="n">
        <f aca="false">YEAR(A377)</f>
        <v>2024</v>
      </c>
      <c r="C377" s="11" t="str">
        <f aca="false">"Q"&amp;ROUNDUP(MONTH(A377)/3,0)</f>
        <v>Q3</v>
      </c>
      <c r="D377" s="11" t="str">
        <f aca="false">B377&amp;"-"&amp;C377</f>
        <v>2024-Q3</v>
      </c>
      <c r="E377" s="11" t="n">
        <f aca="false">MONTH(A377)</f>
        <v>9</v>
      </c>
      <c r="F377" s="11" t="str">
        <f aca="false">TEXT(A377,"mmm")</f>
        <v>Sep</v>
      </c>
      <c r="G377" s="11" t="s">
        <v>210</v>
      </c>
      <c r="H377" s="11" t="s">
        <v>203</v>
      </c>
      <c r="I377" s="12" t="n">
        <v>6454835</v>
      </c>
      <c r="J377" s="12" t="n">
        <v>2200088</v>
      </c>
      <c r="K377" s="13" t="n">
        <f aca="false">IF(I377=0,0,J377/I377)</f>
        <v>0.340843414277824</v>
      </c>
      <c r="L377" s="12" t="n">
        <v>812184</v>
      </c>
      <c r="M377" s="12" t="n">
        <v>230096</v>
      </c>
      <c r="N377" s="12" t="n">
        <v>25329</v>
      </c>
      <c r="O377" s="12" t="n">
        <v>5348</v>
      </c>
      <c r="P377" s="12" t="n">
        <f aca="false">M377+N377+O377</f>
        <v>260773</v>
      </c>
      <c r="Q377" s="13" t="n">
        <f aca="false">IF(I377=0,0,P377/I377)</f>
        <v>0.0403996384105868</v>
      </c>
      <c r="R377" s="13" t="n">
        <v>0.044</v>
      </c>
      <c r="S377" s="14" t="n">
        <v>1736550</v>
      </c>
      <c r="T377" s="14" t="n">
        <v>139757</v>
      </c>
      <c r="U377" s="14" t="n">
        <v>81685</v>
      </c>
      <c r="V377" s="14" t="n">
        <v>108803</v>
      </c>
      <c r="W377" s="14" t="n">
        <f aca="false">S377+T377+U377+V377</f>
        <v>2066795</v>
      </c>
      <c r="X377" s="15" t="n">
        <f aca="false">IF(P377=0,0,S377/P377)</f>
        <v>6.65924002868395</v>
      </c>
      <c r="Y377" s="15" t="n">
        <f aca="false">IF(J377=0,0,W377/J377)</f>
        <v>0.939414696139427</v>
      </c>
      <c r="Z377" s="14" t="n">
        <v>389662</v>
      </c>
      <c r="AA377" s="15" t="n">
        <f aca="false">IF(L377=0,0,Z377/L377)</f>
        <v>0.47977059385558</v>
      </c>
      <c r="AB377" s="12" t="n">
        <v>168387367</v>
      </c>
      <c r="AC377" s="16" t="n">
        <v>12.9</v>
      </c>
      <c r="AD377" s="16" t="n">
        <v>23</v>
      </c>
      <c r="AE377" s="13" t="n">
        <v>0.411</v>
      </c>
      <c r="AF377" s="13" t="n">
        <v>0.592</v>
      </c>
      <c r="AG377" s="13" t="n">
        <v>0.358</v>
      </c>
      <c r="AH377" s="13" t="n">
        <v>0.217</v>
      </c>
      <c r="AI377" s="17" t="n">
        <v>4.68</v>
      </c>
    </row>
    <row r="378" customFormat="false" ht="15" hidden="false" customHeight="false" outlineLevel="0" collapsed="false">
      <c r="A378" s="10" t="n">
        <v>45536</v>
      </c>
      <c r="B378" s="11" t="n">
        <f aca="false">YEAR(A378)</f>
        <v>2024</v>
      </c>
      <c r="C378" s="11" t="str">
        <f aca="false">"Q"&amp;ROUNDUP(MONTH(A378)/3,0)</f>
        <v>Q3</v>
      </c>
      <c r="D378" s="11" t="str">
        <f aca="false">B378&amp;"-"&amp;C378</f>
        <v>2024-Q3</v>
      </c>
      <c r="E378" s="11" t="n">
        <f aca="false">MONTH(A378)</f>
        <v>9</v>
      </c>
      <c r="F378" s="11" t="str">
        <f aca="false">TEXT(A378,"mmm")</f>
        <v>Sep</v>
      </c>
      <c r="G378" s="11" t="s">
        <v>210</v>
      </c>
      <c r="H378" s="11" t="s">
        <v>204</v>
      </c>
      <c r="I378" s="12" t="n">
        <v>9199589</v>
      </c>
      <c r="J378" s="12" t="n">
        <v>2767093</v>
      </c>
      <c r="K378" s="13" t="n">
        <f aca="false">IF(I378=0,0,J378/I378)</f>
        <v>0.300784415477691</v>
      </c>
      <c r="L378" s="12" t="n">
        <v>916913</v>
      </c>
      <c r="M378" s="12" t="n">
        <v>122913</v>
      </c>
      <c r="N378" s="12" t="n">
        <v>13429</v>
      </c>
      <c r="O378" s="12" t="n">
        <v>2130</v>
      </c>
      <c r="P378" s="12" t="n">
        <f aca="false">M378+N378+O378</f>
        <v>138472</v>
      </c>
      <c r="Q378" s="13" t="n">
        <f aca="false">IF(I378=0,0,P378/I378)</f>
        <v>0.0150519767785278</v>
      </c>
      <c r="R378" s="13" t="n">
        <v>0.0397</v>
      </c>
      <c r="S378" s="14" t="n">
        <v>878431</v>
      </c>
      <c r="T378" s="14" t="n">
        <v>70151</v>
      </c>
      <c r="U378" s="14" t="n">
        <v>41093</v>
      </c>
      <c r="V378" s="14" t="n">
        <v>54783</v>
      </c>
      <c r="W378" s="14" t="n">
        <f aca="false">S378+T378+U378+V378</f>
        <v>1044458</v>
      </c>
      <c r="X378" s="15" t="n">
        <f aca="false">IF(P378=0,0,S378/P378)</f>
        <v>6.34374458374256</v>
      </c>
      <c r="Y378" s="15" t="n">
        <f aca="false">IF(J378=0,0,W378/J378)</f>
        <v>0.377456775034305</v>
      </c>
      <c r="Z378" s="14" t="n">
        <v>174171</v>
      </c>
      <c r="AA378" s="15" t="n">
        <f aca="false">IF(L378=0,0,Z378/L378)</f>
        <v>0.189953681537943</v>
      </c>
      <c r="AB378" s="12" t="n">
        <v>232777521</v>
      </c>
      <c r="AC378" s="16" t="n">
        <v>12.7</v>
      </c>
      <c r="AD378" s="16" t="n">
        <v>23.4</v>
      </c>
      <c r="AE378" s="13" t="n">
        <v>0.435</v>
      </c>
      <c r="AF378" s="13" t="n">
        <v>0.585</v>
      </c>
      <c r="AG378" s="13" t="n">
        <v>0.361</v>
      </c>
      <c r="AH378" s="13" t="n">
        <v>0.21</v>
      </c>
      <c r="AI378" s="17" t="n">
        <v>4.6</v>
      </c>
    </row>
    <row r="379" customFormat="false" ht="15" hidden="false" customHeight="false" outlineLevel="0" collapsed="false">
      <c r="A379" s="10" t="n">
        <v>45536</v>
      </c>
      <c r="B379" s="11" t="n">
        <f aca="false">YEAR(A379)</f>
        <v>2024</v>
      </c>
      <c r="C379" s="11" t="str">
        <f aca="false">"Q"&amp;ROUNDUP(MONTH(A379)/3,0)</f>
        <v>Q3</v>
      </c>
      <c r="D379" s="11" t="str">
        <f aca="false">B379&amp;"-"&amp;C379</f>
        <v>2024-Q3</v>
      </c>
      <c r="E379" s="11" t="n">
        <f aca="false">MONTH(A379)</f>
        <v>9</v>
      </c>
      <c r="F379" s="11" t="str">
        <f aca="false">TEXT(A379,"mmm")</f>
        <v>Sep</v>
      </c>
      <c r="G379" s="11" t="s">
        <v>210</v>
      </c>
      <c r="H379" s="11" t="s">
        <v>205</v>
      </c>
      <c r="I379" s="12" t="n">
        <v>2681284</v>
      </c>
      <c r="J379" s="12" t="n">
        <v>729528</v>
      </c>
      <c r="K379" s="13" t="n">
        <f aca="false">IF(I379=0,0,J379/I379)</f>
        <v>0.272081584792957</v>
      </c>
      <c r="L379" s="12" t="n">
        <v>216577</v>
      </c>
      <c r="M379" s="12" t="n">
        <v>34811</v>
      </c>
      <c r="N379" s="12" t="n">
        <v>3827</v>
      </c>
      <c r="O379" s="12" t="n">
        <v>400</v>
      </c>
      <c r="P379" s="12" t="n">
        <f aca="false">M379+N379+O379</f>
        <v>39038</v>
      </c>
      <c r="Q379" s="13" t="n">
        <f aca="false">IF(I379=0,0,P379/I379)</f>
        <v>0.0145594424163945</v>
      </c>
      <c r="R379" s="13" t="n">
        <v>0.0421</v>
      </c>
      <c r="S379" s="14" t="n">
        <v>270254</v>
      </c>
      <c r="T379" s="14" t="n">
        <v>20471</v>
      </c>
      <c r="U379" s="14" t="n">
        <v>12370</v>
      </c>
      <c r="V379" s="14" t="n">
        <v>15864</v>
      </c>
      <c r="W379" s="14" t="n">
        <f aca="false">S379+T379+U379+V379</f>
        <v>318959</v>
      </c>
      <c r="X379" s="15" t="n">
        <f aca="false">IF(P379=0,0,S379/P379)</f>
        <v>6.92284440801271</v>
      </c>
      <c r="Y379" s="15" t="n">
        <f aca="false">IF(J379=0,0,W379/J379)</f>
        <v>0.437212828020309</v>
      </c>
      <c r="Z379" s="14" t="n">
        <v>52332</v>
      </c>
      <c r="AA379" s="15" t="n">
        <f aca="false">IF(L379=0,0,Z379/L379)</f>
        <v>0.241632306292912</v>
      </c>
      <c r="AB379" s="12" t="n">
        <v>57846710</v>
      </c>
      <c r="AC379" s="16" t="n">
        <v>11.4</v>
      </c>
      <c r="AD379" s="16" t="n">
        <v>22.7</v>
      </c>
      <c r="AE379" s="13" t="n">
        <v>0.414</v>
      </c>
      <c r="AF379" s="13" t="n">
        <v>0.596</v>
      </c>
      <c r="AG379" s="13" t="n">
        <v>0.351</v>
      </c>
      <c r="AH379" s="13" t="n">
        <v>0.205</v>
      </c>
      <c r="AI379" s="17"/>
    </row>
    <row r="380" customFormat="false" ht="15" hidden="false" customHeight="false" outlineLevel="0" collapsed="false">
      <c r="A380" s="10" t="n">
        <v>45566</v>
      </c>
      <c r="B380" s="11" t="n">
        <f aca="false">YEAR(A380)</f>
        <v>2024</v>
      </c>
      <c r="C380" s="11" t="str">
        <f aca="false">"Q"&amp;ROUNDUP(MONTH(A380)/3,0)</f>
        <v>Q4</v>
      </c>
      <c r="D380" s="11" t="str">
        <f aca="false">B380&amp;"-"&amp;C380</f>
        <v>2024-Q4</v>
      </c>
      <c r="E380" s="11" t="n">
        <f aca="false">MONTH(A380)</f>
        <v>10</v>
      </c>
      <c r="F380" s="11" t="str">
        <f aca="false">TEXT(A380,"mmm")</f>
        <v>Oct</v>
      </c>
      <c r="G380" s="11" t="s">
        <v>202</v>
      </c>
      <c r="H380" s="11" t="s">
        <v>203</v>
      </c>
      <c r="I380" s="12" t="n">
        <v>8927523</v>
      </c>
      <c r="J380" s="12" t="n">
        <v>3148639</v>
      </c>
      <c r="K380" s="13" t="n">
        <f aca="false">IF(I380=0,0,J380/I380)</f>
        <v>0.35268898215104</v>
      </c>
      <c r="L380" s="12" t="n">
        <v>1066804</v>
      </c>
      <c r="M380" s="12" t="n">
        <v>1929910</v>
      </c>
      <c r="N380" s="12" t="n">
        <v>227043</v>
      </c>
      <c r="O380" s="12" t="n">
        <v>203384</v>
      </c>
      <c r="P380" s="12" t="n">
        <f aca="false">M380+N380+O380</f>
        <v>2360337</v>
      </c>
      <c r="Q380" s="13" t="n">
        <f aca="false">IF(I380=0,0,P380/I380)</f>
        <v>0.264388789589229</v>
      </c>
      <c r="R380" s="13" t="n">
        <v>0.0409</v>
      </c>
      <c r="S380" s="14" t="n">
        <v>14345131</v>
      </c>
      <c r="T380" s="14" t="n">
        <v>1197296</v>
      </c>
      <c r="U380" s="14" t="n">
        <v>745202</v>
      </c>
      <c r="V380" s="14" t="n">
        <v>895614</v>
      </c>
      <c r="W380" s="14" t="n">
        <f aca="false">S380+T380+U380+V380</f>
        <v>17183243</v>
      </c>
      <c r="X380" s="15" t="n">
        <f aca="false">IF(P380=0,0,S380/P380)</f>
        <v>6.07757748152065</v>
      </c>
      <c r="Y380" s="15" t="n">
        <f aca="false">IF(J380=0,0,W380/J380)</f>
        <v>5.45735570193979</v>
      </c>
      <c r="Z380" s="14" t="n">
        <v>2746401</v>
      </c>
      <c r="AA380" s="15" t="n">
        <f aca="false">IF(L380=0,0,Z380/L380)</f>
        <v>2.57441948099182</v>
      </c>
      <c r="AB380" s="12" t="n">
        <v>250971672</v>
      </c>
      <c r="AC380" s="16" t="n">
        <v>12.8</v>
      </c>
      <c r="AD380" s="16" t="n">
        <v>23.9</v>
      </c>
      <c r="AE380" s="13" t="n">
        <v>0.422</v>
      </c>
      <c r="AF380" s="13" t="n">
        <v>0.591</v>
      </c>
      <c r="AG380" s="13" t="n">
        <v>0.34</v>
      </c>
      <c r="AH380" s="13" t="n">
        <v>0.214</v>
      </c>
      <c r="AI380" s="17" t="n">
        <v>4.7</v>
      </c>
    </row>
    <row r="381" customFormat="false" ht="15" hidden="false" customHeight="false" outlineLevel="0" collapsed="false">
      <c r="A381" s="10" t="n">
        <v>45566</v>
      </c>
      <c r="B381" s="11" t="n">
        <f aca="false">YEAR(A381)</f>
        <v>2024</v>
      </c>
      <c r="C381" s="11" t="str">
        <f aca="false">"Q"&amp;ROUNDUP(MONTH(A381)/3,0)</f>
        <v>Q4</v>
      </c>
      <c r="D381" s="11" t="str">
        <f aca="false">B381&amp;"-"&amp;C381</f>
        <v>2024-Q4</v>
      </c>
      <c r="E381" s="11" t="n">
        <f aca="false">MONTH(A381)</f>
        <v>10</v>
      </c>
      <c r="F381" s="11" t="str">
        <f aca="false">TEXT(A381,"mmm")</f>
        <v>Oct</v>
      </c>
      <c r="G381" s="11" t="s">
        <v>202</v>
      </c>
      <c r="H381" s="11" t="s">
        <v>204</v>
      </c>
      <c r="I381" s="12" t="n">
        <v>11596704</v>
      </c>
      <c r="J381" s="12" t="n">
        <v>3735011</v>
      </c>
      <c r="K381" s="13" t="n">
        <f aca="false">IF(I381=0,0,J381/I381)</f>
        <v>0.322075220683394</v>
      </c>
      <c r="L381" s="12" t="n">
        <v>1112713</v>
      </c>
      <c r="M381" s="12" t="n">
        <v>1111970</v>
      </c>
      <c r="N381" s="12" t="n">
        <v>136091</v>
      </c>
      <c r="O381" s="12" t="n">
        <v>86229</v>
      </c>
      <c r="P381" s="12" t="n">
        <f aca="false">M381+N381+O381</f>
        <v>1334290</v>
      </c>
      <c r="Q381" s="13" t="n">
        <f aca="false">IF(I381=0,0,P381/I381)</f>
        <v>0.115057692254627</v>
      </c>
      <c r="R381" s="13" t="n">
        <v>0.0396</v>
      </c>
      <c r="S381" s="14" t="n">
        <v>8295890</v>
      </c>
      <c r="T381" s="14" t="n">
        <v>604946</v>
      </c>
      <c r="U381" s="14" t="n">
        <v>415305</v>
      </c>
      <c r="V381" s="14" t="n">
        <v>525800</v>
      </c>
      <c r="W381" s="14" t="n">
        <f aca="false">S381+T381+U381+V381</f>
        <v>9841941</v>
      </c>
      <c r="X381" s="15" t="n">
        <f aca="false">IF(P381=0,0,S381/P381)</f>
        <v>6.2174564749792</v>
      </c>
      <c r="Y381" s="15" t="n">
        <f aca="false">IF(J381=0,0,W381/J381)</f>
        <v>2.635050070803</v>
      </c>
      <c r="Z381" s="14" t="n">
        <v>1619562</v>
      </c>
      <c r="AA381" s="15" t="n">
        <f aca="false">IF(L381=0,0,Z381/L381)</f>
        <v>1.45550739498864</v>
      </c>
      <c r="AB381" s="12" t="n">
        <v>306028059</v>
      </c>
      <c r="AC381" s="16" t="n">
        <v>12.9</v>
      </c>
      <c r="AD381" s="16" t="n">
        <v>24.4</v>
      </c>
      <c r="AE381" s="13" t="n">
        <v>0.407</v>
      </c>
      <c r="AF381" s="13" t="n">
        <v>0.589</v>
      </c>
      <c r="AG381" s="13" t="n">
        <v>0.353</v>
      </c>
      <c r="AH381" s="13" t="n">
        <v>0.215</v>
      </c>
      <c r="AI381" s="17" t="n">
        <v>4.66</v>
      </c>
    </row>
    <row r="382" customFormat="false" ht="15" hidden="false" customHeight="false" outlineLevel="0" collapsed="false">
      <c r="A382" s="10" t="n">
        <v>45566</v>
      </c>
      <c r="B382" s="11" t="n">
        <f aca="false">YEAR(A382)</f>
        <v>2024</v>
      </c>
      <c r="C382" s="11" t="str">
        <f aca="false">"Q"&amp;ROUNDUP(MONTH(A382)/3,0)</f>
        <v>Q4</v>
      </c>
      <c r="D382" s="11" t="str">
        <f aca="false">B382&amp;"-"&amp;C382</f>
        <v>2024-Q4</v>
      </c>
      <c r="E382" s="11" t="n">
        <f aca="false">MONTH(A382)</f>
        <v>10</v>
      </c>
      <c r="F382" s="11" t="str">
        <f aca="false">TEXT(A382,"mmm")</f>
        <v>Oct</v>
      </c>
      <c r="G382" s="11" t="s">
        <v>202</v>
      </c>
      <c r="H382" s="11" t="s">
        <v>205</v>
      </c>
      <c r="I382" s="12" t="n">
        <v>3272631</v>
      </c>
      <c r="J382" s="12" t="n">
        <v>945790</v>
      </c>
      <c r="K382" s="13" t="n">
        <f aca="false">IF(I382=0,0,J382/I382)</f>
        <v>0.288999890302329</v>
      </c>
      <c r="L382" s="12" t="n">
        <v>309980</v>
      </c>
      <c r="M382" s="12" t="n">
        <v>294403</v>
      </c>
      <c r="N382" s="12" t="n">
        <v>37061</v>
      </c>
      <c r="O382" s="12" t="n">
        <v>14924</v>
      </c>
      <c r="P382" s="12" t="n">
        <f aca="false">M382+N382+O382</f>
        <v>346388</v>
      </c>
      <c r="Q382" s="13" t="n">
        <f aca="false">IF(I382=0,0,P382/I382)</f>
        <v>0.105843891352248</v>
      </c>
      <c r="R382" s="13" t="n">
        <v>0.0453</v>
      </c>
      <c r="S382" s="14" t="n">
        <v>2054180</v>
      </c>
      <c r="T382" s="14" t="n">
        <v>153999</v>
      </c>
      <c r="U382" s="14" t="n">
        <v>99801</v>
      </c>
      <c r="V382" s="14" t="n">
        <v>128961</v>
      </c>
      <c r="W382" s="14" t="n">
        <f aca="false">S382+T382+U382+V382</f>
        <v>2436941</v>
      </c>
      <c r="X382" s="15" t="n">
        <f aca="false">IF(P382=0,0,S382/P382)</f>
        <v>5.93028626857743</v>
      </c>
      <c r="Y382" s="15" t="n">
        <f aca="false">IF(J382=0,0,W382/J382)</f>
        <v>2.57661954556508</v>
      </c>
      <c r="Z382" s="14" t="n">
        <v>367206</v>
      </c>
      <c r="AA382" s="15" t="n">
        <f aca="false">IF(L382=0,0,Z382/L382)</f>
        <v>1.18461191044584</v>
      </c>
      <c r="AB382" s="12" t="n">
        <v>77377551</v>
      </c>
      <c r="AC382" s="16" t="n">
        <v>11.5</v>
      </c>
      <c r="AD382" s="16" t="n">
        <v>23.2</v>
      </c>
      <c r="AE382" s="13" t="n">
        <v>0.437</v>
      </c>
      <c r="AF382" s="13" t="n">
        <v>0.599</v>
      </c>
      <c r="AG382" s="13" t="n">
        <v>0.349</v>
      </c>
      <c r="AH382" s="13" t="n">
        <v>0.217</v>
      </c>
      <c r="AI382" s="17"/>
    </row>
    <row r="383" customFormat="false" ht="15" hidden="false" customHeight="false" outlineLevel="0" collapsed="false">
      <c r="A383" s="10" t="n">
        <v>45566</v>
      </c>
      <c r="B383" s="11" t="n">
        <f aca="false">YEAR(A383)</f>
        <v>2024</v>
      </c>
      <c r="C383" s="11" t="str">
        <f aca="false">"Q"&amp;ROUNDUP(MONTH(A383)/3,0)</f>
        <v>Q4</v>
      </c>
      <c r="D383" s="11" t="str">
        <f aca="false">B383&amp;"-"&amp;C383</f>
        <v>2024-Q4</v>
      </c>
      <c r="E383" s="11" t="n">
        <f aca="false">MONTH(A383)</f>
        <v>10</v>
      </c>
      <c r="F383" s="11" t="str">
        <f aca="false">TEXT(A383,"mmm")</f>
        <v>Oct</v>
      </c>
      <c r="G383" s="11" t="s">
        <v>206</v>
      </c>
      <c r="H383" s="11" t="s">
        <v>203</v>
      </c>
      <c r="I383" s="12" t="n">
        <v>9516649</v>
      </c>
      <c r="J383" s="12" t="n">
        <v>3383018</v>
      </c>
      <c r="K383" s="13" t="n">
        <f aca="false">IF(I383=0,0,J383/I383)</f>
        <v>0.35548416254503</v>
      </c>
      <c r="L383" s="12" t="n">
        <v>1220306</v>
      </c>
      <c r="M383" s="12" t="n">
        <v>1111582</v>
      </c>
      <c r="N383" s="12" t="n">
        <v>133718</v>
      </c>
      <c r="O383" s="12" t="n">
        <v>70882</v>
      </c>
      <c r="P383" s="12" t="n">
        <f aca="false">M383+N383+O383</f>
        <v>1316182</v>
      </c>
      <c r="Q383" s="13" t="n">
        <f aca="false">IF(I383=0,0,P383/I383)</f>
        <v>0.138303093872644</v>
      </c>
      <c r="R383" s="13" t="n">
        <v>0.0413</v>
      </c>
      <c r="S383" s="14" t="n">
        <v>8398877</v>
      </c>
      <c r="T383" s="14" t="n">
        <v>619615</v>
      </c>
      <c r="U383" s="14" t="n">
        <v>366097</v>
      </c>
      <c r="V383" s="14" t="n">
        <v>456113</v>
      </c>
      <c r="W383" s="14" t="n">
        <f aca="false">S383+T383+U383+V383</f>
        <v>9840702</v>
      </c>
      <c r="X383" s="15" t="n">
        <f aca="false">IF(P383=0,0,S383/P383)</f>
        <v>6.38124286762773</v>
      </c>
      <c r="Y383" s="15" t="n">
        <f aca="false">IF(J383=0,0,W383/J383)</f>
        <v>2.9088529827509</v>
      </c>
      <c r="Z383" s="14" t="n">
        <v>1449400</v>
      </c>
      <c r="AA383" s="15" t="n">
        <f aca="false">IF(L383=0,0,Z383/L383)</f>
        <v>1.18773487961216</v>
      </c>
      <c r="AB383" s="12" t="n">
        <v>260191142</v>
      </c>
      <c r="AC383" s="16" t="n">
        <v>13.3</v>
      </c>
      <c r="AD383" s="16" t="n">
        <v>22.8</v>
      </c>
      <c r="AE383" s="13" t="n">
        <v>0.426</v>
      </c>
      <c r="AF383" s="13" t="n">
        <v>0.587</v>
      </c>
      <c r="AG383" s="13" t="n">
        <v>0.352</v>
      </c>
      <c r="AH383" s="13" t="n">
        <v>0.222</v>
      </c>
      <c r="AI383" s="17" t="n">
        <v>4.7</v>
      </c>
    </row>
    <row r="384" customFormat="false" ht="15" hidden="false" customHeight="false" outlineLevel="0" collapsed="false">
      <c r="A384" s="10" t="n">
        <v>45566</v>
      </c>
      <c r="B384" s="11" t="n">
        <f aca="false">YEAR(A384)</f>
        <v>2024</v>
      </c>
      <c r="C384" s="11" t="str">
        <f aca="false">"Q"&amp;ROUNDUP(MONTH(A384)/3,0)</f>
        <v>Q4</v>
      </c>
      <c r="D384" s="11" t="str">
        <f aca="false">B384&amp;"-"&amp;C384</f>
        <v>2024-Q4</v>
      </c>
      <c r="E384" s="11" t="n">
        <f aca="false">MONTH(A384)</f>
        <v>10</v>
      </c>
      <c r="F384" s="11" t="str">
        <f aca="false">TEXT(A384,"mmm")</f>
        <v>Oct</v>
      </c>
      <c r="G384" s="11" t="s">
        <v>206</v>
      </c>
      <c r="H384" s="11" t="s">
        <v>204</v>
      </c>
      <c r="I384" s="12" t="n">
        <v>12218110</v>
      </c>
      <c r="J384" s="12" t="n">
        <v>4031575</v>
      </c>
      <c r="K384" s="13" t="n">
        <f aca="false">IF(I384=0,0,J384/I384)</f>
        <v>0.329967155312892</v>
      </c>
      <c r="L384" s="12" t="n">
        <v>1381608</v>
      </c>
      <c r="M384" s="12" t="n">
        <v>675354</v>
      </c>
      <c r="N384" s="12" t="n">
        <v>82531</v>
      </c>
      <c r="O384" s="12" t="n">
        <v>31900</v>
      </c>
      <c r="P384" s="12" t="n">
        <f aca="false">M384+N384+O384</f>
        <v>789785</v>
      </c>
      <c r="Q384" s="13" t="n">
        <f aca="false">IF(I384=0,0,P384/I384)</f>
        <v>0.0646405213244929</v>
      </c>
      <c r="R384" s="13" t="n">
        <v>0.0419</v>
      </c>
      <c r="S384" s="14" t="n">
        <v>4828315</v>
      </c>
      <c r="T384" s="14" t="n">
        <v>375943</v>
      </c>
      <c r="U384" s="14" t="n">
        <v>240708</v>
      </c>
      <c r="V384" s="14" t="n">
        <v>299254</v>
      </c>
      <c r="W384" s="14" t="n">
        <f aca="false">S384+T384+U384+V384</f>
        <v>5744220</v>
      </c>
      <c r="X384" s="15" t="n">
        <f aca="false">IF(P384=0,0,S384/P384)</f>
        <v>6.11345492760688</v>
      </c>
      <c r="Y384" s="15" t="n">
        <f aca="false">IF(J384=0,0,W384/J384)</f>
        <v>1.42480792246207</v>
      </c>
      <c r="Z384" s="14" t="n">
        <v>985592</v>
      </c>
      <c r="AA384" s="15" t="n">
        <f aca="false">IF(L384=0,0,Z384/L384)</f>
        <v>0.713365875125216</v>
      </c>
      <c r="AB384" s="12" t="n">
        <v>320782097</v>
      </c>
      <c r="AC384" s="16" t="n">
        <v>12.5</v>
      </c>
      <c r="AD384" s="16" t="n">
        <v>23.8</v>
      </c>
      <c r="AE384" s="13" t="n">
        <v>0.427</v>
      </c>
      <c r="AF384" s="13" t="n">
        <v>0.597</v>
      </c>
      <c r="AG384" s="13" t="n">
        <v>0.351</v>
      </c>
      <c r="AH384" s="13" t="n">
        <v>0.203</v>
      </c>
      <c r="AI384" s="17" t="n">
        <v>4.65</v>
      </c>
    </row>
    <row r="385" customFormat="false" ht="15" hidden="false" customHeight="false" outlineLevel="0" collapsed="false">
      <c r="A385" s="10" t="n">
        <v>45566</v>
      </c>
      <c r="B385" s="11" t="n">
        <f aca="false">YEAR(A385)</f>
        <v>2024</v>
      </c>
      <c r="C385" s="11" t="str">
        <f aca="false">"Q"&amp;ROUNDUP(MONTH(A385)/3,0)</f>
        <v>Q4</v>
      </c>
      <c r="D385" s="11" t="str">
        <f aca="false">B385&amp;"-"&amp;C385</f>
        <v>2024-Q4</v>
      </c>
      <c r="E385" s="11" t="n">
        <f aca="false">MONTH(A385)</f>
        <v>10</v>
      </c>
      <c r="F385" s="11" t="str">
        <f aca="false">TEXT(A385,"mmm")</f>
        <v>Oct</v>
      </c>
      <c r="G385" s="11" t="s">
        <v>206</v>
      </c>
      <c r="H385" s="11" t="s">
        <v>205</v>
      </c>
      <c r="I385" s="12" t="n">
        <v>3918979</v>
      </c>
      <c r="J385" s="12" t="n">
        <v>1142026</v>
      </c>
      <c r="K385" s="13" t="n">
        <f aca="false">IF(I385=0,0,J385/I385)</f>
        <v>0.291409063432083</v>
      </c>
      <c r="L385" s="12" t="n">
        <v>370574</v>
      </c>
      <c r="M385" s="12" t="n">
        <v>186916</v>
      </c>
      <c r="N385" s="12" t="n">
        <v>22533</v>
      </c>
      <c r="O385" s="12" t="n">
        <v>5796</v>
      </c>
      <c r="P385" s="12" t="n">
        <f aca="false">M385+N385+O385</f>
        <v>215245</v>
      </c>
      <c r="Q385" s="13" t="n">
        <f aca="false">IF(I385=0,0,P385/I385)</f>
        <v>0.0549237441690808</v>
      </c>
      <c r="R385" s="13" t="n">
        <v>0.0436</v>
      </c>
      <c r="S385" s="14" t="n">
        <v>1356753</v>
      </c>
      <c r="T385" s="14" t="n">
        <v>109678</v>
      </c>
      <c r="U385" s="14" t="n">
        <v>68239</v>
      </c>
      <c r="V385" s="14" t="n">
        <v>83110</v>
      </c>
      <c r="W385" s="14" t="n">
        <f aca="false">S385+T385+U385+V385</f>
        <v>1617780</v>
      </c>
      <c r="X385" s="15" t="n">
        <f aca="false">IF(P385=0,0,S385/P385)</f>
        <v>6.30329624381519</v>
      </c>
      <c r="Y385" s="15" t="n">
        <f aca="false">IF(J385=0,0,W385/J385)</f>
        <v>1.41658771341458</v>
      </c>
      <c r="Z385" s="14" t="n">
        <v>281579</v>
      </c>
      <c r="AA385" s="15" t="n">
        <f aca="false">IF(L385=0,0,Z385/L385)</f>
        <v>0.759845536923799</v>
      </c>
      <c r="AB385" s="12" t="n">
        <v>90579084</v>
      </c>
      <c r="AC385" s="16" t="n">
        <v>11.4</v>
      </c>
      <c r="AD385" s="16" t="n">
        <v>22.4</v>
      </c>
      <c r="AE385" s="13" t="n">
        <v>0.433</v>
      </c>
      <c r="AF385" s="13" t="n">
        <v>0.594</v>
      </c>
      <c r="AG385" s="13" t="n">
        <v>0.368</v>
      </c>
      <c r="AH385" s="13" t="n">
        <v>0.212</v>
      </c>
      <c r="AI385" s="17"/>
    </row>
    <row r="386" customFormat="false" ht="15" hidden="false" customHeight="false" outlineLevel="0" collapsed="false">
      <c r="A386" s="10" t="n">
        <v>45566</v>
      </c>
      <c r="B386" s="11" t="n">
        <f aca="false">YEAR(A386)</f>
        <v>2024</v>
      </c>
      <c r="C386" s="11" t="str">
        <f aca="false">"Q"&amp;ROUNDUP(MONTH(A386)/3,0)</f>
        <v>Q4</v>
      </c>
      <c r="D386" s="11" t="str">
        <f aca="false">B386&amp;"-"&amp;C386</f>
        <v>2024-Q4</v>
      </c>
      <c r="E386" s="11" t="n">
        <f aca="false">MONTH(A386)</f>
        <v>10</v>
      </c>
      <c r="F386" s="11" t="str">
        <f aca="false">TEXT(A386,"mmm")</f>
        <v>Oct</v>
      </c>
      <c r="G386" s="11" t="s">
        <v>207</v>
      </c>
      <c r="H386" s="11" t="s">
        <v>203</v>
      </c>
      <c r="I386" s="12" t="n">
        <v>8478194</v>
      </c>
      <c r="J386" s="12" t="n">
        <v>2965432</v>
      </c>
      <c r="K386" s="13" t="n">
        <f aca="false">IF(I386=0,0,J386/I386)</f>
        <v>0.349771661275975</v>
      </c>
      <c r="L386" s="12" t="n">
        <v>1114114</v>
      </c>
      <c r="M386" s="12" t="n">
        <v>615988</v>
      </c>
      <c r="N386" s="12" t="n">
        <v>74364</v>
      </c>
      <c r="O386" s="12" t="n">
        <v>27045</v>
      </c>
      <c r="P386" s="12" t="n">
        <f aca="false">M386+N386+O386</f>
        <v>717397</v>
      </c>
      <c r="Q386" s="13" t="n">
        <f aca="false">IF(I386=0,0,P386/I386)</f>
        <v>0.0846167237975446</v>
      </c>
      <c r="R386" s="13" t="n">
        <v>0.0391</v>
      </c>
      <c r="S386" s="14" t="n">
        <v>4503045</v>
      </c>
      <c r="T386" s="14" t="n">
        <v>349861</v>
      </c>
      <c r="U386" s="14" t="n">
        <v>215571</v>
      </c>
      <c r="V386" s="14" t="n">
        <v>243622</v>
      </c>
      <c r="W386" s="14" t="n">
        <f aca="false">S386+T386+U386+V386</f>
        <v>5312099</v>
      </c>
      <c r="X386" s="15" t="n">
        <f aca="false">IF(P386=0,0,S386/P386)</f>
        <v>6.27692198322547</v>
      </c>
      <c r="Y386" s="15" t="n">
        <f aca="false">IF(J386=0,0,W386/J386)</f>
        <v>1.79134068830444</v>
      </c>
      <c r="Z386" s="14" t="n">
        <v>894317</v>
      </c>
      <c r="AA386" s="15" t="n">
        <f aca="false">IF(L386=0,0,Z386/L386)</f>
        <v>0.802715880062543</v>
      </c>
      <c r="AB386" s="12" t="n">
        <v>237691033</v>
      </c>
      <c r="AC386" s="16" t="n">
        <v>12.7</v>
      </c>
      <c r="AD386" s="16" t="n">
        <v>23.1</v>
      </c>
      <c r="AE386" s="13" t="n">
        <v>0.422</v>
      </c>
      <c r="AF386" s="13" t="n">
        <v>0.598</v>
      </c>
      <c r="AG386" s="13" t="n">
        <v>0.353</v>
      </c>
      <c r="AH386" s="13" t="n">
        <v>0.21</v>
      </c>
      <c r="AI386" s="17" t="n">
        <v>4.73</v>
      </c>
    </row>
    <row r="387" customFormat="false" ht="15" hidden="false" customHeight="false" outlineLevel="0" collapsed="false">
      <c r="A387" s="10" t="n">
        <v>45566</v>
      </c>
      <c r="B387" s="11" t="n">
        <f aca="false">YEAR(A387)</f>
        <v>2024</v>
      </c>
      <c r="C387" s="11" t="str">
        <f aca="false">"Q"&amp;ROUNDUP(MONTH(A387)/3,0)</f>
        <v>Q4</v>
      </c>
      <c r="D387" s="11" t="str">
        <f aca="false">B387&amp;"-"&amp;C387</f>
        <v>2024-Q4</v>
      </c>
      <c r="E387" s="11" t="n">
        <f aca="false">MONTH(A387)</f>
        <v>10</v>
      </c>
      <c r="F387" s="11" t="str">
        <f aca="false">TEXT(A387,"mmm")</f>
        <v>Oct</v>
      </c>
      <c r="G387" s="11" t="s">
        <v>207</v>
      </c>
      <c r="H387" s="11" t="s">
        <v>204</v>
      </c>
      <c r="I387" s="12" t="n">
        <v>11699569</v>
      </c>
      <c r="J387" s="12" t="n">
        <v>3737369</v>
      </c>
      <c r="K387" s="13" t="n">
        <f aca="false">IF(I387=0,0,J387/I387)</f>
        <v>0.319445015453133</v>
      </c>
      <c r="L387" s="12" t="n">
        <v>1256041</v>
      </c>
      <c r="M387" s="12" t="n">
        <v>372848</v>
      </c>
      <c r="N387" s="12" t="n">
        <v>43228</v>
      </c>
      <c r="O387" s="12" t="n">
        <v>12106</v>
      </c>
      <c r="P387" s="12" t="n">
        <f aca="false">M387+N387+O387</f>
        <v>428182</v>
      </c>
      <c r="Q387" s="13" t="n">
        <f aca="false">IF(I387=0,0,P387/I387)</f>
        <v>0.0365981003231828</v>
      </c>
      <c r="R387" s="13" t="n">
        <v>0.0376</v>
      </c>
      <c r="S387" s="14" t="n">
        <v>2343415</v>
      </c>
      <c r="T387" s="14" t="n">
        <v>169709</v>
      </c>
      <c r="U387" s="14" t="n">
        <v>107181</v>
      </c>
      <c r="V387" s="14" t="n">
        <v>138788</v>
      </c>
      <c r="W387" s="14" t="n">
        <f aca="false">S387+T387+U387+V387</f>
        <v>2759093</v>
      </c>
      <c r="X387" s="15" t="n">
        <f aca="false">IF(P387=0,0,S387/P387)</f>
        <v>5.47294141276373</v>
      </c>
      <c r="Y387" s="15" t="n">
        <f aca="false">IF(J387=0,0,W387/J387)</f>
        <v>0.73824473847779</v>
      </c>
      <c r="Z387" s="14" t="n">
        <v>590562</v>
      </c>
      <c r="AA387" s="15" t="n">
        <f aca="false">IF(L387=0,0,Z387/L387)</f>
        <v>0.470177327014007</v>
      </c>
      <c r="AB387" s="12" t="n">
        <v>301205115</v>
      </c>
      <c r="AC387" s="16" t="n">
        <v>12.5</v>
      </c>
      <c r="AD387" s="16" t="n">
        <v>22.3</v>
      </c>
      <c r="AE387" s="13" t="n">
        <v>0.415</v>
      </c>
      <c r="AF387" s="13" t="n">
        <v>0.576</v>
      </c>
      <c r="AG387" s="13" t="n">
        <v>0.358</v>
      </c>
      <c r="AH387" s="13" t="n">
        <v>0.212</v>
      </c>
      <c r="AI387" s="17" t="n">
        <v>4.65</v>
      </c>
    </row>
    <row r="388" customFormat="false" ht="15" hidden="false" customHeight="false" outlineLevel="0" collapsed="false">
      <c r="A388" s="10" t="n">
        <v>45566</v>
      </c>
      <c r="B388" s="11" t="n">
        <f aca="false">YEAR(A388)</f>
        <v>2024</v>
      </c>
      <c r="C388" s="11" t="str">
        <f aca="false">"Q"&amp;ROUNDUP(MONTH(A388)/3,0)</f>
        <v>Q4</v>
      </c>
      <c r="D388" s="11" t="str">
        <f aca="false">B388&amp;"-"&amp;C388</f>
        <v>2024-Q4</v>
      </c>
      <c r="E388" s="11" t="n">
        <f aca="false">MONTH(A388)</f>
        <v>10</v>
      </c>
      <c r="F388" s="11" t="str">
        <f aca="false">TEXT(A388,"mmm")</f>
        <v>Oct</v>
      </c>
      <c r="G388" s="11" t="s">
        <v>207</v>
      </c>
      <c r="H388" s="11" t="s">
        <v>205</v>
      </c>
      <c r="I388" s="12" t="n">
        <v>2961390</v>
      </c>
      <c r="J388" s="12" t="n">
        <v>850740</v>
      </c>
      <c r="K388" s="13" t="n">
        <f aca="false">IF(I388=0,0,J388/I388)</f>
        <v>0.287277258314508</v>
      </c>
      <c r="L388" s="12" t="n">
        <v>273500</v>
      </c>
      <c r="M388" s="12" t="n">
        <v>96282</v>
      </c>
      <c r="N388" s="12" t="n">
        <v>10537</v>
      </c>
      <c r="O388" s="12" t="n">
        <v>2052</v>
      </c>
      <c r="P388" s="12" t="n">
        <f aca="false">M388+N388+O388</f>
        <v>108871</v>
      </c>
      <c r="Q388" s="13" t="n">
        <f aca="false">IF(I388=0,0,P388/I388)</f>
        <v>0.0367634793120798</v>
      </c>
      <c r="R388" s="13" t="n">
        <v>0.0454</v>
      </c>
      <c r="S388" s="14" t="n">
        <v>663593</v>
      </c>
      <c r="T388" s="14" t="n">
        <v>46903</v>
      </c>
      <c r="U388" s="14" t="n">
        <v>30322</v>
      </c>
      <c r="V388" s="14" t="n">
        <v>43296</v>
      </c>
      <c r="W388" s="14" t="n">
        <f aca="false">S388+T388+U388+V388</f>
        <v>784114</v>
      </c>
      <c r="X388" s="15" t="n">
        <f aca="false">IF(P388=0,0,S388/P388)</f>
        <v>6.09522278660066</v>
      </c>
      <c r="Y388" s="15" t="n">
        <f aca="false">IF(J388=0,0,W388/J388)</f>
        <v>0.921684651009709</v>
      </c>
      <c r="Z388" s="14" t="n">
        <v>141163</v>
      </c>
      <c r="AA388" s="15" t="n">
        <f aca="false">IF(L388=0,0,Z388/L388)</f>
        <v>0.516135283363803</v>
      </c>
      <c r="AB388" s="12" t="n">
        <v>71455275</v>
      </c>
      <c r="AC388" s="16" t="n">
        <v>11.5</v>
      </c>
      <c r="AD388" s="16" t="n">
        <v>23.8</v>
      </c>
      <c r="AE388" s="13" t="n">
        <v>0.409</v>
      </c>
      <c r="AF388" s="13" t="n">
        <v>0.584</v>
      </c>
      <c r="AG388" s="13" t="n">
        <v>0.363</v>
      </c>
      <c r="AH388" s="13" t="n">
        <v>0.213</v>
      </c>
      <c r="AI388" s="17"/>
    </row>
    <row r="389" customFormat="false" ht="15" hidden="false" customHeight="false" outlineLevel="0" collapsed="false">
      <c r="A389" s="10" t="n">
        <v>45566</v>
      </c>
      <c r="B389" s="11" t="n">
        <f aca="false">YEAR(A389)</f>
        <v>2024</v>
      </c>
      <c r="C389" s="11" t="str">
        <f aca="false">"Q"&amp;ROUNDUP(MONTH(A389)/3,0)</f>
        <v>Q4</v>
      </c>
      <c r="D389" s="11" t="str">
        <f aca="false">B389&amp;"-"&amp;C389</f>
        <v>2024-Q4</v>
      </c>
      <c r="E389" s="11" t="n">
        <f aca="false">MONTH(A389)</f>
        <v>10</v>
      </c>
      <c r="F389" s="11" t="str">
        <f aca="false">TEXT(A389,"mmm")</f>
        <v>Oct</v>
      </c>
      <c r="G389" s="11" t="s">
        <v>208</v>
      </c>
      <c r="H389" s="11" t="s">
        <v>203</v>
      </c>
      <c r="I389" s="12" t="n">
        <v>7262705</v>
      </c>
      <c r="J389" s="12" t="n">
        <v>2520072</v>
      </c>
      <c r="K389" s="13" t="n">
        <f aca="false">IF(I389=0,0,J389/I389)</f>
        <v>0.346988071248936</v>
      </c>
      <c r="L389" s="12" t="n">
        <v>766692</v>
      </c>
      <c r="M389" s="12" t="n">
        <v>307575</v>
      </c>
      <c r="N389" s="12" t="n">
        <v>33612</v>
      </c>
      <c r="O389" s="12" t="n">
        <v>9441</v>
      </c>
      <c r="P389" s="12" t="n">
        <f aca="false">M389+N389+O389</f>
        <v>350628</v>
      </c>
      <c r="Q389" s="13" t="n">
        <f aca="false">IF(I389=0,0,P389/I389)</f>
        <v>0.0482778799359192</v>
      </c>
      <c r="R389" s="13" t="n">
        <v>0.0418</v>
      </c>
      <c r="S389" s="14" t="n">
        <v>2159629</v>
      </c>
      <c r="T389" s="14" t="n">
        <v>164691</v>
      </c>
      <c r="U389" s="14" t="n">
        <v>107602</v>
      </c>
      <c r="V389" s="14" t="n">
        <v>126306</v>
      </c>
      <c r="W389" s="14" t="n">
        <f aca="false">S389+T389+U389+V389</f>
        <v>2558228</v>
      </c>
      <c r="X389" s="15" t="n">
        <f aca="false">IF(P389=0,0,S389/P389)</f>
        <v>6.15931699693122</v>
      </c>
      <c r="Y389" s="15" t="n">
        <f aca="false">IF(J389=0,0,W389/J389)</f>
        <v>1.01514083724592</v>
      </c>
      <c r="Z389" s="14" t="n">
        <v>404725</v>
      </c>
      <c r="AA389" s="15" t="n">
        <f aca="false">IF(L389=0,0,Z389/L389)</f>
        <v>0.527884730765418</v>
      </c>
      <c r="AB389" s="12" t="n">
        <v>207008874</v>
      </c>
      <c r="AC389" s="16" t="n">
        <v>13.1</v>
      </c>
      <c r="AD389" s="16" t="n">
        <v>22.9</v>
      </c>
      <c r="AE389" s="13" t="n">
        <v>0.42</v>
      </c>
      <c r="AF389" s="13" t="n">
        <v>0.587</v>
      </c>
      <c r="AG389" s="13" t="n">
        <v>0.363</v>
      </c>
      <c r="AH389" s="13" t="n">
        <v>0.207</v>
      </c>
      <c r="AI389" s="17" t="n">
        <v>4.74</v>
      </c>
    </row>
    <row r="390" customFormat="false" ht="15" hidden="false" customHeight="false" outlineLevel="0" collapsed="false">
      <c r="A390" s="10" t="n">
        <v>45566</v>
      </c>
      <c r="B390" s="11" t="n">
        <f aca="false">YEAR(A390)</f>
        <v>2024</v>
      </c>
      <c r="C390" s="11" t="str">
        <f aca="false">"Q"&amp;ROUNDUP(MONTH(A390)/3,0)</f>
        <v>Q4</v>
      </c>
      <c r="D390" s="11" t="str">
        <f aca="false">B390&amp;"-"&amp;C390</f>
        <v>2024-Q4</v>
      </c>
      <c r="E390" s="11" t="n">
        <f aca="false">MONTH(A390)</f>
        <v>10</v>
      </c>
      <c r="F390" s="11" t="str">
        <f aca="false">TEXT(A390,"mmm")</f>
        <v>Oct</v>
      </c>
      <c r="G390" s="11" t="s">
        <v>208</v>
      </c>
      <c r="H390" s="11" t="s">
        <v>204</v>
      </c>
      <c r="I390" s="12" t="n">
        <v>9255531</v>
      </c>
      <c r="J390" s="12" t="n">
        <v>3005173</v>
      </c>
      <c r="K390" s="13" t="n">
        <f aca="false">IF(I390=0,0,J390/I390)</f>
        <v>0.324689420844682</v>
      </c>
      <c r="L390" s="12" t="n">
        <v>944974</v>
      </c>
      <c r="M390" s="12" t="n">
        <v>169556</v>
      </c>
      <c r="N390" s="12" t="n">
        <v>18284</v>
      </c>
      <c r="O390" s="12" t="n">
        <v>3872</v>
      </c>
      <c r="P390" s="12" t="n">
        <f aca="false">M390+N390+O390</f>
        <v>191712</v>
      </c>
      <c r="Q390" s="13" t="n">
        <f aca="false">IF(I390=0,0,P390/I390)</f>
        <v>0.0207132362259929</v>
      </c>
      <c r="R390" s="13" t="n">
        <v>0.0441</v>
      </c>
      <c r="S390" s="14" t="n">
        <v>1219922</v>
      </c>
      <c r="T390" s="14" t="n">
        <v>101826</v>
      </c>
      <c r="U390" s="14" t="n">
        <v>64442</v>
      </c>
      <c r="V390" s="14" t="n">
        <v>81276</v>
      </c>
      <c r="W390" s="14" t="n">
        <f aca="false">S390+T390+U390+V390</f>
        <v>1467466</v>
      </c>
      <c r="X390" s="15" t="n">
        <f aca="false">IF(P390=0,0,S390/P390)</f>
        <v>6.36330537472876</v>
      </c>
      <c r="Y390" s="15" t="n">
        <f aca="false">IF(J390=0,0,W390/J390)</f>
        <v>0.488313318401303</v>
      </c>
      <c r="Z390" s="14" t="n">
        <v>244602</v>
      </c>
      <c r="AA390" s="15" t="n">
        <f aca="false">IF(L390=0,0,Z390/L390)</f>
        <v>0.258845216905439</v>
      </c>
      <c r="AB390" s="12" t="n">
        <v>231474206</v>
      </c>
      <c r="AC390" s="16" t="n">
        <v>12.6</v>
      </c>
      <c r="AD390" s="16" t="n">
        <v>23.9</v>
      </c>
      <c r="AE390" s="13" t="n">
        <v>0.424</v>
      </c>
      <c r="AF390" s="13" t="n">
        <v>0.599</v>
      </c>
      <c r="AG390" s="13" t="n">
        <v>0.358</v>
      </c>
      <c r="AH390" s="13" t="n">
        <v>0.202</v>
      </c>
      <c r="AI390" s="17" t="n">
        <v>4.66</v>
      </c>
    </row>
    <row r="391" customFormat="false" ht="15" hidden="false" customHeight="false" outlineLevel="0" collapsed="false">
      <c r="A391" s="10" t="n">
        <v>45566</v>
      </c>
      <c r="B391" s="11" t="n">
        <f aca="false">YEAR(A391)</f>
        <v>2024</v>
      </c>
      <c r="C391" s="11" t="str">
        <f aca="false">"Q"&amp;ROUNDUP(MONTH(A391)/3,0)</f>
        <v>Q4</v>
      </c>
      <c r="D391" s="11" t="str">
        <f aca="false">B391&amp;"-"&amp;C391</f>
        <v>2024-Q4</v>
      </c>
      <c r="E391" s="11" t="n">
        <f aca="false">MONTH(A391)</f>
        <v>10</v>
      </c>
      <c r="F391" s="11" t="str">
        <f aca="false">TEXT(A391,"mmm")</f>
        <v>Oct</v>
      </c>
      <c r="G391" s="11" t="s">
        <v>208</v>
      </c>
      <c r="H391" s="11" t="s">
        <v>205</v>
      </c>
      <c r="I391" s="12" t="n">
        <v>2683202</v>
      </c>
      <c r="J391" s="12" t="n">
        <v>763640</v>
      </c>
      <c r="K391" s="13" t="n">
        <f aca="false">IF(I391=0,0,J391/I391)</f>
        <v>0.284600264907376</v>
      </c>
      <c r="L391" s="12" t="n">
        <v>232131</v>
      </c>
      <c r="M391" s="12" t="n">
        <v>48427</v>
      </c>
      <c r="N391" s="12" t="n">
        <v>5520</v>
      </c>
      <c r="O391" s="12" t="n">
        <v>736</v>
      </c>
      <c r="P391" s="12" t="n">
        <f aca="false">M391+N391+O391</f>
        <v>54683</v>
      </c>
      <c r="Q391" s="13" t="n">
        <f aca="false">IF(I391=0,0,P391/I391)</f>
        <v>0.0203797552327406</v>
      </c>
      <c r="R391" s="13" t="n">
        <v>0.0444</v>
      </c>
      <c r="S391" s="14" t="n">
        <v>321602</v>
      </c>
      <c r="T391" s="14" t="n">
        <v>23934</v>
      </c>
      <c r="U391" s="14" t="n">
        <v>16303</v>
      </c>
      <c r="V391" s="14" t="n">
        <v>20642</v>
      </c>
      <c r="W391" s="14" t="n">
        <f aca="false">S391+T391+U391+V391</f>
        <v>382481</v>
      </c>
      <c r="X391" s="15" t="n">
        <f aca="false">IF(P391=0,0,S391/P391)</f>
        <v>5.88120622496937</v>
      </c>
      <c r="Y391" s="15" t="n">
        <f aca="false">IF(J391=0,0,W391/J391)</f>
        <v>0.500865591116233</v>
      </c>
      <c r="Z391" s="14" t="n">
        <v>69513</v>
      </c>
      <c r="AA391" s="15" t="n">
        <f aca="false">IF(L391=0,0,Z391/L391)</f>
        <v>0.29945591067113</v>
      </c>
      <c r="AB391" s="12" t="n">
        <v>61989942</v>
      </c>
      <c r="AC391" s="16" t="n">
        <v>11.2</v>
      </c>
      <c r="AD391" s="16" t="n">
        <v>23.1</v>
      </c>
      <c r="AE391" s="13" t="n">
        <v>0.418</v>
      </c>
      <c r="AF391" s="13" t="n">
        <v>0.604</v>
      </c>
      <c r="AG391" s="13" t="n">
        <v>0.353</v>
      </c>
      <c r="AH391" s="13" t="n">
        <v>0.219</v>
      </c>
      <c r="AI391" s="17"/>
    </row>
    <row r="392" customFormat="false" ht="15" hidden="false" customHeight="false" outlineLevel="0" collapsed="false">
      <c r="A392" s="10" t="n">
        <v>45566</v>
      </c>
      <c r="B392" s="11" t="n">
        <f aca="false">YEAR(A392)</f>
        <v>2024</v>
      </c>
      <c r="C392" s="11" t="str">
        <f aca="false">"Q"&amp;ROUNDUP(MONTH(A392)/3,0)</f>
        <v>Q4</v>
      </c>
      <c r="D392" s="11" t="str">
        <f aca="false">B392&amp;"-"&amp;C392</f>
        <v>2024-Q4</v>
      </c>
      <c r="E392" s="11" t="n">
        <f aca="false">MONTH(A392)</f>
        <v>10</v>
      </c>
      <c r="F392" s="11" t="str">
        <f aca="false">TEXT(A392,"mmm")</f>
        <v>Oct</v>
      </c>
      <c r="G392" s="11" t="s">
        <v>209</v>
      </c>
      <c r="H392" s="11" t="s">
        <v>203</v>
      </c>
      <c r="I392" s="12" t="n">
        <v>4542389</v>
      </c>
      <c r="J392" s="12" t="n">
        <v>1500822</v>
      </c>
      <c r="K392" s="13" t="n">
        <f aca="false">IF(I392=0,0,J392/I392)</f>
        <v>0.33040367084369</v>
      </c>
      <c r="L392" s="12" t="n">
        <v>494645</v>
      </c>
      <c r="M392" s="12" t="n">
        <v>118824</v>
      </c>
      <c r="N392" s="12" t="n">
        <v>13408</v>
      </c>
      <c r="O392" s="12" t="n">
        <v>2911</v>
      </c>
      <c r="P392" s="12" t="n">
        <f aca="false">M392+N392+O392</f>
        <v>135143</v>
      </c>
      <c r="Q392" s="13" t="n">
        <f aca="false">IF(I392=0,0,P392/I392)</f>
        <v>0.0297515250235064</v>
      </c>
      <c r="R392" s="13" t="n">
        <v>0.0407</v>
      </c>
      <c r="S392" s="14" t="n">
        <v>779521</v>
      </c>
      <c r="T392" s="14" t="n">
        <v>60100</v>
      </c>
      <c r="U392" s="14" t="n">
        <v>36210</v>
      </c>
      <c r="V392" s="14" t="n">
        <v>49940</v>
      </c>
      <c r="W392" s="14" t="n">
        <f aca="false">S392+T392+U392+V392</f>
        <v>925771</v>
      </c>
      <c r="X392" s="15" t="n">
        <f aca="false">IF(P392=0,0,S392/P392)</f>
        <v>5.76811969543373</v>
      </c>
      <c r="Y392" s="15" t="n">
        <f aca="false">IF(J392=0,0,W392/J392)</f>
        <v>0.616842636901645</v>
      </c>
      <c r="Z392" s="14" t="n">
        <v>139013</v>
      </c>
      <c r="AA392" s="15" t="n">
        <f aca="false">IF(L392=0,0,Z392/L392)</f>
        <v>0.281035894429338</v>
      </c>
      <c r="AB392" s="12" t="n">
        <v>123120007</v>
      </c>
      <c r="AC392" s="16" t="n">
        <v>12.8</v>
      </c>
      <c r="AD392" s="16" t="n">
        <v>24</v>
      </c>
      <c r="AE392" s="13" t="n">
        <v>0.409</v>
      </c>
      <c r="AF392" s="13" t="n">
        <v>0.591</v>
      </c>
      <c r="AG392" s="13" t="n">
        <v>0.342</v>
      </c>
      <c r="AH392" s="13" t="n">
        <v>0.219</v>
      </c>
      <c r="AI392" s="17" t="n">
        <v>4.72</v>
      </c>
    </row>
    <row r="393" customFormat="false" ht="15" hidden="false" customHeight="false" outlineLevel="0" collapsed="false">
      <c r="A393" s="10" t="n">
        <v>45566</v>
      </c>
      <c r="B393" s="11" t="n">
        <f aca="false">YEAR(A393)</f>
        <v>2024</v>
      </c>
      <c r="C393" s="11" t="str">
        <f aca="false">"Q"&amp;ROUNDUP(MONTH(A393)/3,0)</f>
        <v>Q4</v>
      </c>
      <c r="D393" s="11" t="str">
        <f aca="false">B393&amp;"-"&amp;C393</f>
        <v>2024-Q4</v>
      </c>
      <c r="E393" s="11" t="n">
        <f aca="false">MONTH(A393)</f>
        <v>10</v>
      </c>
      <c r="F393" s="11" t="str">
        <f aca="false">TEXT(A393,"mmm")</f>
        <v>Oct</v>
      </c>
      <c r="G393" s="11" t="s">
        <v>209</v>
      </c>
      <c r="H393" s="11" t="s">
        <v>204</v>
      </c>
      <c r="I393" s="12" t="n">
        <v>5303853</v>
      </c>
      <c r="J393" s="12" t="n">
        <v>1663379</v>
      </c>
      <c r="K393" s="13" t="n">
        <f aca="false">IF(I393=0,0,J393/I393)</f>
        <v>0.313617100624772</v>
      </c>
      <c r="L393" s="12" t="n">
        <v>545429</v>
      </c>
      <c r="M393" s="12" t="n">
        <v>69709</v>
      </c>
      <c r="N393" s="12" t="n">
        <v>7737</v>
      </c>
      <c r="O393" s="12" t="n">
        <v>1272</v>
      </c>
      <c r="P393" s="12" t="n">
        <f aca="false">M393+N393+O393</f>
        <v>78718</v>
      </c>
      <c r="Q393" s="13" t="n">
        <f aca="false">IF(I393=0,0,P393/I393)</f>
        <v>0.0148416632210584</v>
      </c>
      <c r="R393" s="13" t="n">
        <v>0.0413</v>
      </c>
      <c r="S393" s="14" t="n">
        <v>490065</v>
      </c>
      <c r="T393" s="14" t="n">
        <v>38429</v>
      </c>
      <c r="U393" s="14" t="n">
        <v>23961</v>
      </c>
      <c r="V393" s="14" t="n">
        <v>29876</v>
      </c>
      <c r="W393" s="14" t="n">
        <f aca="false">S393+T393+U393+V393</f>
        <v>582331</v>
      </c>
      <c r="X393" s="15" t="n">
        <f aca="false">IF(P393=0,0,S393/P393)</f>
        <v>6.22557737747402</v>
      </c>
      <c r="Y393" s="15" t="n">
        <f aca="false">IF(J393=0,0,W393/J393)</f>
        <v>0.350089185928162</v>
      </c>
      <c r="Z393" s="14" t="n">
        <v>101181</v>
      </c>
      <c r="AA393" s="15" t="n">
        <f aca="false">IF(L393=0,0,Z393/L393)</f>
        <v>0.185507187919968</v>
      </c>
      <c r="AB393" s="12" t="n">
        <v>132336053</v>
      </c>
      <c r="AC393" s="16" t="n">
        <v>12.9</v>
      </c>
      <c r="AD393" s="16" t="n">
        <v>23.9</v>
      </c>
      <c r="AE393" s="13" t="n">
        <v>0.433</v>
      </c>
      <c r="AF393" s="13" t="n">
        <v>0.591</v>
      </c>
      <c r="AG393" s="13" t="n">
        <v>0.36</v>
      </c>
      <c r="AH393" s="13" t="n">
        <v>0.213</v>
      </c>
      <c r="AI393" s="17" t="n">
        <v>4.67</v>
      </c>
    </row>
    <row r="394" customFormat="false" ht="15" hidden="false" customHeight="false" outlineLevel="0" collapsed="false">
      <c r="A394" s="10" t="n">
        <v>45566</v>
      </c>
      <c r="B394" s="11" t="n">
        <f aca="false">YEAR(A394)</f>
        <v>2024</v>
      </c>
      <c r="C394" s="11" t="str">
        <f aca="false">"Q"&amp;ROUNDUP(MONTH(A394)/3,0)</f>
        <v>Q4</v>
      </c>
      <c r="D394" s="11" t="str">
        <f aca="false">B394&amp;"-"&amp;C394</f>
        <v>2024-Q4</v>
      </c>
      <c r="E394" s="11" t="n">
        <f aca="false">MONTH(A394)</f>
        <v>10</v>
      </c>
      <c r="F394" s="11" t="str">
        <f aca="false">TEXT(A394,"mmm")</f>
        <v>Oct</v>
      </c>
      <c r="G394" s="11" t="s">
        <v>209</v>
      </c>
      <c r="H394" s="11" t="s">
        <v>205</v>
      </c>
      <c r="I394" s="12" t="n">
        <v>1722929</v>
      </c>
      <c r="J394" s="12" t="n">
        <v>477113</v>
      </c>
      <c r="K394" s="13" t="n">
        <f aca="false">IF(I394=0,0,J394/I394)</f>
        <v>0.276919710562652</v>
      </c>
      <c r="L394" s="12" t="n">
        <v>142657</v>
      </c>
      <c r="M394" s="12" t="n">
        <v>18852</v>
      </c>
      <c r="N394" s="12" t="n">
        <v>1991</v>
      </c>
      <c r="O394" s="12" t="n">
        <v>227</v>
      </c>
      <c r="P394" s="12" t="n">
        <f aca="false">M394+N394+O394</f>
        <v>21070</v>
      </c>
      <c r="Q394" s="13" t="n">
        <f aca="false">IF(I394=0,0,P394/I394)</f>
        <v>0.0122291748528233</v>
      </c>
      <c r="R394" s="13" t="n">
        <v>0.0459</v>
      </c>
      <c r="S394" s="14" t="n">
        <v>127000</v>
      </c>
      <c r="T394" s="14" t="n">
        <v>9918</v>
      </c>
      <c r="U394" s="14" t="n">
        <v>5998</v>
      </c>
      <c r="V394" s="14" t="n">
        <v>7495</v>
      </c>
      <c r="W394" s="14" t="n">
        <f aca="false">S394+T394+U394+V394</f>
        <v>150411</v>
      </c>
      <c r="X394" s="15" t="n">
        <f aca="false">IF(P394=0,0,S394/P394)</f>
        <v>6.02752728998576</v>
      </c>
      <c r="Y394" s="15" t="n">
        <f aca="false">IF(J394=0,0,W394/J394)</f>
        <v>0.315252361599873</v>
      </c>
      <c r="Z394" s="14" t="n">
        <v>23675</v>
      </c>
      <c r="AA394" s="15" t="n">
        <f aca="false">IF(L394=0,0,Z394/L394)</f>
        <v>0.16595750646656</v>
      </c>
      <c r="AB394" s="12" t="n">
        <v>38960602</v>
      </c>
      <c r="AC394" s="16" t="n">
        <v>11.5</v>
      </c>
      <c r="AD394" s="16" t="n">
        <v>23.4</v>
      </c>
      <c r="AE394" s="13" t="n">
        <v>0.42</v>
      </c>
      <c r="AF394" s="13" t="n">
        <v>0.585</v>
      </c>
      <c r="AG394" s="13" t="n">
        <v>0.357</v>
      </c>
      <c r="AH394" s="13" t="n">
        <v>0.223</v>
      </c>
      <c r="AI394" s="17"/>
    </row>
    <row r="395" customFormat="false" ht="15" hidden="false" customHeight="false" outlineLevel="0" collapsed="false">
      <c r="A395" s="10" t="n">
        <v>45566</v>
      </c>
      <c r="B395" s="11" t="n">
        <f aca="false">YEAR(A395)</f>
        <v>2024</v>
      </c>
      <c r="C395" s="11" t="str">
        <f aca="false">"Q"&amp;ROUNDUP(MONTH(A395)/3,0)</f>
        <v>Q4</v>
      </c>
      <c r="D395" s="11" t="str">
        <f aca="false">B395&amp;"-"&amp;C395</f>
        <v>2024-Q4</v>
      </c>
      <c r="E395" s="11" t="n">
        <f aca="false">MONTH(A395)</f>
        <v>10</v>
      </c>
      <c r="F395" s="11" t="str">
        <f aca="false">TEXT(A395,"mmm")</f>
        <v>Oct</v>
      </c>
      <c r="G395" s="11" t="s">
        <v>210</v>
      </c>
      <c r="H395" s="11" t="s">
        <v>203</v>
      </c>
      <c r="I395" s="12" t="n">
        <v>6783175</v>
      </c>
      <c r="J395" s="12" t="n">
        <v>2222885</v>
      </c>
      <c r="K395" s="13" t="n">
        <f aca="false">IF(I395=0,0,J395/I395)</f>
        <v>0.327705683547896</v>
      </c>
      <c r="L395" s="12" t="n">
        <v>714684</v>
      </c>
      <c r="M395" s="12" t="n">
        <v>228641</v>
      </c>
      <c r="N395" s="12" t="n">
        <v>26834</v>
      </c>
      <c r="O395" s="12" t="n">
        <v>5625</v>
      </c>
      <c r="P395" s="12" t="n">
        <f aca="false">M395+N395+O395</f>
        <v>261100</v>
      </c>
      <c r="Q395" s="13" t="n">
        <f aca="false">IF(I395=0,0,P395/I395)</f>
        <v>0.0384922989602951</v>
      </c>
      <c r="R395" s="13" t="n">
        <v>0.039</v>
      </c>
      <c r="S395" s="14" t="n">
        <v>1641215</v>
      </c>
      <c r="T395" s="14" t="n">
        <v>142047</v>
      </c>
      <c r="U395" s="14" t="n">
        <v>82640</v>
      </c>
      <c r="V395" s="14" t="n">
        <v>101336</v>
      </c>
      <c r="W395" s="14" t="n">
        <f aca="false">S395+T395+U395+V395</f>
        <v>1967238</v>
      </c>
      <c r="X395" s="15" t="n">
        <f aca="false">IF(P395=0,0,S395/P395)</f>
        <v>6.28577173496745</v>
      </c>
      <c r="Y395" s="15" t="n">
        <f aca="false">IF(J395=0,0,W395/J395)</f>
        <v>0.884993150792776</v>
      </c>
      <c r="Z395" s="14" t="n">
        <v>364460</v>
      </c>
      <c r="AA395" s="15" t="n">
        <f aca="false">IF(L395=0,0,Z395/L395)</f>
        <v>0.509959646501111</v>
      </c>
      <c r="AB395" s="12" t="n">
        <v>174538738</v>
      </c>
      <c r="AC395" s="16" t="n">
        <v>13</v>
      </c>
      <c r="AD395" s="16" t="n">
        <v>24.4</v>
      </c>
      <c r="AE395" s="13" t="n">
        <v>0.419</v>
      </c>
      <c r="AF395" s="13" t="n">
        <v>0.592</v>
      </c>
      <c r="AG395" s="13" t="n">
        <v>0.356</v>
      </c>
      <c r="AH395" s="13" t="n">
        <v>0.219</v>
      </c>
      <c r="AI395" s="17" t="n">
        <v>4.73</v>
      </c>
    </row>
    <row r="396" customFormat="false" ht="15" hidden="false" customHeight="false" outlineLevel="0" collapsed="false">
      <c r="A396" s="10" t="n">
        <v>45566</v>
      </c>
      <c r="B396" s="11" t="n">
        <f aca="false">YEAR(A396)</f>
        <v>2024</v>
      </c>
      <c r="C396" s="11" t="str">
        <f aca="false">"Q"&amp;ROUNDUP(MONTH(A396)/3,0)</f>
        <v>Q4</v>
      </c>
      <c r="D396" s="11" t="str">
        <f aca="false">B396&amp;"-"&amp;C396</f>
        <v>2024-Q4</v>
      </c>
      <c r="E396" s="11" t="n">
        <f aca="false">MONTH(A396)</f>
        <v>10</v>
      </c>
      <c r="F396" s="11" t="str">
        <f aca="false">TEXT(A396,"mmm")</f>
        <v>Oct</v>
      </c>
      <c r="G396" s="11" t="s">
        <v>210</v>
      </c>
      <c r="H396" s="11" t="s">
        <v>204</v>
      </c>
      <c r="I396" s="12" t="n">
        <v>8717133</v>
      </c>
      <c r="J396" s="12" t="n">
        <v>2571433</v>
      </c>
      <c r="K396" s="13" t="n">
        <f aca="false">IF(I396=0,0,J396/I396)</f>
        <v>0.294986092331045</v>
      </c>
      <c r="L396" s="12" t="n">
        <v>944948</v>
      </c>
      <c r="M396" s="12" t="n">
        <v>131878</v>
      </c>
      <c r="N396" s="12" t="n">
        <v>15711</v>
      </c>
      <c r="O396" s="12" t="n">
        <v>2424</v>
      </c>
      <c r="P396" s="12" t="n">
        <f aca="false">M396+N396+O396</f>
        <v>150013</v>
      </c>
      <c r="Q396" s="13" t="n">
        <f aca="false">IF(I396=0,0,P396/I396)</f>
        <v>0.017208983733528</v>
      </c>
      <c r="R396" s="13" t="n">
        <v>0.0441</v>
      </c>
      <c r="S396" s="14" t="n">
        <v>986428</v>
      </c>
      <c r="T396" s="14" t="n">
        <v>74373</v>
      </c>
      <c r="U396" s="14" t="n">
        <v>46168</v>
      </c>
      <c r="V396" s="14" t="n">
        <v>61695</v>
      </c>
      <c r="W396" s="14" t="n">
        <f aca="false">S396+T396+U396+V396</f>
        <v>1168664</v>
      </c>
      <c r="X396" s="15" t="n">
        <f aca="false">IF(P396=0,0,S396/P396)</f>
        <v>6.57561677987908</v>
      </c>
      <c r="Y396" s="15" t="n">
        <f aca="false">IF(J396=0,0,W396/J396)</f>
        <v>0.454479661729471</v>
      </c>
      <c r="Z396" s="14" t="n">
        <v>175845</v>
      </c>
      <c r="AA396" s="15" t="n">
        <f aca="false">IF(L396=0,0,Z396/L396)</f>
        <v>0.186089604930642</v>
      </c>
      <c r="AB396" s="12" t="n">
        <v>216313459</v>
      </c>
      <c r="AC396" s="16" t="n">
        <v>12.8</v>
      </c>
      <c r="AD396" s="16" t="n">
        <v>24.5</v>
      </c>
      <c r="AE396" s="13" t="n">
        <v>0.42</v>
      </c>
      <c r="AF396" s="13" t="n">
        <v>0.59</v>
      </c>
      <c r="AG396" s="13" t="n">
        <v>0.346</v>
      </c>
      <c r="AH396" s="13" t="n">
        <v>0.21</v>
      </c>
      <c r="AI396" s="17" t="n">
        <v>4.64</v>
      </c>
    </row>
    <row r="397" customFormat="false" ht="15" hidden="false" customHeight="false" outlineLevel="0" collapsed="false">
      <c r="A397" s="10" t="n">
        <v>45566</v>
      </c>
      <c r="B397" s="11" t="n">
        <f aca="false">YEAR(A397)</f>
        <v>2024</v>
      </c>
      <c r="C397" s="11" t="str">
        <f aca="false">"Q"&amp;ROUNDUP(MONTH(A397)/3,0)</f>
        <v>Q4</v>
      </c>
      <c r="D397" s="11" t="str">
        <f aca="false">B397&amp;"-"&amp;C397</f>
        <v>2024-Q4</v>
      </c>
      <c r="E397" s="11" t="n">
        <f aca="false">MONTH(A397)</f>
        <v>10</v>
      </c>
      <c r="F397" s="11" t="str">
        <f aca="false">TEXT(A397,"mmm")</f>
        <v>Oct</v>
      </c>
      <c r="G397" s="11" t="s">
        <v>210</v>
      </c>
      <c r="H397" s="11" t="s">
        <v>205</v>
      </c>
      <c r="I397" s="12" t="n">
        <v>2661045</v>
      </c>
      <c r="J397" s="12" t="n">
        <v>735884</v>
      </c>
      <c r="K397" s="13" t="n">
        <f aca="false">IF(I397=0,0,J397/I397)</f>
        <v>0.276539479790834</v>
      </c>
      <c r="L397" s="12" t="n">
        <v>208201</v>
      </c>
      <c r="M397" s="12" t="n">
        <v>35889</v>
      </c>
      <c r="N397" s="12" t="n">
        <v>3933</v>
      </c>
      <c r="O397" s="12" t="n">
        <v>434</v>
      </c>
      <c r="P397" s="12" t="n">
        <f aca="false">M397+N397+O397</f>
        <v>40256</v>
      </c>
      <c r="Q397" s="13" t="n">
        <f aca="false">IF(I397=0,0,P397/I397)</f>
        <v>0.0151278914862394</v>
      </c>
      <c r="R397" s="13" t="n">
        <v>0.04</v>
      </c>
      <c r="S397" s="14" t="n">
        <v>259597</v>
      </c>
      <c r="T397" s="14" t="n">
        <v>19699</v>
      </c>
      <c r="U397" s="14" t="n">
        <v>11608</v>
      </c>
      <c r="V397" s="14" t="n">
        <v>15530</v>
      </c>
      <c r="W397" s="14" t="n">
        <f aca="false">S397+T397+U397+V397</f>
        <v>306434</v>
      </c>
      <c r="X397" s="15" t="n">
        <f aca="false">IF(P397=0,0,S397/P397)</f>
        <v>6.44865361685215</v>
      </c>
      <c r="Y397" s="15" t="n">
        <f aca="false">IF(J397=0,0,W397/J397)</f>
        <v>0.416416174288339</v>
      </c>
      <c r="Z397" s="14" t="n">
        <v>53083</v>
      </c>
      <c r="AA397" s="15" t="n">
        <f aca="false">IF(L397=0,0,Z397/L397)</f>
        <v>0.254960350814838</v>
      </c>
      <c r="AB397" s="12" t="n">
        <v>60832368</v>
      </c>
      <c r="AC397" s="16" t="n">
        <v>11.4</v>
      </c>
      <c r="AD397" s="16" t="n">
        <v>23</v>
      </c>
      <c r="AE397" s="13" t="n">
        <v>0.419</v>
      </c>
      <c r="AF397" s="13" t="n">
        <v>0.58</v>
      </c>
      <c r="AG397" s="13" t="n">
        <v>0.351</v>
      </c>
      <c r="AH397" s="13" t="n">
        <v>0.218</v>
      </c>
      <c r="AI397" s="17"/>
    </row>
    <row r="398" customFormat="false" ht="15" hidden="false" customHeight="false" outlineLevel="0" collapsed="false">
      <c r="A398" s="10" t="n">
        <v>45597</v>
      </c>
      <c r="B398" s="11" t="n">
        <f aca="false">YEAR(A398)</f>
        <v>2024</v>
      </c>
      <c r="C398" s="11" t="str">
        <f aca="false">"Q"&amp;ROUNDUP(MONTH(A398)/3,0)</f>
        <v>Q4</v>
      </c>
      <c r="D398" s="11" t="str">
        <f aca="false">B398&amp;"-"&amp;C398</f>
        <v>2024-Q4</v>
      </c>
      <c r="E398" s="11" t="n">
        <f aca="false">MONTH(A398)</f>
        <v>11</v>
      </c>
      <c r="F398" s="11" t="str">
        <f aca="false">TEXT(A398,"mmm")</f>
        <v>Nov</v>
      </c>
      <c r="G398" s="11" t="s">
        <v>202</v>
      </c>
      <c r="H398" s="11" t="s">
        <v>203</v>
      </c>
      <c r="I398" s="12" t="n">
        <v>8376392</v>
      </c>
      <c r="J398" s="12" t="n">
        <v>2991192</v>
      </c>
      <c r="K398" s="13" t="n">
        <f aca="false">IF(I398=0,0,J398/I398)</f>
        <v>0.357097900862328</v>
      </c>
      <c r="L398" s="12" t="n">
        <v>1048122</v>
      </c>
      <c r="M398" s="12" t="n">
        <v>1931532</v>
      </c>
      <c r="N398" s="12" t="n">
        <v>256148</v>
      </c>
      <c r="O398" s="12" t="n">
        <v>217152</v>
      </c>
      <c r="P398" s="12" t="n">
        <f aca="false">M398+N398+O398</f>
        <v>2404832</v>
      </c>
      <c r="Q398" s="13" t="n">
        <f aca="false">IF(I398=0,0,P398/I398)</f>
        <v>0.287096401410058</v>
      </c>
      <c r="R398" s="13" t="n">
        <v>0.0428</v>
      </c>
      <c r="S398" s="14" t="n">
        <v>15340302</v>
      </c>
      <c r="T398" s="14" t="n">
        <v>1136819</v>
      </c>
      <c r="U398" s="14" t="n">
        <v>727927</v>
      </c>
      <c r="V398" s="14" t="n">
        <v>915137</v>
      </c>
      <c r="W398" s="14" t="n">
        <f aca="false">S398+T398+U398+V398</f>
        <v>18120185</v>
      </c>
      <c r="X398" s="15" t="n">
        <f aca="false">IF(P398=0,0,S398/P398)</f>
        <v>6.37894954824287</v>
      </c>
      <c r="Y398" s="15" t="n">
        <f aca="false">IF(J398=0,0,W398/J398)</f>
        <v>6.05784750694706</v>
      </c>
      <c r="Z398" s="14" t="n">
        <v>3041647</v>
      </c>
      <c r="AA398" s="15" t="n">
        <f aca="false">IF(L398=0,0,Z398/L398)</f>
        <v>2.90199709575794</v>
      </c>
      <c r="AB398" s="12" t="n">
        <v>236485221</v>
      </c>
      <c r="AC398" s="16" t="n">
        <v>13</v>
      </c>
      <c r="AD398" s="16" t="n">
        <v>23.4</v>
      </c>
      <c r="AE398" s="13" t="n">
        <v>0.436</v>
      </c>
      <c r="AF398" s="13" t="n">
        <v>0.593</v>
      </c>
      <c r="AG398" s="13" t="n">
        <v>0.362</v>
      </c>
      <c r="AH398" s="13" t="n">
        <v>0.21</v>
      </c>
      <c r="AI398" s="17" t="n">
        <v>4.7</v>
      </c>
    </row>
    <row r="399" customFormat="false" ht="15" hidden="false" customHeight="false" outlineLevel="0" collapsed="false">
      <c r="A399" s="10" t="n">
        <v>45597</v>
      </c>
      <c r="B399" s="11" t="n">
        <f aca="false">YEAR(A399)</f>
        <v>2024</v>
      </c>
      <c r="C399" s="11" t="str">
        <f aca="false">"Q"&amp;ROUNDUP(MONTH(A399)/3,0)</f>
        <v>Q4</v>
      </c>
      <c r="D399" s="11" t="str">
        <f aca="false">B399&amp;"-"&amp;C399</f>
        <v>2024-Q4</v>
      </c>
      <c r="E399" s="11" t="n">
        <f aca="false">MONTH(A399)</f>
        <v>11</v>
      </c>
      <c r="F399" s="11" t="str">
        <f aca="false">TEXT(A399,"mmm")</f>
        <v>Nov</v>
      </c>
      <c r="G399" s="11" t="s">
        <v>202</v>
      </c>
      <c r="H399" s="11" t="s">
        <v>204</v>
      </c>
      <c r="I399" s="12" t="n">
        <v>12240525</v>
      </c>
      <c r="J399" s="12" t="n">
        <v>3989832</v>
      </c>
      <c r="K399" s="13" t="n">
        <f aca="false">IF(I399=0,0,J399/I399)</f>
        <v>0.325952685852935</v>
      </c>
      <c r="L399" s="12" t="n">
        <v>1178314</v>
      </c>
      <c r="M399" s="12" t="n">
        <v>1112332</v>
      </c>
      <c r="N399" s="12" t="n">
        <v>135081</v>
      </c>
      <c r="O399" s="12" t="n">
        <v>90616</v>
      </c>
      <c r="P399" s="12" t="n">
        <f aca="false">M399+N399+O399</f>
        <v>1338029</v>
      </c>
      <c r="Q399" s="13" t="n">
        <f aca="false">IF(I399=0,0,P399/I399)</f>
        <v>0.109311406169262</v>
      </c>
      <c r="R399" s="13" t="n">
        <v>0.0386</v>
      </c>
      <c r="S399" s="14" t="n">
        <v>8655457</v>
      </c>
      <c r="T399" s="14" t="n">
        <v>656692</v>
      </c>
      <c r="U399" s="14" t="n">
        <v>425961</v>
      </c>
      <c r="V399" s="14" t="n">
        <v>498564</v>
      </c>
      <c r="W399" s="14" t="n">
        <f aca="false">S399+T399+U399+V399</f>
        <v>10236674</v>
      </c>
      <c r="X399" s="15" t="n">
        <f aca="false">IF(P399=0,0,S399/P399)</f>
        <v>6.46881121410672</v>
      </c>
      <c r="Y399" s="15" t="n">
        <f aca="false">IF(J399=0,0,W399/J399)</f>
        <v>2.56569048521341</v>
      </c>
      <c r="Z399" s="14" t="n">
        <v>1523441</v>
      </c>
      <c r="AA399" s="15" t="n">
        <f aca="false">IF(L399=0,0,Z399/L399)</f>
        <v>1.29289900654664</v>
      </c>
      <c r="AB399" s="12" t="n">
        <v>318326082</v>
      </c>
      <c r="AC399" s="16" t="n">
        <v>12.5</v>
      </c>
      <c r="AD399" s="16" t="n">
        <v>24.3</v>
      </c>
      <c r="AE399" s="13" t="n">
        <v>0.423</v>
      </c>
      <c r="AF399" s="13" t="n">
        <v>0.598</v>
      </c>
      <c r="AG399" s="13" t="n">
        <v>0.364</v>
      </c>
      <c r="AH399" s="13" t="n">
        <v>0.197</v>
      </c>
      <c r="AI399" s="17" t="n">
        <v>4.68</v>
      </c>
    </row>
    <row r="400" customFormat="false" ht="15" hidden="false" customHeight="false" outlineLevel="0" collapsed="false">
      <c r="A400" s="10" t="n">
        <v>45597</v>
      </c>
      <c r="B400" s="11" t="n">
        <f aca="false">YEAR(A400)</f>
        <v>2024</v>
      </c>
      <c r="C400" s="11" t="str">
        <f aca="false">"Q"&amp;ROUNDUP(MONTH(A400)/3,0)</f>
        <v>Q4</v>
      </c>
      <c r="D400" s="11" t="str">
        <f aca="false">B400&amp;"-"&amp;C400</f>
        <v>2024-Q4</v>
      </c>
      <c r="E400" s="11" t="n">
        <f aca="false">MONTH(A400)</f>
        <v>11</v>
      </c>
      <c r="F400" s="11" t="str">
        <f aca="false">TEXT(A400,"mmm")</f>
        <v>Nov</v>
      </c>
      <c r="G400" s="11" t="s">
        <v>202</v>
      </c>
      <c r="H400" s="11" t="s">
        <v>205</v>
      </c>
      <c r="I400" s="12" t="n">
        <v>3194629</v>
      </c>
      <c r="J400" s="12" t="n">
        <v>970089</v>
      </c>
      <c r="K400" s="13" t="n">
        <f aca="false">IF(I400=0,0,J400/I400)</f>
        <v>0.303662491012258</v>
      </c>
      <c r="L400" s="12" t="n">
        <v>353101</v>
      </c>
      <c r="M400" s="12" t="n">
        <v>324885</v>
      </c>
      <c r="N400" s="12" t="n">
        <v>36722</v>
      </c>
      <c r="O400" s="12" t="n">
        <v>17098</v>
      </c>
      <c r="P400" s="12" t="n">
        <f aca="false">M400+N400+O400</f>
        <v>378705</v>
      </c>
      <c r="Q400" s="13" t="n">
        <f aca="false">IF(I400=0,0,P400/I400)</f>
        <v>0.118544281667762</v>
      </c>
      <c r="R400" s="13" t="n">
        <v>0.0467</v>
      </c>
      <c r="S400" s="14" t="n">
        <v>2244574</v>
      </c>
      <c r="T400" s="14" t="n">
        <v>162138</v>
      </c>
      <c r="U400" s="14" t="n">
        <v>106462</v>
      </c>
      <c r="V400" s="14" t="n">
        <v>135433</v>
      </c>
      <c r="W400" s="14" t="n">
        <f aca="false">S400+T400+U400+V400</f>
        <v>2648607</v>
      </c>
      <c r="X400" s="15" t="n">
        <f aca="false">IF(P400=0,0,S400/P400)</f>
        <v>5.92697218151332</v>
      </c>
      <c r="Y400" s="15" t="n">
        <f aca="false">IF(J400=0,0,W400/J400)</f>
        <v>2.73027217090391</v>
      </c>
      <c r="Z400" s="14" t="n">
        <v>444927</v>
      </c>
      <c r="AA400" s="15" t="n">
        <f aca="false">IF(L400=0,0,Z400/L400)</f>
        <v>1.2600559046845</v>
      </c>
      <c r="AB400" s="12" t="n">
        <v>80551841</v>
      </c>
      <c r="AC400" s="16" t="n">
        <v>11.3</v>
      </c>
      <c r="AD400" s="16" t="n">
        <v>23</v>
      </c>
      <c r="AE400" s="13" t="n">
        <v>0.418</v>
      </c>
      <c r="AF400" s="13" t="n">
        <v>0.615</v>
      </c>
      <c r="AG400" s="13" t="n">
        <v>0.365</v>
      </c>
      <c r="AH400" s="13" t="n">
        <v>0.204</v>
      </c>
      <c r="AI400" s="17"/>
    </row>
    <row r="401" customFormat="false" ht="15" hidden="false" customHeight="false" outlineLevel="0" collapsed="false">
      <c r="A401" s="10" t="n">
        <v>45597</v>
      </c>
      <c r="B401" s="11" t="n">
        <f aca="false">YEAR(A401)</f>
        <v>2024</v>
      </c>
      <c r="C401" s="11" t="str">
        <f aca="false">"Q"&amp;ROUNDUP(MONTH(A401)/3,0)</f>
        <v>Q4</v>
      </c>
      <c r="D401" s="11" t="str">
        <f aca="false">B401&amp;"-"&amp;C401</f>
        <v>2024-Q4</v>
      </c>
      <c r="E401" s="11" t="n">
        <f aca="false">MONTH(A401)</f>
        <v>11</v>
      </c>
      <c r="F401" s="11" t="str">
        <f aca="false">TEXT(A401,"mmm")</f>
        <v>Nov</v>
      </c>
      <c r="G401" s="11" t="s">
        <v>206</v>
      </c>
      <c r="H401" s="11" t="s">
        <v>203</v>
      </c>
      <c r="I401" s="12" t="n">
        <v>9110034</v>
      </c>
      <c r="J401" s="12" t="n">
        <v>3382125</v>
      </c>
      <c r="K401" s="13" t="n">
        <f aca="false">IF(I401=0,0,J401/I401)</f>
        <v>0.371252730780149</v>
      </c>
      <c r="L401" s="12" t="n">
        <v>1156739</v>
      </c>
      <c r="M401" s="12" t="n">
        <v>1175234</v>
      </c>
      <c r="N401" s="12" t="n">
        <v>145756</v>
      </c>
      <c r="O401" s="12" t="n">
        <v>79011</v>
      </c>
      <c r="P401" s="12" t="n">
        <f aca="false">M401+N401+O401</f>
        <v>1400001</v>
      </c>
      <c r="Q401" s="13" t="n">
        <f aca="false">IF(I401=0,0,P401/I401)</f>
        <v>0.153676813939443</v>
      </c>
      <c r="R401" s="13" t="n">
        <v>0.0402</v>
      </c>
      <c r="S401" s="14" t="n">
        <v>9315777</v>
      </c>
      <c r="T401" s="14" t="n">
        <v>703312</v>
      </c>
      <c r="U401" s="14" t="n">
        <v>501591</v>
      </c>
      <c r="V401" s="14" t="n">
        <v>572266</v>
      </c>
      <c r="W401" s="14" t="n">
        <f aca="false">S401+T401+U401+V401</f>
        <v>11092946</v>
      </c>
      <c r="X401" s="15" t="n">
        <f aca="false">IF(P401=0,0,S401/P401)</f>
        <v>6.65412167562737</v>
      </c>
      <c r="Y401" s="15" t="n">
        <f aca="false">IF(J401=0,0,W401/J401)</f>
        <v>3.27987463502975</v>
      </c>
      <c r="Z401" s="14" t="n">
        <v>2285248</v>
      </c>
      <c r="AA401" s="15" t="n">
        <f aca="false">IF(L401=0,0,Z401/L401)</f>
        <v>1.97559518612237</v>
      </c>
      <c r="AB401" s="12" t="n">
        <v>284872023</v>
      </c>
      <c r="AC401" s="16" t="n">
        <v>13</v>
      </c>
      <c r="AD401" s="16" t="n">
        <v>23.7</v>
      </c>
      <c r="AE401" s="13" t="n">
        <v>0.42</v>
      </c>
      <c r="AF401" s="13" t="n">
        <v>0.589</v>
      </c>
      <c r="AG401" s="13" t="n">
        <v>0.368</v>
      </c>
      <c r="AH401" s="13" t="n">
        <v>0.209</v>
      </c>
      <c r="AI401" s="17" t="n">
        <v>4.74</v>
      </c>
    </row>
    <row r="402" customFormat="false" ht="15" hidden="false" customHeight="false" outlineLevel="0" collapsed="false">
      <c r="A402" s="10" t="n">
        <v>45597</v>
      </c>
      <c r="B402" s="11" t="n">
        <f aca="false">YEAR(A402)</f>
        <v>2024</v>
      </c>
      <c r="C402" s="11" t="str">
        <f aca="false">"Q"&amp;ROUNDUP(MONTH(A402)/3,0)</f>
        <v>Q4</v>
      </c>
      <c r="D402" s="11" t="str">
        <f aca="false">B402&amp;"-"&amp;C402</f>
        <v>2024-Q4</v>
      </c>
      <c r="E402" s="11" t="n">
        <f aca="false">MONTH(A402)</f>
        <v>11</v>
      </c>
      <c r="F402" s="11" t="str">
        <f aca="false">TEXT(A402,"mmm")</f>
        <v>Nov</v>
      </c>
      <c r="G402" s="11" t="s">
        <v>206</v>
      </c>
      <c r="H402" s="11" t="s">
        <v>204</v>
      </c>
      <c r="I402" s="12" t="n">
        <v>13823707</v>
      </c>
      <c r="J402" s="12" t="n">
        <v>4505519</v>
      </c>
      <c r="K402" s="13" t="n">
        <f aca="false">IF(I402=0,0,J402/I402)</f>
        <v>0.325926974580697</v>
      </c>
      <c r="L402" s="12" t="n">
        <v>1312784</v>
      </c>
      <c r="M402" s="12" t="n">
        <v>720388</v>
      </c>
      <c r="N402" s="12" t="n">
        <v>76741</v>
      </c>
      <c r="O402" s="12" t="n">
        <v>35232</v>
      </c>
      <c r="P402" s="12" t="n">
        <f aca="false">M402+N402+O402</f>
        <v>832361</v>
      </c>
      <c r="Q402" s="13" t="n">
        <f aca="false">IF(I402=0,0,P402/I402)</f>
        <v>0.0602125753967442</v>
      </c>
      <c r="R402" s="13" t="n">
        <v>0.0422</v>
      </c>
      <c r="S402" s="14" t="n">
        <v>4823675</v>
      </c>
      <c r="T402" s="14" t="n">
        <v>345630</v>
      </c>
      <c r="U402" s="14" t="n">
        <v>221014</v>
      </c>
      <c r="V402" s="14" t="n">
        <v>285305</v>
      </c>
      <c r="W402" s="14" t="n">
        <f aca="false">S402+T402+U402+V402</f>
        <v>5675624</v>
      </c>
      <c r="X402" s="15" t="n">
        <f aca="false">IF(P402=0,0,S402/P402)</f>
        <v>5.79517180646378</v>
      </c>
      <c r="Y402" s="15" t="n">
        <f aca="false">IF(J402=0,0,W402/J402)</f>
        <v>1.25970481979989</v>
      </c>
      <c r="Z402" s="14" t="n">
        <v>1007517</v>
      </c>
      <c r="AA402" s="15" t="n">
        <f aca="false">IF(L402=0,0,Z402/L402)</f>
        <v>0.767465934990067</v>
      </c>
      <c r="AB402" s="12" t="n">
        <v>359944087</v>
      </c>
      <c r="AC402" s="16" t="n">
        <v>12.5</v>
      </c>
      <c r="AD402" s="16" t="n">
        <v>24.3</v>
      </c>
      <c r="AE402" s="13" t="n">
        <v>0.428</v>
      </c>
      <c r="AF402" s="13" t="n">
        <v>0.596</v>
      </c>
      <c r="AG402" s="13" t="n">
        <v>0.364</v>
      </c>
      <c r="AH402" s="13" t="n">
        <v>0.219</v>
      </c>
      <c r="AI402" s="17" t="n">
        <v>4.66</v>
      </c>
    </row>
    <row r="403" customFormat="false" ht="15" hidden="false" customHeight="false" outlineLevel="0" collapsed="false">
      <c r="A403" s="10" t="n">
        <v>45597</v>
      </c>
      <c r="B403" s="11" t="n">
        <f aca="false">YEAR(A403)</f>
        <v>2024</v>
      </c>
      <c r="C403" s="11" t="str">
        <f aca="false">"Q"&amp;ROUNDUP(MONTH(A403)/3,0)</f>
        <v>Q4</v>
      </c>
      <c r="D403" s="11" t="str">
        <f aca="false">B403&amp;"-"&amp;C403</f>
        <v>2024-Q4</v>
      </c>
      <c r="E403" s="11" t="n">
        <f aca="false">MONTH(A403)</f>
        <v>11</v>
      </c>
      <c r="F403" s="11" t="str">
        <f aca="false">TEXT(A403,"mmm")</f>
        <v>Nov</v>
      </c>
      <c r="G403" s="11" t="s">
        <v>206</v>
      </c>
      <c r="H403" s="11" t="s">
        <v>205</v>
      </c>
      <c r="I403" s="12" t="n">
        <v>3836886</v>
      </c>
      <c r="J403" s="12" t="n">
        <v>1132956</v>
      </c>
      <c r="K403" s="13" t="n">
        <f aca="false">IF(I403=0,0,J403/I403)</f>
        <v>0.295280078688812</v>
      </c>
      <c r="L403" s="12" t="n">
        <v>413461</v>
      </c>
      <c r="M403" s="12" t="n">
        <v>209107</v>
      </c>
      <c r="N403" s="12" t="n">
        <v>23574</v>
      </c>
      <c r="O403" s="12" t="n">
        <v>6756</v>
      </c>
      <c r="P403" s="12" t="n">
        <f aca="false">M403+N403+O403</f>
        <v>239437</v>
      </c>
      <c r="Q403" s="13" t="n">
        <f aca="false">IF(I403=0,0,P403/I403)</f>
        <v>0.0624039911532425</v>
      </c>
      <c r="R403" s="13" t="n">
        <v>0.0411</v>
      </c>
      <c r="S403" s="14" t="n">
        <v>1447963</v>
      </c>
      <c r="T403" s="14" t="n">
        <v>105679</v>
      </c>
      <c r="U403" s="14" t="n">
        <v>69857</v>
      </c>
      <c r="V403" s="14" t="n">
        <v>86759</v>
      </c>
      <c r="W403" s="14" t="n">
        <f aca="false">S403+T403+U403+V403</f>
        <v>1710258</v>
      </c>
      <c r="X403" s="15" t="n">
        <f aca="false">IF(P403=0,0,S403/P403)</f>
        <v>6.04736527771397</v>
      </c>
      <c r="Y403" s="15" t="n">
        <f aca="false">IF(J403=0,0,W403/J403)</f>
        <v>1.50955376907841</v>
      </c>
      <c r="Z403" s="14" t="n">
        <v>297971</v>
      </c>
      <c r="AA403" s="15" t="n">
        <f aca="false">IF(L403=0,0,Z403/L403)</f>
        <v>0.720674985065097</v>
      </c>
      <c r="AB403" s="12" t="n">
        <v>93652305</v>
      </c>
      <c r="AC403" s="16" t="n">
        <v>11.4</v>
      </c>
      <c r="AD403" s="16" t="n">
        <v>25</v>
      </c>
      <c r="AE403" s="13" t="n">
        <v>0.423</v>
      </c>
      <c r="AF403" s="13" t="n">
        <v>0.587</v>
      </c>
      <c r="AG403" s="13" t="n">
        <v>0.355</v>
      </c>
      <c r="AH403" s="13" t="n">
        <v>0.212</v>
      </c>
      <c r="AI403" s="17"/>
    </row>
    <row r="404" customFormat="false" ht="15" hidden="false" customHeight="false" outlineLevel="0" collapsed="false">
      <c r="A404" s="10" t="n">
        <v>45597</v>
      </c>
      <c r="B404" s="11" t="n">
        <f aca="false">YEAR(A404)</f>
        <v>2024</v>
      </c>
      <c r="C404" s="11" t="str">
        <f aca="false">"Q"&amp;ROUNDUP(MONTH(A404)/3,0)</f>
        <v>Q4</v>
      </c>
      <c r="D404" s="11" t="str">
        <f aca="false">B404&amp;"-"&amp;C404</f>
        <v>2024-Q4</v>
      </c>
      <c r="E404" s="11" t="n">
        <f aca="false">MONTH(A404)</f>
        <v>11</v>
      </c>
      <c r="F404" s="11" t="str">
        <f aca="false">TEXT(A404,"mmm")</f>
        <v>Nov</v>
      </c>
      <c r="G404" s="11" t="s">
        <v>207</v>
      </c>
      <c r="H404" s="11" t="s">
        <v>203</v>
      </c>
      <c r="I404" s="12" t="n">
        <v>8243117</v>
      </c>
      <c r="J404" s="12" t="n">
        <v>2817188</v>
      </c>
      <c r="K404" s="13" t="n">
        <f aca="false">IF(I404=0,0,J404/I404)</f>
        <v>0.341762466795024</v>
      </c>
      <c r="L404" s="12" t="n">
        <v>961913</v>
      </c>
      <c r="M404" s="12" t="n">
        <v>664901</v>
      </c>
      <c r="N404" s="12" t="n">
        <v>80834</v>
      </c>
      <c r="O404" s="12" t="n">
        <v>30672</v>
      </c>
      <c r="P404" s="12" t="n">
        <f aca="false">M404+N404+O404</f>
        <v>776407</v>
      </c>
      <c r="Q404" s="13" t="n">
        <f aca="false">IF(I404=0,0,P404/I404)</f>
        <v>0.0941885211625651</v>
      </c>
      <c r="R404" s="13" t="n">
        <v>0.0408</v>
      </c>
      <c r="S404" s="14" t="n">
        <v>4723764</v>
      </c>
      <c r="T404" s="14" t="n">
        <v>355677</v>
      </c>
      <c r="U404" s="14" t="n">
        <v>246271</v>
      </c>
      <c r="V404" s="14" t="n">
        <v>290304</v>
      </c>
      <c r="W404" s="14" t="n">
        <f aca="false">S404+T404+U404+V404</f>
        <v>5616016</v>
      </c>
      <c r="X404" s="15" t="n">
        <f aca="false">IF(P404=0,0,S404/P404)</f>
        <v>6.08413370822262</v>
      </c>
      <c r="Y404" s="15" t="n">
        <f aca="false">IF(J404=0,0,W404/J404)</f>
        <v>1.99348286305351</v>
      </c>
      <c r="Z404" s="14" t="n">
        <v>922249</v>
      </c>
      <c r="AA404" s="15" t="n">
        <f aca="false">IF(L404=0,0,Z404/L404)</f>
        <v>0.958765501661793</v>
      </c>
      <c r="AB404" s="12" t="n">
        <v>230971854</v>
      </c>
      <c r="AC404" s="16" t="n">
        <v>13.5</v>
      </c>
      <c r="AD404" s="16" t="n">
        <v>24.1</v>
      </c>
      <c r="AE404" s="13" t="n">
        <v>0.425</v>
      </c>
      <c r="AF404" s="13" t="n">
        <v>0.58</v>
      </c>
      <c r="AG404" s="13" t="n">
        <v>0.364</v>
      </c>
      <c r="AH404" s="13" t="n">
        <v>0.219</v>
      </c>
      <c r="AI404" s="17" t="n">
        <v>4.72</v>
      </c>
    </row>
    <row r="405" customFormat="false" ht="15" hidden="false" customHeight="false" outlineLevel="0" collapsed="false">
      <c r="A405" s="10" t="n">
        <v>45597</v>
      </c>
      <c r="B405" s="11" t="n">
        <f aca="false">YEAR(A405)</f>
        <v>2024</v>
      </c>
      <c r="C405" s="11" t="str">
        <f aca="false">"Q"&amp;ROUNDUP(MONTH(A405)/3,0)</f>
        <v>Q4</v>
      </c>
      <c r="D405" s="11" t="str">
        <f aca="false">B405&amp;"-"&amp;C405</f>
        <v>2024-Q4</v>
      </c>
      <c r="E405" s="11" t="n">
        <f aca="false">MONTH(A405)</f>
        <v>11</v>
      </c>
      <c r="F405" s="11" t="str">
        <f aca="false">TEXT(A405,"mmm")</f>
        <v>Nov</v>
      </c>
      <c r="G405" s="11" t="s">
        <v>207</v>
      </c>
      <c r="H405" s="11" t="s">
        <v>204</v>
      </c>
      <c r="I405" s="12" t="n">
        <v>11215907</v>
      </c>
      <c r="J405" s="12" t="n">
        <v>3476395</v>
      </c>
      <c r="K405" s="13" t="n">
        <f aca="false">IF(I405=0,0,J405/I405)</f>
        <v>0.309952195573662</v>
      </c>
      <c r="L405" s="12" t="n">
        <v>1122015</v>
      </c>
      <c r="M405" s="12" t="n">
        <v>358170</v>
      </c>
      <c r="N405" s="12" t="n">
        <v>39164</v>
      </c>
      <c r="O405" s="12" t="n">
        <v>12132</v>
      </c>
      <c r="P405" s="12" t="n">
        <f aca="false">M405+N405+O405</f>
        <v>409466</v>
      </c>
      <c r="Q405" s="13" t="n">
        <f aca="false">IF(I405=0,0,P405/I405)</f>
        <v>0.0365076136954417</v>
      </c>
      <c r="R405" s="13" t="n">
        <v>0.0389</v>
      </c>
      <c r="S405" s="14" t="n">
        <v>2747444</v>
      </c>
      <c r="T405" s="14" t="n">
        <v>209424</v>
      </c>
      <c r="U405" s="14" t="n">
        <v>129428</v>
      </c>
      <c r="V405" s="14" t="n">
        <v>166670</v>
      </c>
      <c r="W405" s="14" t="n">
        <f aca="false">S405+T405+U405+V405</f>
        <v>3252966</v>
      </c>
      <c r="X405" s="15" t="n">
        <f aca="false">IF(P405=0,0,S405/P405)</f>
        <v>6.70982206092814</v>
      </c>
      <c r="Y405" s="15" t="n">
        <f aca="false">IF(J405=0,0,W405/J405)</f>
        <v>0.935729685493162</v>
      </c>
      <c r="Z405" s="14" t="n">
        <v>562192</v>
      </c>
      <c r="AA405" s="15" t="n">
        <f aca="false">IF(L405=0,0,Z405/L405)</f>
        <v>0.501055689986319</v>
      </c>
      <c r="AB405" s="12" t="n">
        <v>291391715</v>
      </c>
      <c r="AC405" s="16" t="n">
        <v>12.6</v>
      </c>
      <c r="AD405" s="16" t="n">
        <v>24.8</v>
      </c>
      <c r="AE405" s="13" t="n">
        <v>0.422</v>
      </c>
      <c r="AF405" s="13" t="n">
        <v>0.603</v>
      </c>
      <c r="AG405" s="13" t="n">
        <v>0.348</v>
      </c>
      <c r="AH405" s="13" t="n">
        <v>0.21</v>
      </c>
      <c r="AI405" s="17" t="n">
        <v>4.65</v>
      </c>
    </row>
    <row r="406" customFormat="false" ht="15" hidden="false" customHeight="false" outlineLevel="0" collapsed="false">
      <c r="A406" s="10" t="n">
        <v>45597</v>
      </c>
      <c r="B406" s="11" t="n">
        <f aca="false">YEAR(A406)</f>
        <v>2024</v>
      </c>
      <c r="C406" s="11" t="str">
        <f aca="false">"Q"&amp;ROUNDUP(MONTH(A406)/3,0)</f>
        <v>Q4</v>
      </c>
      <c r="D406" s="11" t="str">
        <f aca="false">B406&amp;"-"&amp;C406</f>
        <v>2024-Q4</v>
      </c>
      <c r="E406" s="11" t="n">
        <f aca="false">MONTH(A406)</f>
        <v>11</v>
      </c>
      <c r="F406" s="11" t="str">
        <f aca="false">TEXT(A406,"mmm")</f>
        <v>Nov</v>
      </c>
      <c r="G406" s="11" t="s">
        <v>207</v>
      </c>
      <c r="H406" s="11" t="s">
        <v>205</v>
      </c>
      <c r="I406" s="12" t="n">
        <v>3418739</v>
      </c>
      <c r="J406" s="12" t="n">
        <v>967637</v>
      </c>
      <c r="K406" s="13" t="n">
        <f aca="false">IF(I406=0,0,J406/I406)</f>
        <v>0.283039155665291</v>
      </c>
      <c r="L406" s="12" t="n">
        <v>305092</v>
      </c>
      <c r="M406" s="12" t="n">
        <v>97492</v>
      </c>
      <c r="N406" s="12" t="n">
        <v>10612</v>
      </c>
      <c r="O406" s="12" t="n">
        <v>2178</v>
      </c>
      <c r="P406" s="12" t="n">
        <f aca="false">M406+N406+O406</f>
        <v>110282</v>
      </c>
      <c r="Q406" s="13" t="n">
        <f aca="false">IF(I406=0,0,P406/I406)</f>
        <v>0.032258092823114</v>
      </c>
      <c r="R406" s="13" t="n">
        <v>0.0461</v>
      </c>
      <c r="S406" s="14" t="n">
        <v>715634</v>
      </c>
      <c r="T406" s="14" t="n">
        <v>49457</v>
      </c>
      <c r="U406" s="14" t="n">
        <v>34671</v>
      </c>
      <c r="V406" s="14" t="n">
        <v>40995</v>
      </c>
      <c r="W406" s="14" t="n">
        <f aca="false">S406+T406+U406+V406</f>
        <v>840757</v>
      </c>
      <c r="X406" s="15" t="n">
        <f aca="false">IF(P406=0,0,S406/P406)</f>
        <v>6.48912787218222</v>
      </c>
      <c r="Y406" s="15" t="n">
        <f aca="false">IF(J406=0,0,W406/J406)</f>
        <v>0.868876448502899</v>
      </c>
      <c r="Z406" s="14" t="n">
        <v>144992</v>
      </c>
      <c r="AA406" s="15" t="n">
        <f aca="false">IF(L406=0,0,Z406/L406)</f>
        <v>0.475240255398372</v>
      </c>
      <c r="AB406" s="12" t="n">
        <v>82494507</v>
      </c>
      <c r="AC406" s="16" t="n">
        <v>11.6</v>
      </c>
      <c r="AD406" s="16" t="n">
        <v>24.5</v>
      </c>
      <c r="AE406" s="13" t="n">
        <v>0.417</v>
      </c>
      <c r="AF406" s="13" t="n">
        <v>0.602</v>
      </c>
      <c r="AG406" s="13" t="n">
        <v>0.345</v>
      </c>
      <c r="AH406" s="13" t="n">
        <v>0.208</v>
      </c>
      <c r="AI406" s="17"/>
    </row>
    <row r="407" customFormat="false" ht="15" hidden="false" customHeight="false" outlineLevel="0" collapsed="false">
      <c r="A407" s="10" t="n">
        <v>45597</v>
      </c>
      <c r="B407" s="11" t="n">
        <f aca="false">YEAR(A407)</f>
        <v>2024</v>
      </c>
      <c r="C407" s="11" t="str">
        <f aca="false">"Q"&amp;ROUNDUP(MONTH(A407)/3,0)</f>
        <v>Q4</v>
      </c>
      <c r="D407" s="11" t="str">
        <f aca="false">B407&amp;"-"&amp;C407</f>
        <v>2024-Q4</v>
      </c>
      <c r="E407" s="11" t="n">
        <f aca="false">MONTH(A407)</f>
        <v>11</v>
      </c>
      <c r="F407" s="11" t="str">
        <f aca="false">TEXT(A407,"mmm")</f>
        <v>Nov</v>
      </c>
      <c r="G407" s="11" t="s">
        <v>208</v>
      </c>
      <c r="H407" s="11" t="s">
        <v>203</v>
      </c>
      <c r="I407" s="12" t="n">
        <v>7237573</v>
      </c>
      <c r="J407" s="12" t="n">
        <v>2532140</v>
      </c>
      <c r="K407" s="13" t="n">
        <f aca="false">IF(I407=0,0,J407/I407)</f>
        <v>0.349860374465308</v>
      </c>
      <c r="L407" s="12" t="n">
        <v>787354</v>
      </c>
      <c r="M407" s="12" t="n">
        <v>299769</v>
      </c>
      <c r="N407" s="12" t="n">
        <v>31130</v>
      </c>
      <c r="O407" s="12" t="n">
        <v>9609</v>
      </c>
      <c r="P407" s="12" t="n">
        <f aca="false">M407+N407+O407</f>
        <v>340508</v>
      </c>
      <c r="Q407" s="13" t="n">
        <f aca="false">IF(I407=0,0,P407/I407)</f>
        <v>0.0470472629429783</v>
      </c>
      <c r="R407" s="13" t="n">
        <v>0.0436</v>
      </c>
      <c r="S407" s="14" t="n">
        <v>2178347</v>
      </c>
      <c r="T407" s="14" t="n">
        <v>176321</v>
      </c>
      <c r="U407" s="14" t="n">
        <v>95891</v>
      </c>
      <c r="V407" s="14" t="n">
        <v>139268</v>
      </c>
      <c r="W407" s="14" t="n">
        <f aca="false">S407+T407+U407+V407</f>
        <v>2589827</v>
      </c>
      <c r="X407" s="15" t="n">
        <f aca="false">IF(P407=0,0,S407/P407)</f>
        <v>6.39734455578136</v>
      </c>
      <c r="Y407" s="15" t="n">
        <f aca="false">IF(J407=0,0,W407/J407)</f>
        <v>1.02278191569187</v>
      </c>
      <c r="Z407" s="14" t="n">
        <v>428548</v>
      </c>
      <c r="AA407" s="15" t="n">
        <f aca="false">IF(L407=0,0,Z407/L407)</f>
        <v>0.544288845932071</v>
      </c>
      <c r="AB407" s="12" t="n">
        <v>207043987</v>
      </c>
      <c r="AC407" s="16" t="n">
        <v>13.3</v>
      </c>
      <c r="AD407" s="16" t="n">
        <v>23.9</v>
      </c>
      <c r="AE407" s="13" t="n">
        <v>0.422</v>
      </c>
      <c r="AF407" s="13" t="n">
        <v>0.594</v>
      </c>
      <c r="AG407" s="13" t="n">
        <v>0.372</v>
      </c>
      <c r="AH407" s="13" t="n">
        <v>0.206</v>
      </c>
      <c r="AI407" s="17" t="n">
        <v>4.71</v>
      </c>
    </row>
    <row r="408" customFormat="false" ht="15" hidden="false" customHeight="false" outlineLevel="0" collapsed="false">
      <c r="A408" s="10" t="n">
        <v>45597</v>
      </c>
      <c r="B408" s="11" t="n">
        <f aca="false">YEAR(A408)</f>
        <v>2024</v>
      </c>
      <c r="C408" s="11" t="str">
        <f aca="false">"Q"&amp;ROUNDUP(MONTH(A408)/3,0)</f>
        <v>Q4</v>
      </c>
      <c r="D408" s="11" t="str">
        <f aca="false">B408&amp;"-"&amp;C408</f>
        <v>2024-Q4</v>
      </c>
      <c r="E408" s="11" t="n">
        <f aca="false">MONTH(A408)</f>
        <v>11</v>
      </c>
      <c r="F408" s="11" t="str">
        <f aca="false">TEXT(A408,"mmm")</f>
        <v>Nov</v>
      </c>
      <c r="G408" s="11" t="s">
        <v>208</v>
      </c>
      <c r="H408" s="11" t="s">
        <v>204</v>
      </c>
      <c r="I408" s="12" t="n">
        <v>8711512</v>
      </c>
      <c r="J408" s="12" t="n">
        <v>2931103</v>
      </c>
      <c r="K408" s="13" t="n">
        <f aca="false">IF(I408=0,0,J408/I408)</f>
        <v>0.336463176541569</v>
      </c>
      <c r="L408" s="12" t="n">
        <v>818002</v>
      </c>
      <c r="M408" s="12" t="n">
        <v>175644</v>
      </c>
      <c r="N408" s="12" t="n">
        <v>18602</v>
      </c>
      <c r="O408" s="12" t="n">
        <v>4200</v>
      </c>
      <c r="P408" s="12" t="n">
        <f aca="false">M408+N408+O408</f>
        <v>198446</v>
      </c>
      <c r="Q408" s="13" t="n">
        <f aca="false">IF(I408=0,0,P408/I408)</f>
        <v>0.0227797424832796</v>
      </c>
      <c r="R408" s="13" t="n">
        <v>0.0393</v>
      </c>
      <c r="S408" s="14" t="n">
        <v>1259860</v>
      </c>
      <c r="T408" s="14" t="n">
        <v>89288</v>
      </c>
      <c r="U408" s="14" t="n">
        <v>63714</v>
      </c>
      <c r="V408" s="14" t="n">
        <v>73443</v>
      </c>
      <c r="W408" s="14" t="n">
        <f aca="false">S408+T408+U408+V408</f>
        <v>1486305</v>
      </c>
      <c r="X408" s="15" t="n">
        <f aca="false">IF(P408=0,0,S408/P408)</f>
        <v>6.34862884613446</v>
      </c>
      <c r="Y408" s="15" t="n">
        <f aca="false">IF(J408=0,0,W408/J408)</f>
        <v>0.507080440366647</v>
      </c>
      <c r="Z408" s="14" t="n">
        <v>235140</v>
      </c>
      <c r="AA408" s="15" t="n">
        <f aca="false">IF(L408=0,0,Z408/L408)</f>
        <v>0.287456509886284</v>
      </c>
      <c r="AB408" s="12" t="n">
        <v>234635599</v>
      </c>
      <c r="AC408" s="16" t="n">
        <v>12.8</v>
      </c>
      <c r="AD408" s="16" t="n">
        <v>24.6</v>
      </c>
      <c r="AE408" s="13" t="n">
        <v>0.414</v>
      </c>
      <c r="AF408" s="13" t="n">
        <v>0.6</v>
      </c>
      <c r="AG408" s="13" t="n">
        <v>0.362</v>
      </c>
      <c r="AH408" s="13" t="n">
        <v>0.209</v>
      </c>
      <c r="AI408" s="17" t="n">
        <v>4.66</v>
      </c>
    </row>
    <row r="409" customFormat="false" ht="15" hidden="false" customHeight="false" outlineLevel="0" collapsed="false">
      <c r="A409" s="10" t="n">
        <v>45597</v>
      </c>
      <c r="B409" s="11" t="n">
        <f aca="false">YEAR(A409)</f>
        <v>2024</v>
      </c>
      <c r="C409" s="11" t="str">
        <f aca="false">"Q"&amp;ROUNDUP(MONTH(A409)/3,0)</f>
        <v>Q4</v>
      </c>
      <c r="D409" s="11" t="str">
        <f aca="false">B409&amp;"-"&amp;C409</f>
        <v>2024-Q4</v>
      </c>
      <c r="E409" s="11" t="n">
        <f aca="false">MONTH(A409)</f>
        <v>11</v>
      </c>
      <c r="F409" s="11" t="str">
        <f aca="false">TEXT(A409,"mmm")</f>
        <v>Nov</v>
      </c>
      <c r="G409" s="11" t="s">
        <v>208</v>
      </c>
      <c r="H409" s="11" t="s">
        <v>205</v>
      </c>
      <c r="I409" s="12" t="n">
        <v>2768293</v>
      </c>
      <c r="J409" s="12" t="n">
        <v>832793</v>
      </c>
      <c r="K409" s="13" t="n">
        <f aca="false">IF(I409=0,0,J409/I409)</f>
        <v>0.300832679199781</v>
      </c>
      <c r="L409" s="12" t="n">
        <v>258079</v>
      </c>
      <c r="M409" s="12" t="n">
        <v>49044</v>
      </c>
      <c r="N409" s="12" t="n">
        <v>5141</v>
      </c>
      <c r="O409" s="12" t="n">
        <v>775</v>
      </c>
      <c r="P409" s="12" t="n">
        <f aca="false">M409+N409+O409</f>
        <v>54960</v>
      </c>
      <c r="Q409" s="13" t="n">
        <f aca="false">IF(I409=0,0,P409/I409)</f>
        <v>0.019853389796528</v>
      </c>
      <c r="R409" s="13" t="n">
        <v>0.0442</v>
      </c>
      <c r="S409" s="14" t="n">
        <v>329289</v>
      </c>
      <c r="T409" s="14" t="n">
        <v>22181</v>
      </c>
      <c r="U409" s="14" t="n">
        <v>14430</v>
      </c>
      <c r="V409" s="14" t="n">
        <v>18432</v>
      </c>
      <c r="W409" s="14" t="n">
        <f aca="false">S409+T409+U409+V409</f>
        <v>384332</v>
      </c>
      <c r="X409" s="15" t="n">
        <f aca="false">IF(P409=0,0,S409/P409)</f>
        <v>5.99143013100437</v>
      </c>
      <c r="Y409" s="15" t="n">
        <f aca="false">IF(J409=0,0,W409/J409)</f>
        <v>0.461497635066577</v>
      </c>
      <c r="Z409" s="14" t="n">
        <v>60995</v>
      </c>
      <c r="AA409" s="15" t="n">
        <f aca="false">IF(L409=0,0,Z409/L409)</f>
        <v>0.236342360285029</v>
      </c>
      <c r="AB409" s="12" t="n">
        <v>67329608</v>
      </c>
      <c r="AC409" s="16" t="n">
        <v>11.4</v>
      </c>
      <c r="AD409" s="16" t="n">
        <v>23.7</v>
      </c>
      <c r="AE409" s="13" t="n">
        <v>0.438</v>
      </c>
      <c r="AF409" s="13" t="n">
        <v>0.592</v>
      </c>
      <c r="AG409" s="13" t="n">
        <v>0.357</v>
      </c>
      <c r="AH409" s="13" t="n">
        <v>0.209</v>
      </c>
      <c r="AI409" s="17"/>
    </row>
    <row r="410" customFormat="false" ht="15" hidden="false" customHeight="false" outlineLevel="0" collapsed="false">
      <c r="A410" s="10" t="n">
        <v>45597</v>
      </c>
      <c r="B410" s="11" t="n">
        <f aca="false">YEAR(A410)</f>
        <v>2024</v>
      </c>
      <c r="C410" s="11" t="str">
        <f aca="false">"Q"&amp;ROUNDUP(MONTH(A410)/3,0)</f>
        <v>Q4</v>
      </c>
      <c r="D410" s="11" t="str">
        <f aca="false">B410&amp;"-"&amp;C410</f>
        <v>2024-Q4</v>
      </c>
      <c r="E410" s="11" t="n">
        <f aca="false">MONTH(A410)</f>
        <v>11</v>
      </c>
      <c r="F410" s="11" t="str">
        <f aca="false">TEXT(A410,"mmm")</f>
        <v>Nov</v>
      </c>
      <c r="G410" s="11" t="s">
        <v>209</v>
      </c>
      <c r="H410" s="11" t="s">
        <v>203</v>
      </c>
      <c r="I410" s="12" t="n">
        <v>3984640</v>
      </c>
      <c r="J410" s="12" t="n">
        <v>1346421</v>
      </c>
      <c r="K410" s="13" t="n">
        <f aca="false">IF(I410=0,0,J410/I410)</f>
        <v>0.33790279673948</v>
      </c>
      <c r="L410" s="12" t="n">
        <v>486584</v>
      </c>
      <c r="M410" s="12" t="n">
        <v>116999</v>
      </c>
      <c r="N410" s="12" t="n">
        <v>15257</v>
      </c>
      <c r="O410" s="12" t="n">
        <v>3055</v>
      </c>
      <c r="P410" s="12" t="n">
        <f aca="false">M410+N410+O410</f>
        <v>135311</v>
      </c>
      <c r="Q410" s="13" t="n">
        <f aca="false">IF(I410=0,0,P410/I410)</f>
        <v>0.0339581492932862</v>
      </c>
      <c r="R410" s="13" t="n">
        <v>0.0392</v>
      </c>
      <c r="S410" s="14" t="n">
        <v>858599</v>
      </c>
      <c r="T410" s="14" t="n">
        <v>64809</v>
      </c>
      <c r="U410" s="14" t="n">
        <v>39870</v>
      </c>
      <c r="V410" s="14" t="n">
        <v>51110</v>
      </c>
      <c r="W410" s="14" t="n">
        <f aca="false">S410+T410+U410+V410</f>
        <v>1014388</v>
      </c>
      <c r="X410" s="15" t="n">
        <f aca="false">IF(P410=0,0,S410/P410)</f>
        <v>6.34537472932725</v>
      </c>
      <c r="Y410" s="15" t="n">
        <f aca="false">IF(J410=0,0,W410/J410)</f>
        <v>0.753395854639819</v>
      </c>
      <c r="Z410" s="14" t="n">
        <v>162318</v>
      </c>
      <c r="AA410" s="15" t="n">
        <f aca="false">IF(L410=0,0,Z410/L410)</f>
        <v>0.333586801045657</v>
      </c>
      <c r="AB410" s="12" t="n">
        <v>105561205</v>
      </c>
      <c r="AC410" s="16" t="n">
        <v>13.2</v>
      </c>
      <c r="AD410" s="16" t="n">
        <v>24.9</v>
      </c>
      <c r="AE410" s="13" t="n">
        <v>0.415</v>
      </c>
      <c r="AF410" s="13" t="n">
        <v>0.59</v>
      </c>
      <c r="AG410" s="13" t="n">
        <v>0.374</v>
      </c>
      <c r="AH410" s="13" t="n">
        <v>0.217</v>
      </c>
      <c r="AI410" s="17" t="n">
        <v>4.68</v>
      </c>
    </row>
    <row r="411" customFormat="false" ht="15" hidden="false" customHeight="false" outlineLevel="0" collapsed="false">
      <c r="A411" s="10" t="n">
        <v>45597</v>
      </c>
      <c r="B411" s="11" t="n">
        <f aca="false">YEAR(A411)</f>
        <v>2024</v>
      </c>
      <c r="C411" s="11" t="str">
        <f aca="false">"Q"&amp;ROUNDUP(MONTH(A411)/3,0)</f>
        <v>Q4</v>
      </c>
      <c r="D411" s="11" t="str">
        <f aca="false">B411&amp;"-"&amp;C411</f>
        <v>2024-Q4</v>
      </c>
      <c r="E411" s="11" t="n">
        <f aca="false">MONTH(A411)</f>
        <v>11</v>
      </c>
      <c r="F411" s="11" t="str">
        <f aca="false">TEXT(A411,"mmm")</f>
        <v>Nov</v>
      </c>
      <c r="G411" s="11" t="s">
        <v>209</v>
      </c>
      <c r="H411" s="11" t="s">
        <v>204</v>
      </c>
      <c r="I411" s="12" t="n">
        <v>5865016</v>
      </c>
      <c r="J411" s="12" t="n">
        <v>1784502</v>
      </c>
      <c r="K411" s="13" t="n">
        <f aca="false">IF(I411=0,0,J411/I411)</f>
        <v>0.304262085559528</v>
      </c>
      <c r="L411" s="12" t="n">
        <v>542043</v>
      </c>
      <c r="M411" s="12" t="n">
        <v>64356</v>
      </c>
      <c r="N411" s="12" t="n">
        <v>7353</v>
      </c>
      <c r="O411" s="12" t="n">
        <v>1235</v>
      </c>
      <c r="P411" s="12" t="n">
        <f aca="false">M411+N411+O411</f>
        <v>72944</v>
      </c>
      <c r="Q411" s="13" t="n">
        <f aca="false">IF(I411=0,0,P411/I411)</f>
        <v>0.0124371357213689</v>
      </c>
      <c r="R411" s="13" t="n">
        <v>0.0394</v>
      </c>
      <c r="S411" s="14" t="n">
        <v>519536</v>
      </c>
      <c r="T411" s="14" t="n">
        <v>36286</v>
      </c>
      <c r="U411" s="14" t="n">
        <v>22684</v>
      </c>
      <c r="V411" s="14" t="n">
        <v>28661</v>
      </c>
      <c r="W411" s="14" t="n">
        <f aca="false">S411+T411+U411+V411</f>
        <v>607167</v>
      </c>
      <c r="X411" s="15" t="n">
        <f aca="false">IF(P411=0,0,S411/P411)</f>
        <v>7.12239526211889</v>
      </c>
      <c r="Y411" s="15" t="n">
        <f aca="false">IF(J411=0,0,W411/J411)</f>
        <v>0.340244505189683</v>
      </c>
      <c r="Z411" s="14" t="n">
        <v>112626</v>
      </c>
      <c r="AA411" s="15" t="n">
        <f aca="false">IF(L411=0,0,Z411/L411)</f>
        <v>0.207780563534627</v>
      </c>
      <c r="AB411" s="12" t="n">
        <v>136750749</v>
      </c>
      <c r="AC411" s="16" t="n">
        <v>12.7</v>
      </c>
      <c r="AD411" s="16" t="n">
        <v>24.1</v>
      </c>
      <c r="AE411" s="13" t="n">
        <v>0.421</v>
      </c>
      <c r="AF411" s="13" t="n">
        <v>0.587</v>
      </c>
      <c r="AG411" s="13" t="n">
        <v>0.364</v>
      </c>
      <c r="AH411" s="13" t="n">
        <v>0.214</v>
      </c>
      <c r="AI411" s="17" t="n">
        <v>4.67</v>
      </c>
    </row>
    <row r="412" customFormat="false" ht="15" hidden="false" customHeight="false" outlineLevel="0" collapsed="false">
      <c r="A412" s="10" t="n">
        <v>45597</v>
      </c>
      <c r="B412" s="11" t="n">
        <f aca="false">YEAR(A412)</f>
        <v>2024</v>
      </c>
      <c r="C412" s="11" t="str">
        <f aca="false">"Q"&amp;ROUNDUP(MONTH(A412)/3,0)</f>
        <v>Q4</v>
      </c>
      <c r="D412" s="11" t="str">
        <f aca="false">B412&amp;"-"&amp;C412</f>
        <v>2024-Q4</v>
      </c>
      <c r="E412" s="11" t="n">
        <f aca="false">MONTH(A412)</f>
        <v>11</v>
      </c>
      <c r="F412" s="11" t="str">
        <f aca="false">TEXT(A412,"mmm")</f>
        <v>Nov</v>
      </c>
      <c r="G412" s="11" t="s">
        <v>209</v>
      </c>
      <c r="H412" s="11" t="s">
        <v>205</v>
      </c>
      <c r="I412" s="12" t="n">
        <v>1845717</v>
      </c>
      <c r="J412" s="12" t="n">
        <v>502833</v>
      </c>
      <c r="K412" s="13" t="n">
        <f aca="false">IF(I412=0,0,J412/I412)</f>
        <v>0.272432339302287</v>
      </c>
      <c r="L412" s="12" t="n">
        <v>153473</v>
      </c>
      <c r="M412" s="12" t="n">
        <v>19404</v>
      </c>
      <c r="N412" s="12" t="n">
        <v>2491</v>
      </c>
      <c r="O412" s="12" t="n">
        <v>250</v>
      </c>
      <c r="P412" s="12" t="n">
        <f aca="false">M412+N412+O412</f>
        <v>22145</v>
      </c>
      <c r="Q412" s="13" t="n">
        <f aca="false">IF(I412=0,0,P412/I412)</f>
        <v>0.0119980473712926</v>
      </c>
      <c r="R412" s="13" t="n">
        <v>0.0453</v>
      </c>
      <c r="S412" s="14" t="n">
        <v>129695</v>
      </c>
      <c r="T412" s="14" t="n">
        <v>10536</v>
      </c>
      <c r="U412" s="14" t="n">
        <v>6833</v>
      </c>
      <c r="V412" s="14" t="n">
        <v>8083</v>
      </c>
      <c r="W412" s="14" t="n">
        <f aca="false">S412+T412+U412+V412</f>
        <v>155147</v>
      </c>
      <c r="X412" s="15" t="n">
        <f aca="false">IF(P412=0,0,S412/P412)</f>
        <v>5.85662677805374</v>
      </c>
      <c r="Y412" s="15" t="n">
        <f aca="false">IF(J412=0,0,W412/J412)</f>
        <v>0.308545779612714</v>
      </c>
      <c r="Z412" s="14" t="n">
        <v>22774</v>
      </c>
      <c r="AA412" s="15" t="n">
        <f aca="false">IF(L412=0,0,Z412/L412)</f>
        <v>0.148390922181752</v>
      </c>
      <c r="AB412" s="12" t="n">
        <v>39999421</v>
      </c>
      <c r="AC412" s="16" t="n">
        <v>11.4</v>
      </c>
      <c r="AD412" s="16" t="n">
        <v>23.8</v>
      </c>
      <c r="AE412" s="13" t="n">
        <v>0.424</v>
      </c>
      <c r="AF412" s="13" t="n">
        <v>0.59</v>
      </c>
      <c r="AG412" s="13" t="n">
        <v>0.348</v>
      </c>
      <c r="AH412" s="13" t="n">
        <v>0.209</v>
      </c>
      <c r="AI412" s="17"/>
    </row>
    <row r="413" customFormat="false" ht="15" hidden="false" customHeight="false" outlineLevel="0" collapsed="false">
      <c r="A413" s="10" t="n">
        <v>45597</v>
      </c>
      <c r="B413" s="11" t="n">
        <f aca="false">YEAR(A413)</f>
        <v>2024</v>
      </c>
      <c r="C413" s="11" t="str">
        <f aca="false">"Q"&amp;ROUNDUP(MONTH(A413)/3,0)</f>
        <v>Q4</v>
      </c>
      <c r="D413" s="11" t="str">
        <f aca="false">B413&amp;"-"&amp;C413</f>
        <v>2024-Q4</v>
      </c>
      <c r="E413" s="11" t="n">
        <f aca="false">MONTH(A413)</f>
        <v>11</v>
      </c>
      <c r="F413" s="11" t="str">
        <f aca="false">TEXT(A413,"mmm")</f>
        <v>Nov</v>
      </c>
      <c r="G413" s="11" t="s">
        <v>210</v>
      </c>
      <c r="H413" s="11" t="s">
        <v>203</v>
      </c>
      <c r="I413" s="12" t="n">
        <v>7730745</v>
      </c>
      <c r="J413" s="12" t="n">
        <v>2610627</v>
      </c>
      <c r="K413" s="13" t="n">
        <f aca="false">IF(I413=0,0,J413/I413)</f>
        <v>0.337694103220324</v>
      </c>
      <c r="L413" s="12" t="n">
        <v>890279</v>
      </c>
      <c r="M413" s="12" t="n">
        <v>246929</v>
      </c>
      <c r="N413" s="12" t="n">
        <v>30524</v>
      </c>
      <c r="O413" s="12" t="n">
        <v>6408</v>
      </c>
      <c r="P413" s="12" t="n">
        <f aca="false">M413+N413+O413</f>
        <v>283861</v>
      </c>
      <c r="Q413" s="13" t="n">
        <f aca="false">IF(I413=0,0,P413/I413)</f>
        <v>0.0367184533961475</v>
      </c>
      <c r="R413" s="13" t="n">
        <v>0.0408</v>
      </c>
      <c r="S413" s="14" t="n">
        <v>1784479</v>
      </c>
      <c r="T413" s="14" t="n">
        <v>136377</v>
      </c>
      <c r="U413" s="14" t="n">
        <v>91430</v>
      </c>
      <c r="V413" s="14" t="n">
        <v>107670</v>
      </c>
      <c r="W413" s="14" t="n">
        <f aca="false">S413+T413+U413+V413</f>
        <v>2119956</v>
      </c>
      <c r="X413" s="15" t="n">
        <f aca="false">IF(P413=0,0,S413/P413)</f>
        <v>6.28645358115416</v>
      </c>
      <c r="Y413" s="15" t="n">
        <f aca="false">IF(J413=0,0,W413/J413)</f>
        <v>0.812048599819124</v>
      </c>
      <c r="Z413" s="14" t="n">
        <v>393295</v>
      </c>
      <c r="AA413" s="15" t="n">
        <f aca="false">IF(L413=0,0,Z413/L413)</f>
        <v>0.441766008183951</v>
      </c>
      <c r="AB413" s="12" t="n">
        <v>222820632</v>
      </c>
      <c r="AC413" s="16" t="n">
        <v>13.1</v>
      </c>
      <c r="AD413" s="16" t="n">
        <v>24.8</v>
      </c>
      <c r="AE413" s="13" t="n">
        <v>0.42</v>
      </c>
      <c r="AF413" s="13" t="n">
        <v>0.593</v>
      </c>
      <c r="AG413" s="13" t="n">
        <v>0.364</v>
      </c>
      <c r="AH413" s="13" t="n">
        <v>0.209</v>
      </c>
      <c r="AI413" s="17" t="n">
        <v>4.69</v>
      </c>
    </row>
    <row r="414" customFormat="false" ht="15" hidden="false" customHeight="false" outlineLevel="0" collapsed="false">
      <c r="A414" s="10" t="n">
        <v>45597</v>
      </c>
      <c r="B414" s="11" t="n">
        <f aca="false">YEAR(A414)</f>
        <v>2024</v>
      </c>
      <c r="C414" s="11" t="str">
        <f aca="false">"Q"&amp;ROUNDUP(MONTH(A414)/3,0)</f>
        <v>Q4</v>
      </c>
      <c r="D414" s="11" t="str">
        <f aca="false">B414&amp;"-"&amp;C414</f>
        <v>2024-Q4</v>
      </c>
      <c r="E414" s="11" t="n">
        <f aca="false">MONTH(A414)</f>
        <v>11</v>
      </c>
      <c r="F414" s="11" t="str">
        <f aca="false">TEXT(A414,"mmm")</f>
        <v>Nov</v>
      </c>
      <c r="G414" s="11" t="s">
        <v>210</v>
      </c>
      <c r="H414" s="11" t="s">
        <v>204</v>
      </c>
      <c r="I414" s="12" t="n">
        <v>9662937</v>
      </c>
      <c r="J414" s="12" t="n">
        <v>2905900</v>
      </c>
      <c r="K414" s="13" t="n">
        <f aca="false">IF(I414=0,0,J414/I414)</f>
        <v>0.300726373358328</v>
      </c>
      <c r="L414" s="12" t="n">
        <v>980326</v>
      </c>
      <c r="M414" s="12" t="n">
        <v>139375</v>
      </c>
      <c r="N414" s="12" t="n">
        <v>16042</v>
      </c>
      <c r="O414" s="12" t="n">
        <v>2677</v>
      </c>
      <c r="P414" s="12" t="n">
        <f aca="false">M414+N414+O414</f>
        <v>158094</v>
      </c>
      <c r="Q414" s="13" t="n">
        <f aca="false">IF(I414=0,0,P414/I414)</f>
        <v>0.0163608641968793</v>
      </c>
      <c r="R414" s="13" t="n">
        <v>0.0414</v>
      </c>
      <c r="S414" s="14" t="n">
        <v>982012</v>
      </c>
      <c r="T414" s="14" t="n">
        <v>70014</v>
      </c>
      <c r="U414" s="14" t="n">
        <v>48075</v>
      </c>
      <c r="V414" s="14" t="n">
        <v>59980</v>
      </c>
      <c r="W414" s="14" t="n">
        <f aca="false">S414+T414+U414+V414</f>
        <v>1160081</v>
      </c>
      <c r="X414" s="15" t="n">
        <f aca="false">IF(P414=0,0,S414/P414)</f>
        <v>6.21157033157489</v>
      </c>
      <c r="Y414" s="15" t="n">
        <f aca="false">IF(J414=0,0,W414/J414)</f>
        <v>0.399215733507691</v>
      </c>
      <c r="Z414" s="14" t="n">
        <v>178843</v>
      </c>
      <c r="AA414" s="15" t="n">
        <f aca="false">IF(L414=0,0,Z414/L414)</f>
        <v>0.182432170522867</v>
      </c>
      <c r="AB414" s="12" t="n">
        <v>243305269</v>
      </c>
      <c r="AC414" s="16" t="n">
        <v>12.5</v>
      </c>
      <c r="AD414" s="16" t="n">
        <v>25.1</v>
      </c>
      <c r="AE414" s="13" t="n">
        <v>0.424</v>
      </c>
      <c r="AF414" s="13" t="n">
        <v>0.591</v>
      </c>
      <c r="AG414" s="13" t="n">
        <v>0.365</v>
      </c>
      <c r="AH414" s="13" t="n">
        <v>0.22</v>
      </c>
      <c r="AI414" s="17" t="n">
        <v>4.64</v>
      </c>
    </row>
    <row r="415" customFormat="false" ht="15" hidden="false" customHeight="false" outlineLevel="0" collapsed="false">
      <c r="A415" s="10" t="n">
        <v>45597</v>
      </c>
      <c r="B415" s="11" t="n">
        <f aca="false">YEAR(A415)</f>
        <v>2024</v>
      </c>
      <c r="C415" s="11" t="str">
        <f aca="false">"Q"&amp;ROUNDUP(MONTH(A415)/3,0)</f>
        <v>Q4</v>
      </c>
      <c r="D415" s="11" t="str">
        <f aca="false">B415&amp;"-"&amp;C415</f>
        <v>2024-Q4</v>
      </c>
      <c r="E415" s="11" t="n">
        <f aca="false">MONTH(A415)</f>
        <v>11</v>
      </c>
      <c r="F415" s="11" t="str">
        <f aca="false">TEXT(A415,"mmm")</f>
        <v>Nov</v>
      </c>
      <c r="G415" s="11" t="s">
        <v>210</v>
      </c>
      <c r="H415" s="11" t="s">
        <v>205</v>
      </c>
      <c r="I415" s="12" t="n">
        <v>2969978</v>
      </c>
      <c r="J415" s="12" t="n">
        <v>820749</v>
      </c>
      <c r="K415" s="13" t="n">
        <f aca="false">IF(I415=0,0,J415/I415)</f>
        <v>0.276348511672477</v>
      </c>
      <c r="L415" s="12" t="n">
        <v>238317</v>
      </c>
      <c r="M415" s="12" t="n">
        <v>39307</v>
      </c>
      <c r="N415" s="12" t="n">
        <v>4404</v>
      </c>
      <c r="O415" s="12" t="n">
        <v>499</v>
      </c>
      <c r="P415" s="12" t="n">
        <f aca="false">M415+N415+O415</f>
        <v>44210</v>
      </c>
      <c r="Q415" s="13" t="n">
        <f aca="false">IF(I415=0,0,P415/I415)</f>
        <v>0.0148856321494637</v>
      </c>
      <c r="R415" s="13" t="n">
        <v>0.0407</v>
      </c>
      <c r="S415" s="14" t="n">
        <v>274085</v>
      </c>
      <c r="T415" s="14" t="n">
        <v>18381</v>
      </c>
      <c r="U415" s="14" t="n">
        <v>12071</v>
      </c>
      <c r="V415" s="14" t="n">
        <v>16664</v>
      </c>
      <c r="W415" s="14" t="n">
        <f aca="false">S415+T415+U415+V415</f>
        <v>321201</v>
      </c>
      <c r="X415" s="15" t="n">
        <f aca="false">IF(P415=0,0,S415/P415)</f>
        <v>6.19961547161276</v>
      </c>
      <c r="Y415" s="15" t="n">
        <f aca="false">IF(J415=0,0,W415/J415)</f>
        <v>0.391351070790217</v>
      </c>
      <c r="Z415" s="14" t="n">
        <v>56751</v>
      </c>
      <c r="AA415" s="15" t="n">
        <f aca="false">IF(L415=0,0,Z415/L415)</f>
        <v>0.238132403479399</v>
      </c>
      <c r="AB415" s="12" t="n">
        <v>68891879</v>
      </c>
      <c r="AC415" s="16" t="n">
        <v>11.3</v>
      </c>
      <c r="AD415" s="16" t="n">
        <v>24.2</v>
      </c>
      <c r="AE415" s="13" t="n">
        <v>0.431</v>
      </c>
      <c r="AF415" s="13" t="n">
        <v>0.604</v>
      </c>
      <c r="AG415" s="13" t="n">
        <v>0.352</v>
      </c>
      <c r="AH415" s="13" t="n">
        <v>0.211</v>
      </c>
      <c r="AI415" s="17"/>
    </row>
    <row r="416" customFormat="false" ht="15" hidden="false" customHeight="false" outlineLevel="0" collapsed="false">
      <c r="A416" s="10" t="n">
        <v>45627</v>
      </c>
      <c r="B416" s="11" t="n">
        <f aca="false">YEAR(A416)</f>
        <v>2024</v>
      </c>
      <c r="C416" s="11" t="str">
        <f aca="false">"Q"&amp;ROUNDUP(MONTH(A416)/3,0)</f>
        <v>Q4</v>
      </c>
      <c r="D416" s="11" t="str">
        <f aca="false">B416&amp;"-"&amp;C416</f>
        <v>2024-Q4</v>
      </c>
      <c r="E416" s="11" t="n">
        <f aca="false">MONTH(A416)</f>
        <v>12</v>
      </c>
      <c r="F416" s="11" t="str">
        <f aca="false">TEXT(A416,"mmm")</f>
        <v>Dec</v>
      </c>
      <c r="G416" s="11" t="s">
        <v>202</v>
      </c>
      <c r="H416" s="11" t="s">
        <v>203</v>
      </c>
      <c r="I416" s="12" t="n">
        <v>8500487</v>
      </c>
      <c r="J416" s="12" t="n">
        <v>3051932</v>
      </c>
      <c r="K416" s="13" t="n">
        <f aca="false">IF(I416=0,0,J416/I416)</f>
        <v>0.359030253207846</v>
      </c>
      <c r="L416" s="12" t="n">
        <v>1148780</v>
      </c>
      <c r="M416" s="12" t="n">
        <v>2009870</v>
      </c>
      <c r="N416" s="12" t="n">
        <v>272807</v>
      </c>
      <c r="O416" s="12" t="n">
        <v>238028</v>
      </c>
      <c r="P416" s="12" t="n">
        <f aca="false">M416+N416+O416</f>
        <v>2520705</v>
      </c>
      <c r="Q416" s="13" t="n">
        <f aca="false">IF(I416=0,0,P416/I416)</f>
        <v>0.296536539612378</v>
      </c>
      <c r="R416" s="13" t="n">
        <v>0.0448</v>
      </c>
      <c r="S416" s="14" t="n">
        <v>16979457</v>
      </c>
      <c r="T416" s="14" t="n">
        <v>1229306</v>
      </c>
      <c r="U416" s="14" t="n">
        <v>861104</v>
      </c>
      <c r="V416" s="14" t="n">
        <v>1065646</v>
      </c>
      <c r="W416" s="14" t="n">
        <f aca="false">S416+T416+U416+V416</f>
        <v>20135513</v>
      </c>
      <c r="X416" s="15" t="n">
        <f aca="false">IF(P416=0,0,S416/P416)</f>
        <v>6.7359952870328</v>
      </c>
      <c r="Y416" s="15" t="n">
        <f aca="false">IF(J416=0,0,W416/J416)</f>
        <v>6.59762832199407</v>
      </c>
      <c r="Z416" s="14" t="n">
        <v>3481336</v>
      </c>
      <c r="AA416" s="15" t="n">
        <f aca="false">IF(L416=0,0,Z416/L416)</f>
        <v>3.03046362227755</v>
      </c>
      <c r="AB416" s="12" t="n">
        <v>258202589</v>
      </c>
      <c r="AC416" s="16" t="n">
        <v>13.3</v>
      </c>
      <c r="AD416" s="16" t="n">
        <v>23.4</v>
      </c>
      <c r="AE416" s="13" t="n">
        <v>0.422</v>
      </c>
      <c r="AF416" s="13" t="n">
        <v>0.597</v>
      </c>
      <c r="AG416" s="13" t="n">
        <v>0.356</v>
      </c>
      <c r="AH416" s="13" t="n">
        <v>0.214</v>
      </c>
      <c r="AI416" s="17" t="n">
        <v>4.71</v>
      </c>
    </row>
    <row r="417" customFormat="false" ht="15" hidden="false" customHeight="false" outlineLevel="0" collapsed="false">
      <c r="A417" s="10" t="n">
        <v>45627</v>
      </c>
      <c r="B417" s="11" t="n">
        <f aca="false">YEAR(A417)</f>
        <v>2024</v>
      </c>
      <c r="C417" s="11" t="str">
        <f aca="false">"Q"&amp;ROUNDUP(MONTH(A417)/3,0)</f>
        <v>Q4</v>
      </c>
      <c r="D417" s="11" t="str">
        <f aca="false">B417&amp;"-"&amp;C417</f>
        <v>2024-Q4</v>
      </c>
      <c r="E417" s="11" t="n">
        <f aca="false">MONTH(A417)</f>
        <v>12</v>
      </c>
      <c r="F417" s="11" t="str">
        <f aca="false">TEXT(A417,"mmm")</f>
        <v>Dec</v>
      </c>
      <c r="G417" s="11" t="s">
        <v>202</v>
      </c>
      <c r="H417" s="11" t="s">
        <v>204</v>
      </c>
      <c r="I417" s="12" t="n">
        <v>10364595</v>
      </c>
      <c r="J417" s="12" t="n">
        <v>3440969</v>
      </c>
      <c r="K417" s="13" t="n">
        <f aca="false">IF(I417=0,0,J417/I417)</f>
        <v>0.331992615244493</v>
      </c>
      <c r="L417" s="12" t="n">
        <v>1153312</v>
      </c>
      <c r="M417" s="12" t="n">
        <v>1131952</v>
      </c>
      <c r="N417" s="12" t="n">
        <v>123578</v>
      </c>
      <c r="O417" s="12" t="n">
        <v>95696</v>
      </c>
      <c r="P417" s="12" t="n">
        <f aca="false">M417+N417+O417</f>
        <v>1351226</v>
      </c>
      <c r="Q417" s="13" t="n">
        <f aca="false">IF(I417=0,0,P417/I417)</f>
        <v>0.130369396971131</v>
      </c>
      <c r="R417" s="13" t="n">
        <v>0.0424</v>
      </c>
      <c r="S417" s="14" t="n">
        <v>8661193</v>
      </c>
      <c r="T417" s="14" t="n">
        <v>617768</v>
      </c>
      <c r="U417" s="14" t="n">
        <v>420730</v>
      </c>
      <c r="V417" s="14" t="n">
        <v>441252</v>
      </c>
      <c r="W417" s="14" t="n">
        <f aca="false">S417+T417+U417+V417</f>
        <v>10140943</v>
      </c>
      <c r="X417" s="15" t="n">
        <f aca="false">IF(P417=0,0,S417/P417)</f>
        <v>6.40987740022765</v>
      </c>
      <c r="Y417" s="15" t="n">
        <f aca="false">IF(J417=0,0,W417/J417)</f>
        <v>2.94711838438533</v>
      </c>
      <c r="Z417" s="14" t="n">
        <v>1691846</v>
      </c>
      <c r="AA417" s="15" t="n">
        <f aca="false">IF(L417=0,0,Z417/L417)</f>
        <v>1.46694563136428</v>
      </c>
      <c r="AB417" s="12" t="n">
        <v>281704099</v>
      </c>
      <c r="AC417" s="16" t="n">
        <v>12.7</v>
      </c>
      <c r="AD417" s="16" t="n">
        <v>23.2</v>
      </c>
      <c r="AE417" s="13" t="n">
        <v>0.421</v>
      </c>
      <c r="AF417" s="13" t="n">
        <v>0.596</v>
      </c>
      <c r="AG417" s="13" t="n">
        <v>0.353</v>
      </c>
      <c r="AH417" s="13" t="n">
        <v>0.211</v>
      </c>
      <c r="AI417" s="17" t="n">
        <v>4.64</v>
      </c>
    </row>
    <row r="418" customFormat="false" ht="15" hidden="false" customHeight="false" outlineLevel="0" collapsed="false">
      <c r="A418" s="10" t="n">
        <v>45627</v>
      </c>
      <c r="B418" s="11" t="n">
        <f aca="false">YEAR(A418)</f>
        <v>2024</v>
      </c>
      <c r="C418" s="11" t="str">
        <f aca="false">"Q"&amp;ROUNDUP(MONTH(A418)/3,0)</f>
        <v>Q4</v>
      </c>
      <c r="D418" s="11" t="str">
        <f aca="false">B418&amp;"-"&amp;C418</f>
        <v>2024-Q4</v>
      </c>
      <c r="E418" s="11" t="n">
        <f aca="false">MONTH(A418)</f>
        <v>12</v>
      </c>
      <c r="F418" s="11" t="str">
        <f aca="false">TEXT(A418,"mmm")</f>
        <v>Dec</v>
      </c>
      <c r="G418" s="11" t="s">
        <v>202</v>
      </c>
      <c r="H418" s="11" t="s">
        <v>205</v>
      </c>
      <c r="I418" s="12" t="n">
        <v>3662564</v>
      </c>
      <c r="J418" s="12" t="n">
        <v>1075685</v>
      </c>
      <c r="K418" s="13" t="n">
        <f aca="false">IF(I418=0,0,J418/I418)</f>
        <v>0.293697256894351</v>
      </c>
      <c r="L418" s="12" t="n">
        <v>348040</v>
      </c>
      <c r="M418" s="12" t="n">
        <v>306066</v>
      </c>
      <c r="N418" s="12" t="n">
        <v>35868</v>
      </c>
      <c r="O418" s="12" t="n">
        <v>16944</v>
      </c>
      <c r="P418" s="12" t="n">
        <f aca="false">M418+N418+O418</f>
        <v>358878</v>
      </c>
      <c r="Q418" s="13" t="n">
        <f aca="false">IF(I418=0,0,P418/I418)</f>
        <v>0.0979854549981925</v>
      </c>
      <c r="R418" s="13" t="n">
        <v>0.0453</v>
      </c>
      <c r="S418" s="14" t="n">
        <v>2428934</v>
      </c>
      <c r="T418" s="14" t="n">
        <v>174638</v>
      </c>
      <c r="U418" s="14" t="n">
        <v>117112</v>
      </c>
      <c r="V418" s="14" t="n">
        <v>138499</v>
      </c>
      <c r="W418" s="14" t="n">
        <f aca="false">S418+T418+U418+V418</f>
        <v>2859183</v>
      </c>
      <c r="X418" s="15" t="n">
        <f aca="false">IF(P418=0,0,S418/P418)</f>
        <v>6.76813290310356</v>
      </c>
      <c r="Y418" s="15" t="n">
        <f aca="false">IF(J418=0,0,W418/J418)</f>
        <v>2.65801140668504</v>
      </c>
      <c r="Z418" s="14" t="n">
        <v>519719</v>
      </c>
      <c r="AA418" s="15" t="n">
        <f aca="false">IF(L418=0,0,Z418/L418)</f>
        <v>1.49327376163659</v>
      </c>
      <c r="AB418" s="12" t="n">
        <v>89063805</v>
      </c>
      <c r="AC418" s="16" t="n">
        <v>11.4</v>
      </c>
      <c r="AD418" s="16" t="n">
        <v>24.2</v>
      </c>
      <c r="AE418" s="13" t="n">
        <v>0.429</v>
      </c>
      <c r="AF418" s="13" t="n">
        <v>0.598</v>
      </c>
      <c r="AG418" s="13" t="n">
        <v>0.354</v>
      </c>
      <c r="AH418" s="13" t="n">
        <v>0.21</v>
      </c>
      <c r="AI418" s="17"/>
    </row>
    <row r="419" customFormat="false" ht="15" hidden="false" customHeight="false" outlineLevel="0" collapsed="false">
      <c r="A419" s="10" t="n">
        <v>45627</v>
      </c>
      <c r="B419" s="11" t="n">
        <f aca="false">YEAR(A419)</f>
        <v>2024</v>
      </c>
      <c r="C419" s="11" t="str">
        <f aca="false">"Q"&amp;ROUNDUP(MONTH(A419)/3,0)</f>
        <v>Q4</v>
      </c>
      <c r="D419" s="11" t="str">
        <f aca="false">B419&amp;"-"&amp;C419</f>
        <v>2024-Q4</v>
      </c>
      <c r="E419" s="11" t="n">
        <f aca="false">MONTH(A419)</f>
        <v>12</v>
      </c>
      <c r="F419" s="11" t="str">
        <f aca="false">TEXT(A419,"mmm")</f>
        <v>Dec</v>
      </c>
      <c r="G419" s="11" t="s">
        <v>206</v>
      </c>
      <c r="H419" s="11" t="s">
        <v>203</v>
      </c>
      <c r="I419" s="12" t="n">
        <v>10870935</v>
      </c>
      <c r="J419" s="12" t="n">
        <v>4029264</v>
      </c>
      <c r="K419" s="13" t="n">
        <f aca="false">IF(I419=0,0,J419/I419)</f>
        <v>0.370645579244104</v>
      </c>
      <c r="L419" s="12" t="n">
        <v>1227493</v>
      </c>
      <c r="M419" s="12" t="n">
        <v>1270847</v>
      </c>
      <c r="N419" s="12" t="n">
        <v>138087</v>
      </c>
      <c r="O419" s="12" t="n">
        <v>88368</v>
      </c>
      <c r="P419" s="12" t="n">
        <f aca="false">M419+N419+O419</f>
        <v>1497302</v>
      </c>
      <c r="Q419" s="13" t="n">
        <f aca="false">IF(I419=0,0,P419/I419)</f>
        <v>0.137734426707546</v>
      </c>
      <c r="R419" s="13" t="n">
        <v>0.0434</v>
      </c>
      <c r="S419" s="14" t="n">
        <v>9774311</v>
      </c>
      <c r="T419" s="14" t="n">
        <v>692900</v>
      </c>
      <c r="U419" s="14" t="n">
        <v>470582</v>
      </c>
      <c r="V419" s="14" t="n">
        <v>584750</v>
      </c>
      <c r="W419" s="14" t="n">
        <f aca="false">S419+T419+U419+V419</f>
        <v>11522543</v>
      </c>
      <c r="X419" s="15" t="n">
        <f aca="false">IF(P419=0,0,S419/P419)</f>
        <v>6.5279489374889</v>
      </c>
      <c r="Y419" s="15" t="n">
        <f aca="false">IF(J419=0,0,W419/J419)</f>
        <v>2.85971408177771</v>
      </c>
      <c r="Z419" s="14" t="n">
        <v>1665462</v>
      </c>
      <c r="AA419" s="15" t="n">
        <f aca="false">IF(L419=0,0,Z419/L419)</f>
        <v>1.3567995907105</v>
      </c>
      <c r="AB419" s="12" t="n">
        <v>323478937</v>
      </c>
      <c r="AC419" s="16" t="n">
        <v>13.1</v>
      </c>
      <c r="AD419" s="16" t="n">
        <v>24.7</v>
      </c>
      <c r="AE419" s="13" t="n">
        <v>0.431</v>
      </c>
      <c r="AF419" s="13" t="n">
        <v>0.601</v>
      </c>
      <c r="AG419" s="13" t="n">
        <v>0.348</v>
      </c>
      <c r="AH419" s="13" t="n">
        <v>0.216</v>
      </c>
      <c r="AI419" s="17" t="n">
        <v>4.71</v>
      </c>
    </row>
    <row r="420" customFormat="false" ht="15" hidden="false" customHeight="false" outlineLevel="0" collapsed="false">
      <c r="A420" s="10" t="n">
        <v>45627</v>
      </c>
      <c r="B420" s="11" t="n">
        <f aca="false">YEAR(A420)</f>
        <v>2024</v>
      </c>
      <c r="C420" s="11" t="str">
        <f aca="false">"Q"&amp;ROUNDUP(MONTH(A420)/3,0)</f>
        <v>Q4</v>
      </c>
      <c r="D420" s="11" t="str">
        <f aca="false">B420&amp;"-"&amp;C420</f>
        <v>2024-Q4</v>
      </c>
      <c r="E420" s="11" t="n">
        <f aca="false">MONTH(A420)</f>
        <v>12</v>
      </c>
      <c r="F420" s="11" t="str">
        <f aca="false">TEXT(A420,"mmm")</f>
        <v>Dec</v>
      </c>
      <c r="G420" s="11" t="s">
        <v>206</v>
      </c>
      <c r="H420" s="11" t="s">
        <v>204</v>
      </c>
      <c r="I420" s="12" t="n">
        <v>13117578</v>
      </c>
      <c r="J420" s="12" t="n">
        <v>4346680</v>
      </c>
      <c r="K420" s="13" t="n">
        <f aca="false">IF(I420=0,0,J420/I420)</f>
        <v>0.331363000090413</v>
      </c>
      <c r="L420" s="12" t="n">
        <v>1419439</v>
      </c>
      <c r="M420" s="12" t="n">
        <v>715297</v>
      </c>
      <c r="N420" s="12" t="n">
        <v>82158</v>
      </c>
      <c r="O420" s="12" t="n">
        <v>36933</v>
      </c>
      <c r="P420" s="12" t="n">
        <f aca="false">M420+N420+O420</f>
        <v>834388</v>
      </c>
      <c r="Q420" s="13" t="n">
        <f aca="false">IF(I420=0,0,P420/I420)</f>
        <v>0.0636083886827279</v>
      </c>
      <c r="R420" s="13" t="n">
        <v>0.0374</v>
      </c>
      <c r="S420" s="14" t="n">
        <v>5915038</v>
      </c>
      <c r="T420" s="14" t="n">
        <v>387639</v>
      </c>
      <c r="U420" s="14" t="n">
        <v>300586</v>
      </c>
      <c r="V420" s="14" t="n">
        <v>331598</v>
      </c>
      <c r="W420" s="14" t="n">
        <f aca="false">S420+T420+U420+V420</f>
        <v>6934861</v>
      </c>
      <c r="X420" s="15" t="n">
        <f aca="false">IF(P420=0,0,S420/P420)</f>
        <v>7.08907366836532</v>
      </c>
      <c r="Y420" s="15" t="n">
        <f aca="false">IF(J420=0,0,W420/J420)</f>
        <v>1.59543858761169</v>
      </c>
      <c r="Z420" s="14" t="n">
        <v>972954</v>
      </c>
      <c r="AA420" s="15" t="n">
        <f aca="false">IF(L420=0,0,Z420/L420)</f>
        <v>0.685449674131823</v>
      </c>
      <c r="AB420" s="12" t="n">
        <v>353639326</v>
      </c>
      <c r="AC420" s="16" t="n">
        <v>12.5</v>
      </c>
      <c r="AD420" s="16" t="n">
        <v>24.6</v>
      </c>
      <c r="AE420" s="13" t="n">
        <v>0.423</v>
      </c>
      <c r="AF420" s="13" t="n">
        <v>0.601</v>
      </c>
      <c r="AG420" s="13" t="n">
        <v>0.361</v>
      </c>
      <c r="AH420" s="13" t="n">
        <v>0.215</v>
      </c>
      <c r="AI420" s="17" t="n">
        <v>4.65</v>
      </c>
    </row>
    <row r="421" customFormat="false" ht="15" hidden="false" customHeight="false" outlineLevel="0" collapsed="false">
      <c r="A421" s="10" t="n">
        <v>45627</v>
      </c>
      <c r="B421" s="11" t="n">
        <f aca="false">YEAR(A421)</f>
        <v>2024</v>
      </c>
      <c r="C421" s="11" t="str">
        <f aca="false">"Q"&amp;ROUNDUP(MONTH(A421)/3,0)</f>
        <v>Q4</v>
      </c>
      <c r="D421" s="11" t="str">
        <f aca="false">B421&amp;"-"&amp;C421</f>
        <v>2024-Q4</v>
      </c>
      <c r="E421" s="11" t="n">
        <f aca="false">MONTH(A421)</f>
        <v>12</v>
      </c>
      <c r="F421" s="11" t="str">
        <f aca="false">TEXT(A421,"mmm")</f>
        <v>Dec</v>
      </c>
      <c r="G421" s="11" t="s">
        <v>206</v>
      </c>
      <c r="H421" s="11" t="s">
        <v>205</v>
      </c>
      <c r="I421" s="12" t="n">
        <v>4007014</v>
      </c>
      <c r="J421" s="12" t="n">
        <v>1234929</v>
      </c>
      <c r="K421" s="13" t="n">
        <f aca="false">IF(I421=0,0,J421/I421)</f>
        <v>0.308191835616247</v>
      </c>
      <c r="L421" s="12" t="n">
        <v>393727</v>
      </c>
      <c r="M421" s="12" t="n">
        <v>183458</v>
      </c>
      <c r="N421" s="12" t="n">
        <v>21546</v>
      </c>
      <c r="O421" s="12" t="n">
        <v>6233</v>
      </c>
      <c r="P421" s="12" t="n">
        <f aca="false">M421+N421+O421</f>
        <v>211237</v>
      </c>
      <c r="Q421" s="13" t="n">
        <f aca="false">IF(I421=0,0,P421/I421)</f>
        <v>0.0527168110717856</v>
      </c>
      <c r="R421" s="13" t="n">
        <v>0.0419</v>
      </c>
      <c r="S421" s="14" t="n">
        <v>1658620</v>
      </c>
      <c r="T421" s="14" t="n">
        <v>119821</v>
      </c>
      <c r="U421" s="14" t="n">
        <v>83073</v>
      </c>
      <c r="V421" s="14" t="n">
        <v>101616</v>
      </c>
      <c r="W421" s="14" t="n">
        <f aca="false">S421+T421+U421+V421</f>
        <v>1963130</v>
      </c>
      <c r="X421" s="15" t="n">
        <f aca="false">IF(P421=0,0,S421/P421)</f>
        <v>7.8519388175367</v>
      </c>
      <c r="Y421" s="15" t="n">
        <f aca="false">IF(J421=0,0,W421/J421)</f>
        <v>1.58967033732304</v>
      </c>
      <c r="Z421" s="14" t="n">
        <v>333710</v>
      </c>
      <c r="AA421" s="15" t="n">
        <f aca="false">IF(L421=0,0,Z421/L421)</f>
        <v>0.847566968991205</v>
      </c>
      <c r="AB421" s="12" t="n">
        <v>100482236</v>
      </c>
      <c r="AC421" s="16" t="n">
        <v>11.6</v>
      </c>
      <c r="AD421" s="16" t="n">
        <v>22.5</v>
      </c>
      <c r="AE421" s="13" t="n">
        <v>0.436</v>
      </c>
      <c r="AF421" s="13" t="n">
        <v>0.597</v>
      </c>
      <c r="AG421" s="13" t="n">
        <v>0.355</v>
      </c>
      <c r="AH421" s="13" t="n">
        <v>0.21</v>
      </c>
      <c r="AI421" s="17"/>
    </row>
    <row r="422" customFormat="false" ht="15" hidden="false" customHeight="false" outlineLevel="0" collapsed="false">
      <c r="A422" s="10" t="n">
        <v>45627</v>
      </c>
      <c r="B422" s="11" t="n">
        <f aca="false">YEAR(A422)</f>
        <v>2024</v>
      </c>
      <c r="C422" s="11" t="str">
        <f aca="false">"Q"&amp;ROUNDUP(MONTH(A422)/3,0)</f>
        <v>Q4</v>
      </c>
      <c r="D422" s="11" t="str">
        <f aca="false">B422&amp;"-"&amp;C422</f>
        <v>2024-Q4</v>
      </c>
      <c r="E422" s="11" t="n">
        <f aca="false">MONTH(A422)</f>
        <v>12</v>
      </c>
      <c r="F422" s="11" t="str">
        <f aca="false">TEXT(A422,"mmm")</f>
        <v>Dec</v>
      </c>
      <c r="G422" s="11" t="s">
        <v>207</v>
      </c>
      <c r="H422" s="11" t="s">
        <v>203</v>
      </c>
      <c r="I422" s="12" t="n">
        <v>9304964</v>
      </c>
      <c r="J422" s="12" t="n">
        <v>3119186</v>
      </c>
      <c r="K422" s="13" t="n">
        <f aca="false">IF(I422=0,0,J422/I422)</f>
        <v>0.335217417283936</v>
      </c>
      <c r="L422" s="12" t="n">
        <v>1076233</v>
      </c>
      <c r="M422" s="12" t="n">
        <v>671333</v>
      </c>
      <c r="N422" s="12" t="n">
        <v>74209</v>
      </c>
      <c r="O422" s="12" t="n">
        <v>32128</v>
      </c>
      <c r="P422" s="12" t="n">
        <f aca="false">M422+N422+O422</f>
        <v>777670</v>
      </c>
      <c r="Q422" s="13" t="n">
        <f aca="false">IF(I422=0,0,P422/I422)</f>
        <v>0.0835758203900628</v>
      </c>
      <c r="R422" s="13" t="n">
        <v>0.0418</v>
      </c>
      <c r="S422" s="14" t="n">
        <v>4875536</v>
      </c>
      <c r="T422" s="14" t="n">
        <v>322530</v>
      </c>
      <c r="U422" s="14" t="n">
        <v>258041</v>
      </c>
      <c r="V422" s="14" t="n">
        <v>309999</v>
      </c>
      <c r="W422" s="14" t="n">
        <f aca="false">S422+T422+U422+V422</f>
        <v>5766106</v>
      </c>
      <c r="X422" s="15" t="n">
        <f aca="false">IF(P422=0,0,S422/P422)</f>
        <v>6.26941504751373</v>
      </c>
      <c r="Y422" s="15" t="n">
        <f aca="false">IF(J422=0,0,W422/J422)</f>
        <v>1.84859319065936</v>
      </c>
      <c r="Z422" s="14" t="n">
        <v>950661</v>
      </c>
      <c r="AA422" s="15" t="n">
        <f aca="false">IF(L422=0,0,Z422/L422)</f>
        <v>0.883322663400955</v>
      </c>
      <c r="AB422" s="12" t="n">
        <v>280951680</v>
      </c>
      <c r="AC422" s="16" t="n">
        <v>13.3</v>
      </c>
      <c r="AD422" s="16" t="n">
        <v>23.8</v>
      </c>
      <c r="AE422" s="13" t="n">
        <v>0.409</v>
      </c>
      <c r="AF422" s="13" t="n">
        <v>0.59</v>
      </c>
      <c r="AG422" s="13" t="n">
        <v>0.354</v>
      </c>
      <c r="AH422" s="13" t="n">
        <v>0.207</v>
      </c>
      <c r="AI422" s="17" t="n">
        <v>4.69</v>
      </c>
    </row>
    <row r="423" customFormat="false" ht="15" hidden="false" customHeight="false" outlineLevel="0" collapsed="false">
      <c r="A423" s="10" t="n">
        <v>45627</v>
      </c>
      <c r="B423" s="11" t="n">
        <f aca="false">YEAR(A423)</f>
        <v>2024</v>
      </c>
      <c r="C423" s="11" t="str">
        <f aca="false">"Q"&amp;ROUNDUP(MONTH(A423)/3,0)</f>
        <v>Q4</v>
      </c>
      <c r="D423" s="11" t="str">
        <f aca="false">B423&amp;"-"&amp;C423</f>
        <v>2024-Q4</v>
      </c>
      <c r="E423" s="11" t="n">
        <f aca="false">MONTH(A423)</f>
        <v>12</v>
      </c>
      <c r="F423" s="11" t="str">
        <f aca="false">TEXT(A423,"mmm")</f>
        <v>Dec</v>
      </c>
      <c r="G423" s="11" t="s">
        <v>207</v>
      </c>
      <c r="H423" s="11" t="s">
        <v>204</v>
      </c>
      <c r="I423" s="12" t="n">
        <v>11899904</v>
      </c>
      <c r="J423" s="12" t="n">
        <v>3728097</v>
      </c>
      <c r="K423" s="13" t="n">
        <f aca="false">IF(I423=0,0,J423/I423)</f>
        <v>0.313287989550168</v>
      </c>
      <c r="L423" s="12" t="n">
        <v>1125723</v>
      </c>
      <c r="M423" s="12" t="n">
        <v>378612</v>
      </c>
      <c r="N423" s="12" t="n">
        <v>46928</v>
      </c>
      <c r="O423" s="12" t="n">
        <v>13607</v>
      </c>
      <c r="P423" s="12" t="n">
        <f aca="false">M423+N423+O423</f>
        <v>439147</v>
      </c>
      <c r="Q423" s="13" t="n">
        <f aca="false">IF(I423=0,0,P423/I423)</f>
        <v>0.0369034069518544</v>
      </c>
      <c r="R423" s="13" t="n">
        <v>0.0407</v>
      </c>
      <c r="S423" s="14" t="n">
        <v>2864422</v>
      </c>
      <c r="T423" s="14" t="n">
        <v>216592</v>
      </c>
      <c r="U423" s="14" t="n">
        <v>133940</v>
      </c>
      <c r="V423" s="14" t="n">
        <v>171211</v>
      </c>
      <c r="W423" s="14" t="n">
        <f aca="false">S423+T423+U423+V423</f>
        <v>3386165</v>
      </c>
      <c r="X423" s="15" t="n">
        <f aca="false">IF(P423=0,0,S423/P423)</f>
        <v>6.52269513397564</v>
      </c>
      <c r="Y423" s="15" t="n">
        <f aca="false">IF(J423=0,0,W423/J423)</f>
        <v>0.908282429346661</v>
      </c>
      <c r="Z423" s="14" t="n">
        <v>571766</v>
      </c>
      <c r="AA423" s="15" t="n">
        <f aca="false">IF(L423=0,0,Z423/L423)</f>
        <v>0.50791002760004</v>
      </c>
      <c r="AB423" s="12" t="n">
        <v>300467841</v>
      </c>
      <c r="AC423" s="16" t="n">
        <v>12.5</v>
      </c>
      <c r="AD423" s="16" t="n">
        <v>23.6</v>
      </c>
      <c r="AE423" s="13" t="n">
        <v>0.423</v>
      </c>
      <c r="AF423" s="13" t="n">
        <v>0.592</v>
      </c>
      <c r="AG423" s="13" t="n">
        <v>0.383</v>
      </c>
      <c r="AH423" s="13" t="n">
        <v>0.211</v>
      </c>
      <c r="AI423" s="17" t="n">
        <v>4.7</v>
      </c>
    </row>
    <row r="424" customFormat="false" ht="15" hidden="false" customHeight="false" outlineLevel="0" collapsed="false">
      <c r="A424" s="10" t="n">
        <v>45627</v>
      </c>
      <c r="B424" s="11" t="n">
        <f aca="false">YEAR(A424)</f>
        <v>2024</v>
      </c>
      <c r="C424" s="11" t="str">
        <f aca="false">"Q"&amp;ROUNDUP(MONTH(A424)/3,0)</f>
        <v>Q4</v>
      </c>
      <c r="D424" s="11" t="str">
        <f aca="false">B424&amp;"-"&amp;C424</f>
        <v>2024-Q4</v>
      </c>
      <c r="E424" s="11" t="n">
        <f aca="false">MONTH(A424)</f>
        <v>12</v>
      </c>
      <c r="F424" s="11" t="str">
        <f aca="false">TEXT(A424,"mmm")</f>
        <v>Dec</v>
      </c>
      <c r="G424" s="11" t="s">
        <v>207</v>
      </c>
      <c r="H424" s="11" t="s">
        <v>205</v>
      </c>
      <c r="I424" s="12" t="n">
        <v>3425890</v>
      </c>
      <c r="J424" s="12" t="n">
        <v>994312</v>
      </c>
      <c r="K424" s="13" t="n">
        <f aca="false">IF(I424=0,0,J424/I424)</f>
        <v>0.290234654352592</v>
      </c>
      <c r="L424" s="12" t="n">
        <v>372036</v>
      </c>
      <c r="M424" s="12" t="n">
        <v>100056</v>
      </c>
      <c r="N424" s="12" t="n">
        <v>11622</v>
      </c>
      <c r="O424" s="12" t="n">
        <v>2356</v>
      </c>
      <c r="P424" s="12" t="n">
        <f aca="false">M424+N424+O424</f>
        <v>114034</v>
      </c>
      <c r="Q424" s="13" t="n">
        <f aca="false">IF(I424=0,0,P424/I424)</f>
        <v>0.0332859490526549</v>
      </c>
      <c r="R424" s="13" t="n">
        <v>0.0396</v>
      </c>
      <c r="S424" s="14" t="n">
        <v>766932</v>
      </c>
      <c r="T424" s="14" t="n">
        <v>56112</v>
      </c>
      <c r="U424" s="14" t="n">
        <v>38340</v>
      </c>
      <c r="V424" s="14" t="n">
        <v>48699</v>
      </c>
      <c r="W424" s="14" t="n">
        <f aca="false">S424+T424+U424+V424</f>
        <v>910083</v>
      </c>
      <c r="X424" s="15" t="n">
        <f aca="false">IF(P424=0,0,S424/P424)</f>
        <v>6.72546784292404</v>
      </c>
      <c r="Y424" s="15" t="n">
        <f aca="false">IF(J424=0,0,W424/J424)</f>
        <v>0.915289164769207</v>
      </c>
      <c r="Z424" s="14" t="n">
        <v>141346</v>
      </c>
      <c r="AA424" s="15" t="n">
        <f aca="false">IF(L424=0,0,Z424/L424)</f>
        <v>0.379925598597985</v>
      </c>
      <c r="AB424" s="12" t="n">
        <v>79742215</v>
      </c>
      <c r="AC424" s="16" t="n">
        <v>11.5</v>
      </c>
      <c r="AD424" s="16" t="n">
        <v>24.2</v>
      </c>
      <c r="AE424" s="13" t="n">
        <v>0.419</v>
      </c>
      <c r="AF424" s="13" t="n">
        <v>0.58</v>
      </c>
      <c r="AG424" s="13" t="n">
        <v>0.365</v>
      </c>
      <c r="AH424" s="13" t="n">
        <v>0.216</v>
      </c>
      <c r="AI424" s="17"/>
    </row>
    <row r="425" customFormat="false" ht="15" hidden="false" customHeight="false" outlineLevel="0" collapsed="false">
      <c r="A425" s="10" t="n">
        <v>45627</v>
      </c>
      <c r="B425" s="11" t="n">
        <f aca="false">YEAR(A425)</f>
        <v>2024</v>
      </c>
      <c r="C425" s="11" t="str">
        <f aca="false">"Q"&amp;ROUNDUP(MONTH(A425)/3,0)</f>
        <v>Q4</v>
      </c>
      <c r="D425" s="11" t="str">
        <f aca="false">B425&amp;"-"&amp;C425</f>
        <v>2024-Q4</v>
      </c>
      <c r="E425" s="11" t="n">
        <f aca="false">MONTH(A425)</f>
        <v>12</v>
      </c>
      <c r="F425" s="11" t="str">
        <f aca="false">TEXT(A425,"mmm")</f>
        <v>Dec</v>
      </c>
      <c r="G425" s="11" t="s">
        <v>208</v>
      </c>
      <c r="H425" s="11" t="s">
        <v>203</v>
      </c>
      <c r="I425" s="12" t="n">
        <v>7393616</v>
      </c>
      <c r="J425" s="12" t="n">
        <v>2684404</v>
      </c>
      <c r="K425" s="13" t="n">
        <f aca="false">IF(I425=0,0,J425/I425)</f>
        <v>0.363070519215496</v>
      </c>
      <c r="L425" s="12" t="n">
        <v>895353</v>
      </c>
      <c r="M425" s="12" t="n">
        <v>318432</v>
      </c>
      <c r="N425" s="12" t="n">
        <v>35276</v>
      </c>
      <c r="O425" s="12" t="n">
        <v>10755</v>
      </c>
      <c r="P425" s="12" t="n">
        <f aca="false">M425+N425+O425</f>
        <v>364463</v>
      </c>
      <c r="Q425" s="13" t="n">
        <f aca="false">IF(I425=0,0,P425/I425)</f>
        <v>0.0492942830679873</v>
      </c>
      <c r="R425" s="13" t="n">
        <v>0.0424</v>
      </c>
      <c r="S425" s="14" t="n">
        <v>2477124</v>
      </c>
      <c r="T425" s="14" t="n">
        <v>188927</v>
      </c>
      <c r="U425" s="14" t="n">
        <v>110528</v>
      </c>
      <c r="V425" s="14" t="n">
        <v>133663</v>
      </c>
      <c r="W425" s="14" t="n">
        <f aca="false">S425+T425+U425+V425</f>
        <v>2910242</v>
      </c>
      <c r="X425" s="15" t="n">
        <f aca="false">IF(P425=0,0,S425/P425)</f>
        <v>6.79664053689949</v>
      </c>
      <c r="Y425" s="15" t="n">
        <f aca="false">IF(J425=0,0,W425/J425)</f>
        <v>1.08412966155616</v>
      </c>
      <c r="Z425" s="14" t="n">
        <v>495639</v>
      </c>
      <c r="AA425" s="15" t="n">
        <f aca="false">IF(L425=0,0,Z425/L425)</f>
        <v>0.553568257435894</v>
      </c>
      <c r="AB425" s="12" t="n">
        <v>207679796</v>
      </c>
      <c r="AC425" s="16" t="n">
        <v>13</v>
      </c>
      <c r="AD425" s="16" t="n">
        <v>23.7</v>
      </c>
      <c r="AE425" s="13" t="n">
        <v>0.42</v>
      </c>
      <c r="AF425" s="13" t="n">
        <v>0.593</v>
      </c>
      <c r="AG425" s="13" t="n">
        <v>0.372</v>
      </c>
      <c r="AH425" s="13" t="n">
        <v>0.202</v>
      </c>
      <c r="AI425" s="17" t="n">
        <v>4.72</v>
      </c>
    </row>
    <row r="426" customFormat="false" ht="15" hidden="false" customHeight="false" outlineLevel="0" collapsed="false">
      <c r="A426" s="10" t="n">
        <v>45627</v>
      </c>
      <c r="B426" s="11" t="n">
        <f aca="false">YEAR(A426)</f>
        <v>2024</v>
      </c>
      <c r="C426" s="11" t="str">
        <f aca="false">"Q"&amp;ROUNDUP(MONTH(A426)/3,0)</f>
        <v>Q4</v>
      </c>
      <c r="D426" s="11" t="str">
        <f aca="false">B426&amp;"-"&amp;C426</f>
        <v>2024-Q4</v>
      </c>
      <c r="E426" s="11" t="n">
        <f aca="false">MONTH(A426)</f>
        <v>12</v>
      </c>
      <c r="F426" s="11" t="str">
        <f aca="false">TEXT(A426,"mmm")</f>
        <v>Dec</v>
      </c>
      <c r="G426" s="11" t="s">
        <v>208</v>
      </c>
      <c r="H426" s="11" t="s">
        <v>204</v>
      </c>
      <c r="I426" s="12" t="n">
        <v>10351424</v>
      </c>
      <c r="J426" s="12" t="n">
        <v>3384092</v>
      </c>
      <c r="K426" s="13" t="n">
        <f aca="false">IF(I426=0,0,J426/I426)</f>
        <v>0.326920431430497</v>
      </c>
      <c r="L426" s="12" t="n">
        <v>992017</v>
      </c>
      <c r="M426" s="12" t="n">
        <v>179653</v>
      </c>
      <c r="N426" s="12" t="n">
        <v>19863</v>
      </c>
      <c r="O426" s="12" t="n">
        <v>4516</v>
      </c>
      <c r="P426" s="12" t="n">
        <f aca="false">M426+N426+O426</f>
        <v>204032</v>
      </c>
      <c r="Q426" s="13" t="n">
        <f aca="false">IF(I426=0,0,P426/I426)</f>
        <v>0.0197105248514601</v>
      </c>
      <c r="R426" s="13" t="n">
        <v>0.0409</v>
      </c>
      <c r="S426" s="14" t="n">
        <v>1336003</v>
      </c>
      <c r="T426" s="14" t="n">
        <v>94739</v>
      </c>
      <c r="U426" s="14" t="n">
        <v>67423</v>
      </c>
      <c r="V426" s="14" t="n">
        <v>81753</v>
      </c>
      <c r="W426" s="14" t="n">
        <f aca="false">S426+T426+U426+V426</f>
        <v>1579918</v>
      </c>
      <c r="X426" s="15" t="n">
        <f aca="false">IF(P426=0,0,S426/P426)</f>
        <v>6.54800717534504</v>
      </c>
      <c r="Y426" s="15" t="n">
        <f aca="false">IF(J426=0,0,W426/J426)</f>
        <v>0.466866149029045</v>
      </c>
      <c r="Z426" s="14" t="n">
        <v>236417</v>
      </c>
      <c r="AA426" s="15" t="n">
        <f aca="false">IF(L426=0,0,Z426/L426)</f>
        <v>0.238319504605264</v>
      </c>
      <c r="AB426" s="12" t="n">
        <v>270310234</v>
      </c>
      <c r="AC426" s="16" t="n">
        <v>13</v>
      </c>
      <c r="AD426" s="16" t="n">
        <v>24.6</v>
      </c>
      <c r="AE426" s="13" t="n">
        <v>0.429</v>
      </c>
      <c r="AF426" s="13" t="n">
        <v>0.586</v>
      </c>
      <c r="AG426" s="13" t="n">
        <v>0.352</v>
      </c>
      <c r="AH426" s="13" t="n">
        <v>0.208</v>
      </c>
      <c r="AI426" s="17" t="n">
        <v>4.67</v>
      </c>
    </row>
    <row r="427" customFormat="false" ht="15" hidden="false" customHeight="false" outlineLevel="0" collapsed="false">
      <c r="A427" s="10" t="n">
        <v>45627</v>
      </c>
      <c r="B427" s="11" t="n">
        <f aca="false">YEAR(A427)</f>
        <v>2024</v>
      </c>
      <c r="C427" s="11" t="str">
        <f aca="false">"Q"&amp;ROUNDUP(MONTH(A427)/3,0)</f>
        <v>Q4</v>
      </c>
      <c r="D427" s="11" t="str">
        <f aca="false">B427&amp;"-"&amp;C427</f>
        <v>2024-Q4</v>
      </c>
      <c r="E427" s="11" t="n">
        <f aca="false">MONTH(A427)</f>
        <v>12</v>
      </c>
      <c r="F427" s="11" t="str">
        <f aca="false">TEXT(A427,"mmm")</f>
        <v>Dec</v>
      </c>
      <c r="G427" s="11" t="s">
        <v>208</v>
      </c>
      <c r="H427" s="11" t="s">
        <v>205</v>
      </c>
      <c r="I427" s="12" t="n">
        <v>3235499</v>
      </c>
      <c r="J427" s="12" t="n">
        <v>937606</v>
      </c>
      <c r="K427" s="13" t="n">
        <f aca="false">IF(I427=0,0,J427/I427)</f>
        <v>0.289787139479876</v>
      </c>
      <c r="L427" s="12" t="n">
        <v>295519</v>
      </c>
      <c r="M427" s="12" t="n">
        <v>50531</v>
      </c>
      <c r="N427" s="12" t="n">
        <v>5408</v>
      </c>
      <c r="O427" s="12" t="n">
        <v>838</v>
      </c>
      <c r="P427" s="12" t="n">
        <f aca="false">M427+N427+O427</f>
        <v>56777</v>
      </c>
      <c r="Q427" s="13" t="n">
        <f aca="false">IF(I427=0,0,P427/I427)</f>
        <v>0.0175481432693999</v>
      </c>
      <c r="R427" s="13" t="n">
        <v>0.0419</v>
      </c>
      <c r="S427" s="14" t="n">
        <v>381862</v>
      </c>
      <c r="T427" s="14" t="n">
        <v>28277</v>
      </c>
      <c r="U427" s="14" t="n">
        <v>17096</v>
      </c>
      <c r="V427" s="14" t="n">
        <v>23848</v>
      </c>
      <c r="W427" s="14" t="n">
        <f aca="false">S427+T427+U427+V427</f>
        <v>451083</v>
      </c>
      <c r="X427" s="15" t="n">
        <f aca="false">IF(P427=0,0,S427/P427)</f>
        <v>6.72564594818324</v>
      </c>
      <c r="Y427" s="15" t="n">
        <f aca="false">IF(J427=0,0,W427/J427)</f>
        <v>0.481100803535814</v>
      </c>
      <c r="Z427" s="14" t="n">
        <v>71165</v>
      </c>
      <c r="AA427" s="15" t="n">
        <f aca="false">IF(L427=0,0,Z427/L427)</f>
        <v>0.240813619428869</v>
      </c>
      <c r="AB427" s="12" t="n">
        <v>77220293</v>
      </c>
      <c r="AC427" s="16" t="n">
        <v>11.4</v>
      </c>
      <c r="AD427" s="16" t="n">
        <v>22.7</v>
      </c>
      <c r="AE427" s="13" t="n">
        <v>0.443</v>
      </c>
      <c r="AF427" s="13" t="n">
        <v>0.594</v>
      </c>
      <c r="AG427" s="13" t="n">
        <v>0.35</v>
      </c>
      <c r="AH427" s="13" t="n">
        <v>0.214</v>
      </c>
      <c r="AI427" s="17"/>
    </row>
    <row r="428" customFormat="false" ht="15" hidden="false" customHeight="false" outlineLevel="0" collapsed="false">
      <c r="A428" s="10" t="n">
        <v>45627</v>
      </c>
      <c r="B428" s="11" t="n">
        <f aca="false">YEAR(A428)</f>
        <v>2024</v>
      </c>
      <c r="C428" s="11" t="str">
        <f aca="false">"Q"&amp;ROUNDUP(MONTH(A428)/3,0)</f>
        <v>Q4</v>
      </c>
      <c r="D428" s="11" t="str">
        <f aca="false">B428&amp;"-"&amp;C428</f>
        <v>2024-Q4</v>
      </c>
      <c r="E428" s="11" t="n">
        <f aca="false">MONTH(A428)</f>
        <v>12</v>
      </c>
      <c r="F428" s="11" t="str">
        <f aca="false">TEXT(A428,"mmm")</f>
        <v>Dec</v>
      </c>
      <c r="G428" s="11" t="s">
        <v>209</v>
      </c>
      <c r="H428" s="11" t="s">
        <v>203</v>
      </c>
      <c r="I428" s="12" t="n">
        <v>4517992</v>
      </c>
      <c r="J428" s="12" t="n">
        <v>1516113</v>
      </c>
      <c r="K428" s="13" t="n">
        <f aca="false">IF(I428=0,0,J428/I428)</f>
        <v>0.335572307343616</v>
      </c>
      <c r="L428" s="12" t="n">
        <v>521912</v>
      </c>
      <c r="M428" s="12" t="n">
        <v>134205</v>
      </c>
      <c r="N428" s="12" t="n">
        <v>15828</v>
      </c>
      <c r="O428" s="12" t="n">
        <v>3627</v>
      </c>
      <c r="P428" s="12" t="n">
        <f aca="false">M428+N428+O428</f>
        <v>153660</v>
      </c>
      <c r="Q428" s="13" t="n">
        <f aca="false">IF(I428=0,0,P428/I428)</f>
        <v>0.0340106843925355</v>
      </c>
      <c r="R428" s="13" t="n">
        <v>0.0461</v>
      </c>
      <c r="S428" s="14" t="n">
        <v>949723</v>
      </c>
      <c r="T428" s="14" t="n">
        <v>64741</v>
      </c>
      <c r="U428" s="14" t="n">
        <v>41379</v>
      </c>
      <c r="V428" s="14" t="n">
        <v>55744</v>
      </c>
      <c r="W428" s="14" t="n">
        <f aca="false">S428+T428+U428+V428</f>
        <v>1111587</v>
      </c>
      <c r="X428" s="15" t="n">
        <f aca="false">IF(P428=0,0,S428/P428)</f>
        <v>6.18067812052584</v>
      </c>
      <c r="Y428" s="15" t="n">
        <f aca="false">IF(J428=0,0,W428/J428)</f>
        <v>0.733182157266642</v>
      </c>
      <c r="Z428" s="14" t="n">
        <v>171933</v>
      </c>
      <c r="AA428" s="15" t="n">
        <f aca="false">IF(L428=0,0,Z428/L428)</f>
        <v>0.329429099158479</v>
      </c>
      <c r="AB428" s="12" t="n">
        <v>122926772</v>
      </c>
      <c r="AC428" s="16" t="n">
        <v>13.2</v>
      </c>
      <c r="AD428" s="16" t="n">
        <v>23.8</v>
      </c>
      <c r="AE428" s="13" t="n">
        <v>0.425</v>
      </c>
      <c r="AF428" s="13" t="n">
        <v>0.584</v>
      </c>
      <c r="AG428" s="13" t="n">
        <v>0.363</v>
      </c>
      <c r="AH428" s="13" t="n">
        <v>0.221</v>
      </c>
      <c r="AI428" s="17" t="n">
        <v>4.73</v>
      </c>
    </row>
    <row r="429" customFormat="false" ht="15" hidden="false" customHeight="false" outlineLevel="0" collapsed="false">
      <c r="A429" s="10" t="n">
        <v>45627</v>
      </c>
      <c r="B429" s="11" t="n">
        <f aca="false">YEAR(A429)</f>
        <v>2024</v>
      </c>
      <c r="C429" s="11" t="str">
        <f aca="false">"Q"&amp;ROUNDUP(MONTH(A429)/3,0)</f>
        <v>Q4</v>
      </c>
      <c r="D429" s="11" t="str">
        <f aca="false">B429&amp;"-"&amp;C429</f>
        <v>2024-Q4</v>
      </c>
      <c r="E429" s="11" t="n">
        <f aca="false">MONTH(A429)</f>
        <v>12</v>
      </c>
      <c r="F429" s="11" t="str">
        <f aca="false">TEXT(A429,"mmm")</f>
        <v>Dec</v>
      </c>
      <c r="G429" s="11" t="s">
        <v>209</v>
      </c>
      <c r="H429" s="11" t="s">
        <v>204</v>
      </c>
      <c r="I429" s="12" t="n">
        <v>5924121</v>
      </c>
      <c r="J429" s="12" t="n">
        <v>1822896</v>
      </c>
      <c r="K429" s="13" t="n">
        <f aca="false">IF(I429=0,0,J429/I429)</f>
        <v>0.3077074219112</v>
      </c>
      <c r="L429" s="12" t="n">
        <v>604602</v>
      </c>
      <c r="M429" s="12" t="n">
        <v>74155</v>
      </c>
      <c r="N429" s="12" t="n">
        <v>8169</v>
      </c>
      <c r="O429" s="12" t="n">
        <v>1484</v>
      </c>
      <c r="P429" s="12" t="n">
        <f aca="false">M429+N429+O429</f>
        <v>83808</v>
      </c>
      <c r="Q429" s="13" t="n">
        <f aca="false">IF(I429=0,0,P429/I429)</f>
        <v>0.0141469088831913</v>
      </c>
      <c r="R429" s="13" t="n">
        <v>0.0391</v>
      </c>
      <c r="S429" s="14" t="n">
        <v>554201</v>
      </c>
      <c r="T429" s="14" t="n">
        <v>41791</v>
      </c>
      <c r="U429" s="14" t="n">
        <v>26204</v>
      </c>
      <c r="V429" s="14" t="n">
        <v>35386</v>
      </c>
      <c r="W429" s="14" t="n">
        <f aca="false">S429+T429+U429+V429</f>
        <v>657582</v>
      </c>
      <c r="X429" s="15" t="n">
        <f aca="false">IF(P429=0,0,S429/P429)</f>
        <v>6.61274579992364</v>
      </c>
      <c r="Y429" s="15" t="n">
        <f aca="false">IF(J429=0,0,W429/J429)</f>
        <v>0.360734786844669</v>
      </c>
      <c r="Z429" s="14" t="n">
        <v>109873</v>
      </c>
      <c r="AA429" s="15" t="n">
        <f aca="false">IF(L429=0,0,Z429/L429)</f>
        <v>0.18172781433075</v>
      </c>
      <c r="AB429" s="12" t="n">
        <v>148714367</v>
      </c>
      <c r="AC429" s="16" t="n">
        <v>12.6</v>
      </c>
      <c r="AD429" s="16" t="n">
        <v>24</v>
      </c>
      <c r="AE429" s="13" t="n">
        <v>0.421</v>
      </c>
      <c r="AF429" s="13" t="n">
        <v>0.585</v>
      </c>
      <c r="AG429" s="13" t="n">
        <v>0.356</v>
      </c>
      <c r="AH429" s="13" t="n">
        <v>0.208</v>
      </c>
      <c r="AI429" s="17" t="n">
        <v>4.67</v>
      </c>
    </row>
    <row r="430" customFormat="false" ht="15" hidden="false" customHeight="false" outlineLevel="0" collapsed="false">
      <c r="A430" s="10" t="n">
        <v>45627</v>
      </c>
      <c r="B430" s="11" t="n">
        <f aca="false">YEAR(A430)</f>
        <v>2024</v>
      </c>
      <c r="C430" s="11" t="str">
        <f aca="false">"Q"&amp;ROUNDUP(MONTH(A430)/3,0)</f>
        <v>Q4</v>
      </c>
      <c r="D430" s="11" t="str">
        <f aca="false">B430&amp;"-"&amp;C430</f>
        <v>2024-Q4</v>
      </c>
      <c r="E430" s="11" t="n">
        <f aca="false">MONTH(A430)</f>
        <v>12</v>
      </c>
      <c r="F430" s="11" t="str">
        <f aca="false">TEXT(A430,"mmm")</f>
        <v>Dec</v>
      </c>
      <c r="G430" s="11" t="s">
        <v>209</v>
      </c>
      <c r="H430" s="11" t="s">
        <v>205</v>
      </c>
      <c r="I430" s="12" t="n">
        <v>1670594</v>
      </c>
      <c r="J430" s="12" t="n">
        <v>473095</v>
      </c>
      <c r="K430" s="13" t="n">
        <f aca="false">IF(I430=0,0,J430/I430)</f>
        <v>0.283189691810218</v>
      </c>
      <c r="L430" s="12" t="n">
        <v>158877</v>
      </c>
      <c r="M430" s="12" t="n">
        <v>19180</v>
      </c>
      <c r="N430" s="12" t="n">
        <v>2174</v>
      </c>
      <c r="O430" s="12" t="n">
        <v>255</v>
      </c>
      <c r="P430" s="12" t="n">
        <f aca="false">M430+N430+O430</f>
        <v>21609</v>
      </c>
      <c r="Q430" s="13" t="n">
        <f aca="false">IF(I430=0,0,P430/I430)</f>
        <v>0.0129349201541488</v>
      </c>
      <c r="R430" s="13" t="n">
        <v>0.0462</v>
      </c>
      <c r="S430" s="14" t="n">
        <v>149087</v>
      </c>
      <c r="T430" s="14" t="n">
        <v>9898</v>
      </c>
      <c r="U430" s="14" t="n">
        <v>6778</v>
      </c>
      <c r="V430" s="14" t="n">
        <v>9084</v>
      </c>
      <c r="W430" s="14" t="n">
        <f aca="false">S430+T430+U430+V430</f>
        <v>174847</v>
      </c>
      <c r="X430" s="15" t="n">
        <f aca="false">IF(P430=0,0,S430/P430)</f>
        <v>6.89930121708547</v>
      </c>
      <c r="Y430" s="15" t="n">
        <f aca="false">IF(J430=0,0,W430/J430)</f>
        <v>0.369581162345829</v>
      </c>
      <c r="Z430" s="14" t="n">
        <v>27542</v>
      </c>
      <c r="AA430" s="15" t="n">
        <f aca="false">IF(L430=0,0,Z430/L430)</f>
        <v>0.173354230001825</v>
      </c>
      <c r="AB430" s="12" t="n">
        <v>39569760</v>
      </c>
      <c r="AC430" s="16" t="n">
        <v>11.3</v>
      </c>
      <c r="AD430" s="16" t="n">
        <v>24.8</v>
      </c>
      <c r="AE430" s="13" t="n">
        <v>0.431</v>
      </c>
      <c r="AF430" s="13" t="n">
        <v>0.585</v>
      </c>
      <c r="AG430" s="13" t="n">
        <v>0.36</v>
      </c>
      <c r="AH430" s="13" t="n">
        <v>0.208</v>
      </c>
      <c r="AI430" s="17"/>
    </row>
    <row r="431" customFormat="false" ht="15" hidden="false" customHeight="false" outlineLevel="0" collapsed="false">
      <c r="A431" s="10" t="n">
        <v>45627</v>
      </c>
      <c r="B431" s="11" t="n">
        <f aca="false">YEAR(A431)</f>
        <v>2024</v>
      </c>
      <c r="C431" s="11" t="str">
        <f aca="false">"Q"&amp;ROUNDUP(MONTH(A431)/3,0)</f>
        <v>Q4</v>
      </c>
      <c r="D431" s="11" t="str">
        <f aca="false">B431&amp;"-"&amp;C431</f>
        <v>2024-Q4</v>
      </c>
      <c r="E431" s="11" t="n">
        <f aca="false">MONTH(A431)</f>
        <v>12</v>
      </c>
      <c r="F431" s="11" t="str">
        <f aca="false">TEXT(A431,"mmm")</f>
        <v>Dec</v>
      </c>
      <c r="G431" s="11" t="s">
        <v>210</v>
      </c>
      <c r="H431" s="11" t="s">
        <v>203</v>
      </c>
      <c r="I431" s="12" t="n">
        <v>6857991</v>
      </c>
      <c r="J431" s="12" t="n">
        <v>2313822</v>
      </c>
      <c r="K431" s="13" t="n">
        <f aca="false">IF(I431=0,0,J431/I431)</f>
        <v>0.337390643994721</v>
      </c>
      <c r="L431" s="12" t="n">
        <v>781139</v>
      </c>
      <c r="M431" s="12" t="n">
        <v>257922</v>
      </c>
      <c r="N431" s="12" t="n">
        <v>28587</v>
      </c>
      <c r="O431" s="12" t="n">
        <v>6927</v>
      </c>
      <c r="P431" s="12" t="n">
        <f aca="false">M431+N431+O431</f>
        <v>293436</v>
      </c>
      <c r="Q431" s="13" t="n">
        <f aca="false">IF(I431=0,0,P431/I431)</f>
        <v>0.0427874577263225</v>
      </c>
      <c r="R431" s="13" t="n">
        <v>0.0391</v>
      </c>
      <c r="S431" s="14" t="n">
        <v>2046118</v>
      </c>
      <c r="T431" s="14" t="n">
        <v>146998</v>
      </c>
      <c r="U431" s="14" t="n">
        <v>96990</v>
      </c>
      <c r="V431" s="14" t="n">
        <v>119784</v>
      </c>
      <c r="W431" s="14" t="n">
        <f aca="false">S431+T431+U431+V431</f>
        <v>2409890</v>
      </c>
      <c r="X431" s="15" t="n">
        <f aca="false">IF(P431=0,0,S431/P431)</f>
        <v>6.97296173611963</v>
      </c>
      <c r="Y431" s="15" t="n">
        <f aca="false">IF(J431=0,0,W431/J431)</f>
        <v>1.04151918341169</v>
      </c>
      <c r="Z431" s="14" t="n">
        <v>352092</v>
      </c>
      <c r="AA431" s="15" t="n">
        <f aca="false">IF(L431=0,0,Z431/L431)</f>
        <v>0.450741801395142</v>
      </c>
      <c r="AB431" s="12" t="n">
        <v>188340032</v>
      </c>
      <c r="AC431" s="16" t="n">
        <v>13.2</v>
      </c>
      <c r="AD431" s="16" t="n">
        <v>24.5</v>
      </c>
      <c r="AE431" s="13" t="n">
        <v>0.433</v>
      </c>
      <c r="AF431" s="13" t="n">
        <v>0.605</v>
      </c>
      <c r="AG431" s="13" t="n">
        <v>0.371</v>
      </c>
      <c r="AH431" s="13" t="n">
        <v>0.212</v>
      </c>
      <c r="AI431" s="17" t="n">
        <v>4.7</v>
      </c>
    </row>
    <row r="432" customFormat="false" ht="15" hidden="false" customHeight="false" outlineLevel="0" collapsed="false">
      <c r="A432" s="10" t="n">
        <v>45627</v>
      </c>
      <c r="B432" s="11" t="n">
        <f aca="false">YEAR(A432)</f>
        <v>2024</v>
      </c>
      <c r="C432" s="11" t="str">
        <f aca="false">"Q"&amp;ROUNDUP(MONTH(A432)/3,0)</f>
        <v>Q4</v>
      </c>
      <c r="D432" s="11" t="str">
        <f aca="false">B432&amp;"-"&amp;C432</f>
        <v>2024-Q4</v>
      </c>
      <c r="E432" s="11" t="n">
        <f aca="false">MONTH(A432)</f>
        <v>12</v>
      </c>
      <c r="F432" s="11" t="str">
        <f aca="false">TEXT(A432,"mmm")</f>
        <v>Dec</v>
      </c>
      <c r="G432" s="11" t="s">
        <v>210</v>
      </c>
      <c r="H432" s="11" t="s">
        <v>204</v>
      </c>
      <c r="I432" s="12" t="n">
        <v>10760145</v>
      </c>
      <c r="J432" s="12" t="n">
        <v>3303865</v>
      </c>
      <c r="K432" s="13" t="n">
        <f aca="false">IF(I432=0,0,J432/I432)</f>
        <v>0.307046512849037</v>
      </c>
      <c r="L432" s="12" t="n">
        <v>904968</v>
      </c>
      <c r="M432" s="12" t="n">
        <v>153051</v>
      </c>
      <c r="N432" s="12" t="n">
        <v>18353</v>
      </c>
      <c r="O432" s="12" t="n">
        <v>3089</v>
      </c>
      <c r="P432" s="12" t="n">
        <f aca="false">M432+N432+O432</f>
        <v>174493</v>
      </c>
      <c r="Q432" s="13" t="n">
        <f aca="false">IF(I432=0,0,P432/I432)</f>
        <v>0.0162166030290484</v>
      </c>
      <c r="R432" s="13" t="n">
        <v>0.0416</v>
      </c>
      <c r="S432" s="14" t="n">
        <v>1038782</v>
      </c>
      <c r="T432" s="14" t="n">
        <v>69557</v>
      </c>
      <c r="U432" s="14" t="n">
        <v>52411</v>
      </c>
      <c r="V432" s="14" t="n">
        <v>62305</v>
      </c>
      <c r="W432" s="14" t="n">
        <f aca="false">S432+T432+U432+V432</f>
        <v>1223055</v>
      </c>
      <c r="X432" s="15" t="n">
        <f aca="false">IF(P432=0,0,S432/P432)</f>
        <v>5.95314425220496</v>
      </c>
      <c r="Y432" s="15" t="n">
        <f aca="false">IF(J432=0,0,W432/J432)</f>
        <v>0.370189157244621</v>
      </c>
      <c r="Z432" s="14" t="n">
        <v>183487</v>
      </c>
      <c r="AA432" s="15" t="n">
        <f aca="false">IF(L432=0,0,Z432/L432)</f>
        <v>0.20275523554424</v>
      </c>
      <c r="AB432" s="12" t="n">
        <v>264226377</v>
      </c>
      <c r="AC432" s="16" t="n">
        <v>12.7</v>
      </c>
      <c r="AD432" s="16" t="n">
        <v>24.8</v>
      </c>
      <c r="AE432" s="13" t="n">
        <v>0.429</v>
      </c>
      <c r="AF432" s="13" t="n">
        <v>0.592</v>
      </c>
      <c r="AG432" s="13" t="n">
        <v>0.354</v>
      </c>
      <c r="AH432" s="13" t="n">
        <v>0.212</v>
      </c>
      <c r="AI432" s="17" t="n">
        <v>4.64</v>
      </c>
    </row>
    <row r="433" customFormat="false" ht="15" hidden="false" customHeight="false" outlineLevel="0" collapsed="false">
      <c r="A433" s="10" t="n">
        <v>45627</v>
      </c>
      <c r="B433" s="11" t="n">
        <f aca="false">YEAR(A433)</f>
        <v>2024</v>
      </c>
      <c r="C433" s="11" t="str">
        <f aca="false">"Q"&amp;ROUNDUP(MONTH(A433)/3,0)</f>
        <v>Q4</v>
      </c>
      <c r="D433" s="11" t="str">
        <f aca="false">B433&amp;"-"&amp;C433</f>
        <v>2024-Q4</v>
      </c>
      <c r="E433" s="11" t="n">
        <f aca="false">MONTH(A433)</f>
        <v>12</v>
      </c>
      <c r="F433" s="11" t="str">
        <f aca="false">TEXT(A433,"mmm")</f>
        <v>Dec</v>
      </c>
      <c r="G433" s="11" t="s">
        <v>210</v>
      </c>
      <c r="H433" s="11" t="s">
        <v>205</v>
      </c>
      <c r="I433" s="12" t="n">
        <v>3153933</v>
      </c>
      <c r="J433" s="12" t="n">
        <v>863720</v>
      </c>
      <c r="K433" s="13" t="n">
        <f aca="false">IF(I433=0,0,J433/I433)</f>
        <v>0.273854897995614</v>
      </c>
      <c r="L433" s="12" t="n">
        <v>292544</v>
      </c>
      <c r="M433" s="12" t="n">
        <v>38079</v>
      </c>
      <c r="N433" s="12" t="n">
        <v>4548</v>
      </c>
      <c r="O433" s="12" t="n">
        <v>509</v>
      </c>
      <c r="P433" s="12" t="n">
        <f aca="false">M433+N433+O433</f>
        <v>43136</v>
      </c>
      <c r="Q433" s="13" t="n">
        <f aca="false">IF(I433=0,0,P433/I433)</f>
        <v>0.0136768916777877</v>
      </c>
      <c r="R433" s="13" t="n">
        <v>0.0382</v>
      </c>
      <c r="S433" s="14" t="n">
        <v>288953</v>
      </c>
      <c r="T433" s="14" t="n">
        <v>21533</v>
      </c>
      <c r="U433" s="14" t="n">
        <v>13999</v>
      </c>
      <c r="V433" s="14" t="n">
        <v>16128</v>
      </c>
      <c r="W433" s="14" t="n">
        <f aca="false">S433+T433+U433+V433</f>
        <v>340613</v>
      </c>
      <c r="X433" s="15" t="n">
        <f aca="false">IF(P433=0,0,S433/P433)</f>
        <v>6.69865077893175</v>
      </c>
      <c r="Y433" s="15" t="n">
        <f aca="false">IF(J433=0,0,W433/J433)</f>
        <v>0.394355809753161</v>
      </c>
      <c r="Z433" s="14" t="n">
        <v>60092</v>
      </c>
      <c r="AA433" s="15" t="n">
        <f aca="false">IF(L433=0,0,Z433/L433)</f>
        <v>0.205411835484577</v>
      </c>
      <c r="AB433" s="12" t="n">
        <v>67352801</v>
      </c>
      <c r="AC433" s="16" t="n">
        <v>11.5</v>
      </c>
      <c r="AD433" s="16" t="n">
        <v>25.3</v>
      </c>
      <c r="AE433" s="13" t="n">
        <v>0.416</v>
      </c>
      <c r="AF433" s="13" t="n">
        <v>0.594</v>
      </c>
      <c r="AG433" s="13" t="n">
        <v>0.349</v>
      </c>
      <c r="AH433" s="13" t="n">
        <v>0.208</v>
      </c>
      <c r="AI433" s="17"/>
    </row>
    <row r="434" customFormat="false" ht="15" hidden="false" customHeight="false" outlineLevel="0" collapsed="false">
      <c r="A434" s="10" t="n">
        <v>45658</v>
      </c>
      <c r="B434" s="11" t="n">
        <f aca="false">YEAR(A434)</f>
        <v>2025</v>
      </c>
      <c r="C434" s="11" t="str">
        <f aca="false">"Q"&amp;ROUNDUP(MONTH(A434)/3,0)</f>
        <v>Q1</v>
      </c>
      <c r="D434" s="11" t="str">
        <f aca="false">B434&amp;"-"&amp;C434</f>
        <v>2025-Q1</v>
      </c>
      <c r="E434" s="11" t="n">
        <f aca="false">MONTH(A434)</f>
        <v>1</v>
      </c>
      <c r="F434" s="11" t="str">
        <f aca="false">TEXT(A434,"mmm")</f>
        <v>Jan</v>
      </c>
      <c r="G434" s="11" t="s">
        <v>202</v>
      </c>
      <c r="H434" s="11" t="s">
        <v>203</v>
      </c>
      <c r="I434" s="12" t="n">
        <v>10632418</v>
      </c>
      <c r="J434" s="12" t="n">
        <v>3846739</v>
      </c>
      <c r="K434" s="13" t="n">
        <f aca="false">IF(I434=0,0,J434/I434)</f>
        <v>0.361793432124283</v>
      </c>
      <c r="L434" s="12" t="n">
        <v>1239434</v>
      </c>
      <c r="M434" s="12" t="n">
        <v>1833491</v>
      </c>
      <c r="N434" s="12" t="n">
        <v>255749</v>
      </c>
      <c r="O434" s="12" t="n">
        <v>228429</v>
      </c>
      <c r="P434" s="12" t="n">
        <f aca="false">M434+N434+O434</f>
        <v>2317669</v>
      </c>
      <c r="Q434" s="13" t="n">
        <f aca="false">IF(I434=0,0,P434/I434)</f>
        <v>0.217981366044864</v>
      </c>
      <c r="R434" s="13" t="n">
        <v>0.0403</v>
      </c>
      <c r="S434" s="14" t="n">
        <v>15427815</v>
      </c>
      <c r="T434" s="14" t="n">
        <v>1132894</v>
      </c>
      <c r="U434" s="14" t="n">
        <v>794836</v>
      </c>
      <c r="V434" s="14" t="n">
        <v>920076</v>
      </c>
      <c r="W434" s="14" t="n">
        <f aca="false">S434+T434+U434+V434</f>
        <v>18275621</v>
      </c>
      <c r="X434" s="15" t="n">
        <f aca="false">IF(P434=0,0,S434/P434)</f>
        <v>6.65660842855472</v>
      </c>
      <c r="Y434" s="15" t="n">
        <f aca="false">IF(J434=0,0,W434/J434)</f>
        <v>4.75093865219346</v>
      </c>
      <c r="Z434" s="14" t="n">
        <v>3236098</v>
      </c>
      <c r="AA434" s="15" t="n">
        <f aca="false">IF(L434=0,0,Z434/L434)</f>
        <v>2.61094822314056</v>
      </c>
      <c r="AB434" s="12" t="n">
        <v>306260764</v>
      </c>
      <c r="AC434" s="16" t="n">
        <v>13.1</v>
      </c>
      <c r="AD434" s="16" t="n">
        <v>25.9</v>
      </c>
      <c r="AE434" s="13" t="n">
        <v>0.422</v>
      </c>
      <c r="AF434" s="13" t="n">
        <v>0.587</v>
      </c>
      <c r="AG434" s="13" t="n">
        <v>0.36</v>
      </c>
      <c r="AH434" s="13" t="n">
        <v>0.213</v>
      </c>
      <c r="AI434" s="17" t="n">
        <v>4.71</v>
      </c>
    </row>
    <row r="435" customFormat="false" ht="15" hidden="false" customHeight="false" outlineLevel="0" collapsed="false">
      <c r="A435" s="10" t="n">
        <v>45658</v>
      </c>
      <c r="B435" s="11" t="n">
        <f aca="false">YEAR(A435)</f>
        <v>2025</v>
      </c>
      <c r="C435" s="11" t="str">
        <f aca="false">"Q"&amp;ROUNDUP(MONTH(A435)/3,0)</f>
        <v>Q1</v>
      </c>
      <c r="D435" s="11" t="str">
        <f aca="false">B435&amp;"-"&amp;C435</f>
        <v>2025-Q1</v>
      </c>
      <c r="E435" s="11" t="n">
        <f aca="false">MONTH(A435)</f>
        <v>1</v>
      </c>
      <c r="F435" s="11" t="str">
        <f aca="false">TEXT(A435,"mmm")</f>
        <v>Jan</v>
      </c>
      <c r="G435" s="11" t="s">
        <v>202</v>
      </c>
      <c r="H435" s="11" t="s">
        <v>204</v>
      </c>
      <c r="I435" s="12" t="n">
        <v>12172380</v>
      </c>
      <c r="J435" s="12" t="n">
        <v>4133703</v>
      </c>
      <c r="K435" s="13" t="n">
        <f aca="false">IF(I435=0,0,J435/I435)</f>
        <v>0.33959693995751</v>
      </c>
      <c r="L435" s="12" t="n">
        <v>1742214</v>
      </c>
      <c r="M435" s="12" t="n">
        <v>1151720</v>
      </c>
      <c r="N435" s="12" t="n">
        <v>141186</v>
      </c>
      <c r="O435" s="12" t="n">
        <v>103200</v>
      </c>
      <c r="P435" s="12" t="n">
        <f aca="false">M435+N435+O435</f>
        <v>1396106</v>
      </c>
      <c r="Q435" s="13" t="n">
        <f aca="false">IF(I435=0,0,P435/I435)</f>
        <v>0.114694579038775</v>
      </c>
      <c r="R435" s="13" t="n">
        <v>0.0406</v>
      </c>
      <c r="S435" s="14" t="n">
        <v>9184522</v>
      </c>
      <c r="T435" s="14" t="n">
        <v>664476</v>
      </c>
      <c r="U435" s="14" t="n">
        <v>449985</v>
      </c>
      <c r="V435" s="14" t="n">
        <v>528610</v>
      </c>
      <c r="W435" s="14" t="n">
        <f aca="false">S435+T435+U435+V435</f>
        <v>10827593</v>
      </c>
      <c r="X435" s="15" t="n">
        <f aca="false">IF(P435=0,0,S435/P435)</f>
        <v>6.57867096051446</v>
      </c>
      <c r="Y435" s="15" t="n">
        <f aca="false">IF(J435=0,0,W435/J435)</f>
        <v>2.6193446892532</v>
      </c>
      <c r="Z435" s="14" t="n">
        <v>1495691</v>
      </c>
      <c r="AA435" s="15" t="n">
        <f aca="false">IF(L435=0,0,Z435/L435)</f>
        <v>0.858500161289027</v>
      </c>
      <c r="AB435" s="12" t="n">
        <v>311206697</v>
      </c>
      <c r="AC435" s="16" t="n">
        <v>12.8</v>
      </c>
      <c r="AD435" s="16" t="n">
        <v>24.1</v>
      </c>
      <c r="AE435" s="13" t="n">
        <v>0.423</v>
      </c>
      <c r="AF435" s="13" t="n">
        <v>0.597</v>
      </c>
      <c r="AG435" s="13" t="n">
        <v>0.358</v>
      </c>
      <c r="AH435" s="13" t="n">
        <v>0.219</v>
      </c>
      <c r="AI435" s="17" t="n">
        <v>4.67</v>
      </c>
    </row>
    <row r="436" customFormat="false" ht="15" hidden="false" customHeight="false" outlineLevel="0" collapsed="false">
      <c r="A436" s="10" t="n">
        <v>45658</v>
      </c>
      <c r="B436" s="11" t="n">
        <f aca="false">YEAR(A436)</f>
        <v>2025</v>
      </c>
      <c r="C436" s="11" t="str">
        <f aca="false">"Q"&amp;ROUNDUP(MONTH(A436)/3,0)</f>
        <v>Q1</v>
      </c>
      <c r="D436" s="11" t="str">
        <f aca="false">B436&amp;"-"&amp;C436</f>
        <v>2025-Q1</v>
      </c>
      <c r="E436" s="11" t="n">
        <f aca="false">MONTH(A436)</f>
        <v>1</v>
      </c>
      <c r="F436" s="11" t="str">
        <f aca="false">TEXT(A436,"mmm")</f>
        <v>Jan</v>
      </c>
      <c r="G436" s="11" t="s">
        <v>202</v>
      </c>
      <c r="H436" s="11" t="s">
        <v>205</v>
      </c>
      <c r="I436" s="12" t="n">
        <v>3715639</v>
      </c>
      <c r="J436" s="12" t="n">
        <v>1146295</v>
      </c>
      <c r="K436" s="13" t="n">
        <f aca="false">IF(I436=0,0,J436/I436)</f>
        <v>0.30850548182964</v>
      </c>
      <c r="L436" s="12" t="n">
        <v>418803</v>
      </c>
      <c r="M436" s="12" t="n">
        <v>331487</v>
      </c>
      <c r="N436" s="12" t="n">
        <v>43468</v>
      </c>
      <c r="O436" s="12" t="n">
        <v>19436</v>
      </c>
      <c r="P436" s="12" t="n">
        <f aca="false">M436+N436+O436</f>
        <v>394391</v>
      </c>
      <c r="Q436" s="13" t="n">
        <f aca="false">IF(I436=0,0,P436/I436)</f>
        <v>0.106143519324671</v>
      </c>
      <c r="R436" s="13" t="n">
        <v>0.0432</v>
      </c>
      <c r="S436" s="14" t="n">
        <v>2345818</v>
      </c>
      <c r="T436" s="14" t="n">
        <v>162114</v>
      </c>
      <c r="U436" s="14" t="n">
        <v>105268</v>
      </c>
      <c r="V436" s="14" t="n">
        <v>135336</v>
      </c>
      <c r="W436" s="14" t="n">
        <f aca="false">S436+T436+U436+V436</f>
        <v>2748536</v>
      </c>
      <c r="X436" s="15" t="n">
        <f aca="false">IF(P436=0,0,S436/P436)</f>
        <v>5.94795013070785</v>
      </c>
      <c r="Y436" s="15" t="n">
        <f aca="false">IF(J436=0,0,W436/J436)</f>
        <v>2.39775624948203</v>
      </c>
      <c r="Z436" s="14" t="n">
        <v>418969</v>
      </c>
      <c r="AA436" s="15" t="n">
        <f aca="false">IF(L436=0,0,Z436/L436)</f>
        <v>1.00039636774331</v>
      </c>
      <c r="AB436" s="12" t="n">
        <v>95874658</v>
      </c>
      <c r="AC436" s="16" t="n">
        <v>11.6</v>
      </c>
      <c r="AD436" s="16" t="n">
        <v>25.1</v>
      </c>
      <c r="AE436" s="13" t="n">
        <v>0.431</v>
      </c>
      <c r="AF436" s="13" t="n">
        <v>0.597</v>
      </c>
      <c r="AG436" s="13" t="n">
        <v>0.372</v>
      </c>
      <c r="AH436" s="13" t="n">
        <v>0.213</v>
      </c>
      <c r="AI436" s="17"/>
    </row>
    <row r="437" customFormat="false" ht="15" hidden="false" customHeight="false" outlineLevel="0" collapsed="false">
      <c r="A437" s="10" t="n">
        <v>45658</v>
      </c>
      <c r="B437" s="11" t="n">
        <f aca="false">YEAR(A437)</f>
        <v>2025</v>
      </c>
      <c r="C437" s="11" t="str">
        <f aca="false">"Q"&amp;ROUNDUP(MONTH(A437)/3,0)</f>
        <v>Q1</v>
      </c>
      <c r="D437" s="11" t="str">
        <f aca="false">B437&amp;"-"&amp;C437</f>
        <v>2025-Q1</v>
      </c>
      <c r="E437" s="11" t="n">
        <f aca="false">MONTH(A437)</f>
        <v>1</v>
      </c>
      <c r="F437" s="11" t="str">
        <f aca="false">TEXT(A437,"mmm")</f>
        <v>Jan</v>
      </c>
      <c r="G437" s="11" t="s">
        <v>206</v>
      </c>
      <c r="H437" s="11" t="s">
        <v>203</v>
      </c>
      <c r="I437" s="12" t="n">
        <v>11178477</v>
      </c>
      <c r="J437" s="12" t="n">
        <v>4110130</v>
      </c>
      <c r="K437" s="13" t="n">
        <f aca="false">IF(I437=0,0,J437/I437)</f>
        <v>0.367682466940711</v>
      </c>
      <c r="L437" s="12" t="n">
        <v>1572874</v>
      </c>
      <c r="M437" s="12" t="n">
        <v>1352637</v>
      </c>
      <c r="N437" s="12" t="n">
        <v>157448</v>
      </c>
      <c r="O437" s="12" t="n">
        <v>99128</v>
      </c>
      <c r="P437" s="12" t="n">
        <f aca="false">M437+N437+O437</f>
        <v>1609213</v>
      </c>
      <c r="Q437" s="13" t="n">
        <f aca="false">IF(I437=0,0,P437/I437)</f>
        <v>0.143956372589933</v>
      </c>
      <c r="R437" s="13" t="n">
        <v>0.0411</v>
      </c>
      <c r="S437" s="14" t="n">
        <v>8851765</v>
      </c>
      <c r="T437" s="14" t="n">
        <v>692641</v>
      </c>
      <c r="U437" s="14" t="n">
        <v>426519</v>
      </c>
      <c r="V437" s="14" t="n">
        <v>515816</v>
      </c>
      <c r="W437" s="14" t="n">
        <f aca="false">S437+T437+U437+V437</f>
        <v>10486741</v>
      </c>
      <c r="X437" s="15" t="n">
        <f aca="false">IF(P437=0,0,S437/P437)</f>
        <v>5.50067952471177</v>
      </c>
      <c r="Y437" s="15" t="n">
        <f aca="false">IF(J437=0,0,W437/J437)</f>
        <v>2.55143778907237</v>
      </c>
      <c r="Z437" s="14" t="n">
        <v>1693409</v>
      </c>
      <c r="AA437" s="15" t="n">
        <f aca="false">IF(L437=0,0,Z437/L437)</f>
        <v>1.0766336019287</v>
      </c>
      <c r="AB437" s="12" t="n">
        <v>335106184</v>
      </c>
      <c r="AC437" s="16" t="n">
        <v>13.1</v>
      </c>
      <c r="AD437" s="16" t="n">
        <v>24.9</v>
      </c>
      <c r="AE437" s="13" t="n">
        <v>0.424</v>
      </c>
      <c r="AF437" s="13" t="n">
        <v>0.603</v>
      </c>
      <c r="AG437" s="13" t="n">
        <v>0.353</v>
      </c>
      <c r="AH437" s="13" t="n">
        <v>0.204</v>
      </c>
      <c r="AI437" s="17" t="n">
        <v>4.72</v>
      </c>
    </row>
    <row r="438" customFormat="false" ht="15" hidden="false" customHeight="false" outlineLevel="0" collapsed="false">
      <c r="A438" s="10" t="n">
        <v>45658</v>
      </c>
      <c r="B438" s="11" t="n">
        <f aca="false">YEAR(A438)</f>
        <v>2025</v>
      </c>
      <c r="C438" s="11" t="str">
        <f aca="false">"Q"&amp;ROUNDUP(MONTH(A438)/3,0)</f>
        <v>Q1</v>
      </c>
      <c r="D438" s="11" t="str">
        <f aca="false">B438&amp;"-"&amp;C438</f>
        <v>2025-Q1</v>
      </c>
      <c r="E438" s="11" t="n">
        <f aca="false">MONTH(A438)</f>
        <v>1</v>
      </c>
      <c r="F438" s="11" t="str">
        <f aca="false">TEXT(A438,"mmm")</f>
        <v>Jan</v>
      </c>
      <c r="G438" s="11" t="s">
        <v>206</v>
      </c>
      <c r="H438" s="11" t="s">
        <v>204</v>
      </c>
      <c r="I438" s="12" t="n">
        <v>13065959</v>
      </c>
      <c r="J438" s="12" t="n">
        <v>4386003</v>
      </c>
      <c r="K438" s="13" t="n">
        <f aca="false">IF(I438=0,0,J438/I438)</f>
        <v>0.335681674800908</v>
      </c>
      <c r="L438" s="12" t="n">
        <v>1790249</v>
      </c>
      <c r="M438" s="12" t="n">
        <v>783256</v>
      </c>
      <c r="N438" s="12" t="n">
        <v>95979</v>
      </c>
      <c r="O438" s="12" t="n">
        <v>42588</v>
      </c>
      <c r="P438" s="12" t="n">
        <f aca="false">M438+N438+O438</f>
        <v>921823</v>
      </c>
      <c r="Q438" s="13" t="n">
        <f aca="false">IF(I438=0,0,P438/I438)</f>
        <v>0.0705514995110577</v>
      </c>
      <c r="R438" s="13" t="n">
        <v>0.0385</v>
      </c>
      <c r="S438" s="14" t="n">
        <v>5280229</v>
      </c>
      <c r="T438" s="14" t="n">
        <v>385511</v>
      </c>
      <c r="U438" s="14" t="n">
        <v>249124</v>
      </c>
      <c r="V438" s="14" t="n">
        <v>301606</v>
      </c>
      <c r="W438" s="14" t="n">
        <f aca="false">S438+T438+U438+V438</f>
        <v>6216470</v>
      </c>
      <c r="X438" s="15" t="n">
        <f aca="false">IF(P438=0,0,S438/P438)</f>
        <v>5.72802913357554</v>
      </c>
      <c r="Y438" s="15" t="n">
        <f aca="false">IF(J438=0,0,W438/J438)</f>
        <v>1.41734285179468</v>
      </c>
      <c r="Z438" s="14" t="n">
        <v>1144338</v>
      </c>
      <c r="AA438" s="15" t="n">
        <f aca="false">IF(L438=0,0,Z438/L438)</f>
        <v>0.639206054576766</v>
      </c>
      <c r="AB438" s="12" t="n">
        <v>372717421</v>
      </c>
      <c r="AC438" s="16" t="n">
        <v>12.5</v>
      </c>
      <c r="AD438" s="16" t="n">
        <v>24.6</v>
      </c>
      <c r="AE438" s="13" t="n">
        <v>0.432</v>
      </c>
      <c r="AF438" s="13" t="n">
        <v>0.601</v>
      </c>
      <c r="AG438" s="13" t="n">
        <v>0.365</v>
      </c>
      <c r="AH438" s="13" t="n">
        <v>0.207</v>
      </c>
      <c r="AI438" s="17" t="n">
        <v>4.65</v>
      </c>
    </row>
    <row r="439" customFormat="false" ht="15" hidden="false" customHeight="false" outlineLevel="0" collapsed="false">
      <c r="A439" s="10" t="n">
        <v>45658</v>
      </c>
      <c r="B439" s="11" t="n">
        <f aca="false">YEAR(A439)</f>
        <v>2025</v>
      </c>
      <c r="C439" s="11" t="str">
        <f aca="false">"Q"&amp;ROUNDUP(MONTH(A439)/3,0)</f>
        <v>Q1</v>
      </c>
      <c r="D439" s="11" t="str">
        <f aca="false">B439&amp;"-"&amp;C439</f>
        <v>2025-Q1</v>
      </c>
      <c r="E439" s="11" t="n">
        <f aca="false">MONTH(A439)</f>
        <v>1</v>
      </c>
      <c r="F439" s="11" t="str">
        <f aca="false">TEXT(A439,"mmm")</f>
        <v>Jan</v>
      </c>
      <c r="G439" s="11" t="s">
        <v>206</v>
      </c>
      <c r="H439" s="11" t="s">
        <v>205</v>
      </c>
      <c r="I439" s="12" t="n">
        <v>4381634</v>
      </c>
      <c r="J439" s="12" t="n">
        <v>1356516</v>
      </c>
      <c r="K439" s="13" t="n">
        <f aca="false">IF(I439=0,0,J439/I439)</f>
        <v>0.309591353362695</v>
      </c>
      <c r="L439" s="12" t="n">
        <v>479133</v>
      </c>
      <c r="M439" s="12" t="n">
        <v>191153</v>
      </c>
      <c r="N439" s="12" t="n">
        <v>23132</v>
      </c>
      <c r="O439" s="12" t="n">
        <v>6810</v>
      </c>
      <c r="P439" s="12" t="n">
        <f aca="false">M439+N439+O439</f>
        <v>221095</v>
      </c>
      <c r="Q439" s="13" t="n">
        <f aca="false">IF(I439=0,0,P439/I439)</f>
        <v>0.0504594861186489</v>
      </c>
      <c r="R439" s="13" t="n">
        <v>0.0441</v>
      </c>
      <c r="S439" s="14" t="n">
        <v>1394749</v>
      </c>
      <c r="T439" s="14" t="n">
        <v>101805</v>
      </c>
      <c r="U439" s="14" t="n">
        <v>63683</v>
      </c>
      <c r="V439" s="14" t="n">
        <v>78493</v>
      </c>
      <c r="W439" s="14" t="n">
        <f aca="false">S439+T439+U439+V439</f>
        <v>1638730</v>
      </c>
      <c r="X439" s="15" t="n">
        <f aca="false">IF(P439=0,0,S439/P439)</f>
        <v>6.30836970533029</v>
      </c>
      <c r="Y439" s="15" t="n">
        <f aca="false">IF(J439=0,0,W439/J439)</f>
        <v>1.20804325197786</v>
      </c>
      <c r="Z439" s="14" t="n">
        <v>267727</v>
      </c>
      <c r="AA439" s="15" t="n">
        <f aca="false">IF(L439=0,0,Z439/L439)</f>
        <v>0.558773868633553</v>
      </c>
      <c r="AB439" s="12" t="n">
        <v>111738672</v>
      </c>
      <c r="AC439" s="16" t="n">
        <v>11.5</v>
      </c>
      <c r="AD439" s="16" t="n">
        <v>24.4</v>
      </c>
      <c r="AE439" s="13" t="n">
        <v>0.426</v>
      </c>
      <c r="AF439" s="13" t="n">
        <v>0.598</v>
      </c>
      <c r="AG439" s="13" t="n">
        <v>0.364</v>
      </c>
      <c r="AH439" s="13" t="n">
        <v>0.21</v>
      </c>
      <c r="AI439" s="17"/>
    </row>
    <row r="440" customFormat="false" ht="15" hidden="false" customHeight="false" outlineLevel="0" collapsed="false">
      <c r="A440" s="10" t="n">
        <v>45658</v>
      </c>
      <c r="B440" s="11" t="n">
        <f aca="false">YEAR(A440)</f>
        <v>2025</v>
      </c>
      <c r="C440" s="11" t="str">
        <f aca="false">"Q"&amp;ROUNDUP(MONTH(A440)/3,0)</f>
        <v>Q1</v>
      </c>
      <c r="D440" s="11" t="str">
        <f aca="false">B440&amp;"-"&amp;C440</f>
        <v>2025-Q1</v>
      </c>
      <c r="E440" s="11" t="n">
        <f aca="false">MONTH(A440)</f>
        <v>1</v>
      </c>
      <c r="F440" s="11" t="str">
        <f aca="false">TEXT(A440,"mmm")</f>
        <v>Jan</v>
      </c>
      <c r="G440" s="11" t="s">
        <v>207</v>
      </c>
      <c r="H440" s="11" t="s">
        <v>203</v>
      </c>
      <c r="I440" s="12" t="n">
        <v>9573631</v>
      </c>
      <c r="J440" s="12" t="n">
        <v>3283388</v>
      </c>
      <c r="K440" s="13" t="n">
        <f aca="false">IF(I440=0,0,J440/I440)</f>
        <v>0.342961620308951</v>
      </c>
      <c r="L440" s="12" t="n">
        <v>1283730</v>
      </c>
      <c r="M440" s="12" t="n">
        <v>699067</v>
      </c>
      <c r="N440" s="12" t="n">
        <v>91041</v>
      </c>
      <c r="O440" s="12" t="n">
        <v>35605</v>
      </c>
      <c r="P440" s="12" t="n">
        <f aca="false">M440+N440+O440</f>
        <v>825713</v>
      </c>
      <c r="Q440" s="13" t="n">
        <f aca="false">IF(I440=0,0,P440/I440)</f>
        <v>0.0862486761814822</v>
      </c>
      <c r="R440" s="13" t="n">
        <v>0.0415</v>
      </c>
      <c r="S440" s="14" t="n">
        <v>5140892</v>
      </c>
      <c r="T440" s="14" t="n">
        <v>356554</v>
      </c>
      <c r="U440" s="14" t="n">
        <v>255961</v>
      </c>
      <c r="V440" s="14" t="n">
        <v>294247</v>
      </c>
      <c r="W440" s="14" t="n">
        <f aca="false">S440+T440+U440+V440</f>
        <v>6047654</v>
      </c>
      <c r="X440" s="15" t="n">
        <f aca="false">IF(P440=0,0,S440/P440)</f>
        <v>6.22600346609536</v>
      </c>
      <c r="Y440" s="15" t="n">
        <f aca="false">IF(J440=0,0,W440/J440)</f>
        <v>1.84189440906771</v>
      </c>
      <c r="Z440" s="14" t="n">
        <v>853486</v>
      </c>
      <c r="AA440" s="15" t="n">
        <f aca="false">IF(L440=0,0,Z440/L440)</f>
        <v>0.664848527338303</v>
      </c>
      <c r="AB440" s="12" t="n">
        <v>271569760</v>
      </c>
      <c r="AC440" s="16" t="n">
        <v>13.3</v>
      </c>
      <c r="AD440" s="16" t="n">
        <v>24.9</v>
      </c>
      <c r="AE440" s="13" t="n">
        <v>0.43</v>
      </c>
      <c r="AF440" s="13" t="n">
        <v>0.602</v>
      </c>
      <c r="AG440" s="13" t="n">
        <v>0.356</v>
      </c>
      <c r="AH440" s="13" t="n">
        <v>0.213</v>
      </c>
      <c r="AI440" s="17" t="n">
        <v>4.71</v>
      </c>
    </row>
    <row r="441" customFormat="false" ht="15" hidden="false" customHeight="false" outlineLevel="0" collapsed="false">
      <c r="A441" s="10" t="n">
        <v>45658</v>
      </c>
      <c r="B441" s="11" t="n">
        <f aca="false">YEAR(A441)</f>
        <v>2025</v>
      </c>
      <c r="C441" s="11" t="str">
        <f aca="false">"Q"&amp;ROUNDUP(MONTH(A441)/3,0)</f>
        <v>Q1</v>
      </c>
      <c r="D441" s="11" t="str">
        <f aca="false">B441&amp;"-"&amp;C441</f>
        <v>2025-Q1</v>
      </c>
      <c r="E441" s="11" t="n">
        <f aca="false">MONTH(A441)</f>
        <v>1</v>
      </c>
      <c r="F441" s="11" t="str">
        <f aca="false">TEXT(A441,"mmm")</f>
        <v>Jan</v>
      </c>
      <c r="G441" s="11" t="s">
        <v>207</v>
      </c>
      <c r="H441" s="11" t="s">
        <v>204</v>
      </c>
      <c r="I441" s="12" t="n">
        <v>12757419</v>
      </c>
      <c r="J441" s="12" t="n">
        <v>4126321</v>
      </c>
      <c r="K441" s="13" t="n">
        <f aca="false">IF(I441=0,0,J441/I441)</f>
        <v>0.323444812779137</v>
      </c>
      <c r="L441" s="12" t="n">
        <v>1459887</v>
      </c>
      <c r="M441" s="12" t="n">
        <v>421462</v>
      </c>
      <c r="N441" s="12" t="n">
        <v>45233</v>
      </c>
      <c r="O441" s="12" t="n">
        <v>15597</v>
      </c>
      <c r="P441" s="12" t="n">
        <f aca="false">M441+N441+O441</f>
        <v>482292</v>
      </c>
      <c r="Q441" s="13" t="n">
        <f aca="false">IF(I441=0,0,P441/I441)</f>
        <v>0.0378048255685574</v>
      </c>
      <c r="R441" s="13" t="n">
        <v>0.0392</v>
      </c>
      <c r="S441" s="14" t="n">
        <v>2781816</v>
      </c>
      <c r="T441" s="14" t="n">
        <v>218370</v>
      </c>
      <c r="U441" s="14" t="n">
        <v>137122</v>
      </c>
      <c r="V441" s="14" t="n">
        <v>158348</v>
      </c>
      <c r="W441" s="14" t="n">
        <f aca="false">S441+T441+U441+V441</f>
        <v>3295656</v>
      </c>
      <c r="X441" s="15" t="n">
        <f aca="false">IF(P441=0,0,S441/P441)</f>
        <v>5.76790823816277</v>
      </c>
      <c r="Y441" s="15" t="n">
        <f aca="false">IF(J441=0,0,W441/J441)</f>
        <v>0.798691134305838</v>
      </c>
      <c r="Z441" s="14" t="n">
        <v>507880</v>
      </c>
      <c r="AA441" s="15" t="n">
        <f aca="false">IF(L441=0,0,Z441/L441)</f>
        <v>0.347889939426819</v>
      </c>
      <c r="AB441" s="12" t="n">
        <v>333779792</v>
      </c>
      <c r="AC441" s="16" t="n">
        <v>13.1</v>
      </c>
      <c r="AD441" s="16" t="n">
        <v>25.4</v>
      </c>
      <c r="AE441" s="13" t="n">
        <v>0.437</v>
      </c>
      <c r="AF441" s="13" t="n">
        <v>0.601</v>
      </c>
      <c r="AG441" s="13" t="n">
        <v>0.352</v>
      </c>
      <c r="AH441" s="13" t="n">
        <v>0.217</v>
      </c>
      <c r="AI441" s="17" t="n">
        <v>4.63</v>
      </c>
    </row>
    <row r="442" customFormat="false" ht="15" hidden="false" customHeight="false" outlineLevel="0" collapsed="false">
      <c r="A442" s="10" t="n">
        <v>45658</v>
      </c>
      <c r="B442" s="11" t="n">
        <f aca="false">YEAR(A442)</f>
        <v>2025</v>
      </c>
      <c r="C442" s="11" t="str">
        <f aca="false">"Q"&amp;ROUNDUP(MONTH(A442)/3,0)</f>
        <v>Q1</v>
      </c>
      <c r="D442" s="11" t="str">
        <f aca="false">B442&amp;"-"&amp;C442</f>
        <v>2025-Q1</v>
      </c>
      <c r="E442" s="11" t="n">
        <f aca="false">MONTH(A442)</f>
        <v>1</v>
      </c>
      <c r="F442" s="11" t="str">
        <f aca="false">TEXT(A442,"mmm")</f>
        <v>Jan</v>
      </c>
      <c r="G442" s="11" t="s">
        <v>207</v>
      </c>
      <c r="H442" s="11" t="s">
        <v>205</v>
      </c>
      <c r="I442" s="12" t="n">
        <v>3632383</v>
      </c>
      <c r="J442" s="12" t="n">
        <v>1039138</v>
      </c>
      <c r="K442" s="13" t="n">
        <f aca="false">IF(I442=0,0,J442/I442)</f>
        <v>0.286076110366115</v>
      </c>
      <c r="L442" s="12" t="n">
        <v>423297</v>
      </c>
      <c r="M442" s="12" t="n">
        <v>109435</v>
      </c>
      <c r="N442" s="12" t="n">
        <v>12476</v>
      </c>
      <c r="O442" s="12" t="n">
        <v>2686</v>
      </c>
      <c r="P442" s="12" t="n">
        <f aca="false">M442+N442+O442</f>
        <v>124597</v>
      </c>
      <c r="Q442" s="13" t="n">
        <f aca="false">IF(I442=0,0,P442/I442)</f>
        <v>0.0343017242399824</v>
      </c>
      <c r="R442" s="13" t="n">
        <v>0.0419</v>
      </c>
      <c r="S442" s="14" t="n">
        <v>774990</v>
      </c>
      <c r="T442" s="14" t="n">
        <v>54584</v>
      </c>
      <c r="U442" s="14" t="n">
        <v>39325</v>
      </c>
      <c r="V442" s="14" t="n">
        <v>46274</v>
      </c>
      <c r="W442" s="14" t="n">
        <f aca="false">S442+T442+U442+V442</f>
        <v>915173</v>
      </c>
      <c r="X442" s="15" t="n">
        <f aca="false">IF(P442=0,0,S442/P442)</f>
        <v>6.21997319357609</v>
      </c>
      <c r="Y442" s="15" t="n">
        <f aca="false">IF(J442=0,0,W442/J442)</f>
        <v>0.880704006590078</v>
      </c>
      <c r="Z442" s="14" t="n">
        <v>135254</v>
      </c>
      <c r="AA442" s="15" t="n">
        <f aca="false">IF(L442=0,0,Z442/L442)</f>
        <v>0.319525061599775</v>
      </c>
      <c r="AB442" s="12" t="n">
        <v>86665030</v>
      </c>
      <c r="AC442" s="16" t="n">
        <v>11.7</v>
      </c>
      <c r="AD442" s="16" t="n">
        <v>25</v>
      </c>
      <c r="AE442" s="13" t="n">
        <v>0.441</v>
      </c>
      <c r="AF442" s="13" t="n">
        <v>0.582</v>
      </c>
      <c r="AG442" s="13" t="n">
        <v>0.367</v>
      </c>
      <c r="AH442" s="13" t="n">
        <v>0.221</v>
      </c>
      <c r="AI442" s="17"/>
    </row>
    <row r="443" customFormat="false" ht="15" hidden="false" customHeight="false" outlineLevel="0" collapsed="false">
      <c r="A443" s="10" t="n">
        <v>45658</v>
      </c>
      <c r="B443" s="11" t="n">
        <f aca="false">YEAR(A443)</f>
        <v>2025</v>
      </c>
      <c r="C443" s="11" t="str">
        <f aca="false">"Q"&amp;ROUNDUP(MONTH(A443)/3,0)</f>
        <v>Q1</v>
      </c>
      <c r="D443" s="11" t="str">
        <f aca="false">B443&amp;"-"&amp;C443</f>
        <v>2025-Q1</v>
      </c>
      <c r="E443" s="11" t="n">
        <f aca="false">MONTH(A443)</f>
        <v>1</v>
      </c>
      <c r="F443" s="11" t="str">
        <f aca="false">TEXT(A443,"mmm")</f>
        <v>Jan</v>
      </c>
      <c r="G443" s="11" t="s">
        <v>208</v>
      </c>
      <c r="H443" s="11" t="s">
        <v>203</v>
      </c>
      <c r="I443" s="12" t="n">
        <v>7738819</v>
      </c>
      <c r="J443" s="12" t="n">
        <v>2961342</v>
      </c>
      <c r="K443" s="13" t="n">
        <f aca="false">IF(I443=0,0,J443/I443)</f>
        <v>0.38266071347579</v>
      </c>
      <c r="L443" s="12" t="n">
        <v>1007999</v>
      </c>
      <c r="M443" s="12" t="n">
        <v>330308</v>
      </c>
      <c r="N443" s="12" t="n">
        <v>39865</v>
      </c>
      <c r="O443" s="12" t="n">
        <v>11764</v>
      </c>
      <c r="P443" s="12" t="n">
        <f aca="false">M443+N443+O443</f>
        <v>381937</v>
      </c>
      <c r="Q443" s="13" t="n">
        <f aca="false">IF(I443=0,0,P443/I443)</f>
        <v>0.049353396170656</v>
      </c>
      <c r="R443" s="13" t="n">
        <v>0.0389</v>
      </c>
      <c r="S443" s="14" t="n">
        <v>2361920</v>
      </c>
      <c r="T443" s="14" t="n">
        <v>177289</v>
      </c>
      <c r="U443" s="14" t="n">
        <v>115303</v>
      </c>
      <c r="V443" s="14" t="n">
        <v>128663</v>
      </c>
      <c r="W443" s="14" t="n">
        <f aca="false">S443+T443+U443+V443</f>
        <v>2783175</v>
      </c>
      <c r="X443" s="15" t="n">
        <f aca="false">IF(P443=0,0,S443/P443)</f>
        <v>6.1840565328837</v>
      </c>
      <c r="Y443" s="15" t="n">
        <f aca="false">IF(J443=0,0,W443/J443)</f>
        <v>0.93983572312823</v>
      </c>
      <c r="Z443" s="14" t="n">
        <v>466776</v>
      </c>
      <c r="AA443" s="15" t="n">
        <f aca="false">IF(L443=0,0,Z443/L443)</f>
        <v>0.463071887968143</v>
      </c>
      <c r="AB443" s="12" t="n">
        <v>244436721</v>
      </c>
      <c r="AC443" s="16" t="n">
        <v>13.3</v>
      </c>
      <c r="AD443" s="16" t="n">
        <v>25</v>
      </c>
      <c r="AE443" s="13" t="n">
        <v>0.439</v>
      </c>
      <c r="AF443" s="13" t="n">
        <v>0.595</v>
      </c>
      <c r="AG443" s="13" t="n">
        <v>0.358</v>
      </c>
      <c r="AH443" s="13" t="n">
        <v>0.219</v>
      </c>
      <c r="AI443" s="17" t="n">
        <v>4.73</v>
      </c>
    </row>
    <row r="444" customFormat="false" ht="15" hidden="false" customHeight="false" outlineLevel="0" collapsed="false">
      <c r="A444" s="10" t="n">
        <v>45658</v>
      </c>
      <c r="B444" s="11" t="n">
        <f aca="false">YEAR(A444)</f>
        <v>2025</v>
      </c>
      <c r="C444" s="11" t="str">
        <f aca="false">"Q"&amp;ROUNDUP(MONTH(A444)/3,0)</f>
        <v>Q1</v>
      </c>
      <c r="D444" s="11" t="str">
        <f aca="false">B444&amp;"-"&amp;C444</f>
        <v>2025-Q1</v>
      </c>
      <c r="E444" s="11" t="n">
        <f aca="false">MONTH(A444)</f>
        <v>1</v>
      </c>
      <c r="F444" s="11" t="str">
        <f aca="false">TEXT(A444,"mmm")</f>
        <v>Jan</v>
      </c>
      <c r="G444" s="11" t="s">
        <v>208</v>
      </c>
      <c r="H444" s="11" t="s">
        <v>204</v>
      </c>
      <c r="I444" s="12" t="n">
        <v>10983132</v>
      </c>
      <c r="J444" s="12" t="n">
        <v>3564713</v>
      </c>
      <c r="K444" s="13" t="n">
        <f aca="false">IF(I444=0,0,J444/I444)</f>
        <v>0.324562520053478</v>
      </c>
      <c r="L444" s="12" t="n">
        <v>1159402</v>
      </c>
      <c r="M444" s="12" t="n">
        <v>192247</v>
      </c>
      <c r="N444" s="12" t="n">
        <v>21204</v>
      </c>
      <c r="O444" s="12" t="n">
        <v>5047</v>
      </c>
      <c r="P444" s="12" t="n">
        <f aca="false">M444+N444+O444</f>
        <v>218498</v>
      </c>
      <c r="Q444" s="13" t="n">
        <f aca="false">IF(I444=0,0,P444/I444)</f>
        <v>0.0198939610304237</v>
      </c>
      <c r="R444" s="13" t="n">
        <v>0.0394</v>
      </c>
      <c r="S444" s="14" t="n">
        <v>1267715</v>
      </c>
      <c r="T444" s="14" t="n">
        <v>95352</v>
      </c>
      <c r="U444" s="14" t="n">
        <v>59918</v>
      </c>
      <c r="V444" s="14" t="n">
        <v>74202</v>
      </c>
      <c r="W444" s="14" t="n">
        <f aca="false">S444+T444+U444+V444</f>
        <v>1497187</v>
      </c>
      <c r="X444" s="15" t="n">
        <f aca="false">IF(P444=0,0,S444/P444)</f>
        <v>5.80195242061712</v>
      </c>
      <c r="Y444" s="15" t="n">
        <f aca="false">IF(J444=0,0,W444/J444)</f>
        <v>0.420002115177295</v>
      </c>
      <c r="Z444" s="14" t="n">
        <v>249145</v>
      </c>
      <c r="AA444" s="15" t="n">
        <f aca="false">IF(L444=0,0,Z444/L444)</f>
        <v>0.214890952404774</v>
      </c>
      <c r="AB444" s="12" t="n">
        <v>295845994</v>
      </c>
      <c r="AC444" s="16" t="n">
        <v>12.7</v>
      </c>
      <c r="AD444" s="16" t="n">
        <v>23.9</v>
      </c>
      <c r="AE444" s="13" t="n">
        <v>0.43</v>
      </c>
      <c r="AF444" s="13" t="n">
        <v>0.608</v>
      </c>
      <c r="AG444" s="13" t="n">
        <v>0.35</v>
      </c>
      <c r="AH444" s="13" t="n">
        <v>0.215</v>
      </c>
      <c r="AI444" s="17" t="n">
        <v>4.71</v>
      </c>
    </row>
    <row r="445" customFormat="false" ht="15" hidden="false" customHeight="false" outlineLevel="0" collapsed="false">
      <c r="A445" s="10" t="n">
        <v>45658</v>
      </c>
      <c r="B445" s="11" t="n">
        <f aca="false">YEAR(A445)</f>
        <v>2025</v>
      </c>
      <c r="C445" s="11" t="str">
        <f aca="false">"Q"&amp;ROUNDUP(MONTH(A445)/3,0)</f>
        <v>Q1</v>
      </c>
      <c r="D445" s="11" t="str">
        <f aca="false">B445&amp;"-"&amp;C445</f>
        <v>2025-Q1</v>
      </c>
      <c r="E445" s="11" t="n">
        <f aca="false">MONTH(A445)</f>
        <v>1</v>
      </c>
      <c r="F445" s="11" t="str">
        <f aca="false">TEXT(A445,"mmm")</f>
        <v>Jan</v>
      </c>
      <c r="G445" s="11" t="s">
        <v>208</v>
      </c>
      <c r="H445" s="11" t="s">
        <v>205</v>
      </c>
      <c r="I445" s="12" t="n">
        <v>2978794</v>
      </c>
      <c r="J445" s="12" t="n">
        <v>924111</v>
      </c>
      <c r="K445" s="13" t="n">
        <f aca="false">IF(I445=0,0,J445/I445)</f>
        <v>0.310229911836804</v>
      </c>
      <c r="L445" s="12" t="n">
        <v>352086</v>
      </c>
      <c r="M445" s="12" t="n">
        <v>55575</v>
      </c>
      <c r="N445" s="12" t="n">
        <v>6839</v>
      </c>
      <c r="O445" s="12" t="n">
        <v>976</v>
      </c>
      <c r="P445" s="12" t="n">
        <f aca="false">M445+N445+O445</f>
        <v>63390</v>
      </c>
      <c r="Q445" s="13" t="n">
        <f aca="false">IF(I445=0,0,P445/I445)</f>
        <v>0.0212804242253744</v>
      </c>
      <c r="R445" s="13" t="n">
        <v>0.043</v>
      </c>
      <c r="S445" s="14" t="n">
        <v>376506</v>
      </c>
      <c r="T445" s="14" t="n">
        <v>28579</v>
      </c>
      <c r="U445" s="14" t="n">
        <v>18081</v>
      </c>
      <c r="V445" s="14" t="n">
        <v>22606</v>
      </c>
      <c r="W445" s="14" t="n">
        <f aca="false">S445+T445+U445+V445</f>
        <v>445772</v>
      </c>
      <c r="X445" s="15" t="n">
        <f aca="false">IF(P445=0,0,S445/P445)</f>
        <v>5.93951727401798</v>
      </c>
      <c r="Y445" s="15" t="n">
        <f aca="false">IF(J445=0,0,W445/J445)</f>
        <v>0.482379281276816</v>
      </c>
      <c r="Z445" s="14" t="n">
        <v>72691</v>
      </c>
      <c r="AA445" s="15" t="n">
        <f aca="false">IF(L445=0,0,Z445/L445)</f>
        <v>0.206458081264237</v>
      </c>
      <c r="AB445" s="12" t="n">
        <v>74780528</v>
      </c>
      <c r="AC445" s="16" t="n">
        <v>11.6</v>
      </c>
      <c r="AD445" s="16" t="n">
        <v>24.9</v>
      </c>
      <c r="AE445" s="13" t="n">
        <v>0.425</v>
      </c>
      <c r="AF445" s="13" t="n">
        <v>0.609</v>
      </c>
      <c r="AG445" s="13" t="n">
        <v>0.363</v>
      </c>
      <c r="AH445" s="13" t="n">
        <v>0.216</v>
      </c>
      <c r="AI445" s="17"/>
    </row>
    <row r="446" customFormat="false" ht="15" hidden="false" customHeight="false" outlineLevel="0" collapsed="false">
      <c r="A446" s="10" t="n">
        <v>45658</v>
      </c>
      <c r="B446" s="11" t="n">
        <f aca="false">YEAR(A446)</f>
        <v>2025</v>
      </c>
      <c r="C446" s="11" t="str">
        <f aca="false">"Q"&amp;ROUNDUP(MONTH(A446)/3,0)</f>
        <v>Q1</v>
      </c>
      <c r="D446" s="11" t="str">
        <f aca="false">B446&amp;"-"&amp;C446</f>
        <v>2025-Q1</v>
      </c>
      <c r="E446" s="11" t="n">
        <f aca="false">MONTH(A446)</f>
        <v>1</v>
      </c>
      <c r="F446" s="11" t="str">
        <f aca="false">TEXT(A446,"mmm")</f>
        <v>Jan</v>
      </c>
      <c r="G446" s="11" t="s">
        <v>209</v>
      </c>
      <c r="H446" s="11" t="s">
        <v>203</v>
      </c>
      <c r="I446" s="12" t="n">
        <v>4591308</v>
      </c>
      <c r="J446" s="12" t="n">
        <v>1595147</v>
      </c>
      <c r="K446" s="13" t="n">
        <f aca="false">IF(I446=0,0,J446/I446)</f>
        <v>0.347427574015945</v>
      </c>
      <c r="L446" s="12" t="n">
        <v>655622</v>
      </c>
      <c r="M446" s="12" t="n">
        <v>141011</v>
      </c>
      <c r="N446" s="12" t="n">
        <v>16830</v>
      </c>
      <c r="O446" s="12" t="n">
        <v>3987</v>
      </c>
      <c r="P446" s="12" t="n">
        <f aca="false">M446+N446+O446</f>
        <v>161828</v>
      </c>
      <c r="Q446" s="13" t="n">
        <f aca="false">IF(I446=0,0,P446/I446)</f>
        <v>0.03524660075081</v>
      </c>
      <c r="R446" s="13" t="n">
        <v>0.0384</v>
      </c>
      <c r="S446" s="14" t="n">
        <v>931023</v>
      </c>
      <c r="T446" s="14" t="n">
        <v>62819</v>
      </c>
      <c r="U446" s="14" t="n">
        <v>43462</v>
      </c>
      <c r="V446" s="14" t="n">
        <v>52079</v>
      </c>
      <c r="W446" s="14" t="n">
        <f aca="false">S446+T446+U446+V446</f>
        <v>1089383</v>
      </c>
      <c r="X446" s="15" t="n">
        <f aca="false">IF(P446=0,0,S446/P446)</f>
        <v>5.75316385297971</v>
      </c>
      <c r="Y446" s="15" t="n">
        <f aca="false">IF(J446=0,0,W446/J446)</f>
        <v>0.682935804662517</v>
      </c>
      <c r="Z446" s="14" t="n">
        <v>175930</v>
      </c>
      <c r="AA446" s="15" t="n">
        <f aca="false">IF(L446=0,0,Z446/L446)</f>
        <v>0.26834059869864</v>
      </c>
      <c r="AB446" s="12" t="n">
        <v>135364503</v>
      </c>
      <c r="AC446" s="16" t="n">
        <v>13.2</v>
      </c>
      <c r="AD446" s="16" t="n">
        <v>23.1</v>
      </c>
      <c r="AE446" s="13" t="n">
        <v>0.438</v>
      </c>
      <c r="AF446" s="13" t="n">
        <v>0.591</v>
      </c>
      <c r="AG446" s="13" t="n">
        <v>0.353</v>
      </c>
      <c r="AH446" s="13" t="n">
        <v>0.216</v>
      </c>
      <c r="AI446" s="17" t="n">
        <v>4.72</v>
      </c>
    </row>
    <row r="447" customFormat="false" ht="15" hidden="false" customHeight="false" outlineLevel="0" collapsed="false">
      <c r="A447" s="10" t="n">
        <v>45658</v>
      </c>
      <c r="B447" s="11" t="n">
        <f aca="false">YEAR(A447)</f>
        <v>2025</v>
      </c>
      <c r="C447" s="11" t="str">
        <f aca="false">"Q"&amp;ROUNDUP(MONTH(A447)/3,0)</f>
        <v>Q1</v>
      </c>
      <c r="D447" s="11" t="str">
        <f aca="false">B447&amp;"-"&amp;C447</f>
        <v>2025-Q1</v>
      </c>
      <c r="E447" s="11" t="n">
        <f aca="false">MONTH(A447)</f>
        <v>1</v>
      </c>
      <c r="F447" s="11" t="str">
        <f aca="false">TEXT(A447,"mmm")</f>
        <v>Jan</v>
      </c>
      <c r="G447" s="11" t="s">
        <v>209</v>
      </c>
      <c r="H447" s="11" t="s">
        <v>204</v>
      </c>
      <c r="I447" s="12" t="n">
        <v>6036157</v>
      </c>
      <c r="J447" s="12" t="n">
        <v>1930108</v>
      </c>
      <c r="K447" s="13" t="n">
        <f aca="false">IF(I447=0,0,J447/I447)</f>
        <v>0.319757753153207</v>
      </c>
      <c r="L447" s="12" t="n">
        <v>713875</v>
      </c>
      <c r="M447" s="12" t="n">
        <v>79383</v>
      </c>
      <c r="N447" s="12" t="n">
        <v>8540</v>
      </c>
      <c r="O447" s="12" t="n">
        <v>1655</v>
      </c>
      <c r="P447" s="12" t="n">
        <f aca="false">M447+N447+O447</f>
        <v>89578</v>
      </c>
      <c r="Q447" s="13" t="n">
        <f aca="false">IF(I447=0,0,P447/I447)</f>
        <v>0.0148402369255803</v>
      </c>
      <c r="R447" s="13" t="n">
        <v>0.041</v>
      </c>
      <c r="S447" s="14" t="n">
        <v>512610</v>
      </c>
      <c r="T447" s="14" t="n">
        <v>35095</v>
      </c>
      <c r="U447" s="14" t="n">
        <v>28006</v>
      </c>
      <c r="V447" s="14" t="n">
        <v>31388</v>
      </c>
      <c r="W447" s="14" t="n">
        <f aca="false">S447+T447+U447+V447</f>
        <v>607099</v>
      </c>
      <c r="X447" s="15" t="n">
        <f aca="false">IF(P447=0,0,S447/P447)</f>
        <v>5.72249882783719</v>
      </c>
      <c r="Y447" s="15" t="n">
        <f aca="false">IF(J447=0,0,W447/J447)</f>
        <v>0.314541466073401</v>
      </c>
      <c r="Z447" s="14" t="n">
        <v>102303</v>
      </c>
      <c r="AA447" s="15" t="n">
        <f aca="false">IF(L447=0,0,Z447/L447)</f>
        <v>0.143306601295745</v>
      </c>
      <c r="AB447" s="12" t="n">
        <v>161110570</v>
      </c>
      <c r="AC447" s="16" t="n">
        <v>12.9</v>
      </c>
      <c r="AD447" s="16" t="n">
        <v>25.8</v>
      </c>
      <c r="AE447" s="13" t="n">
        <v>0.416</v>
      </c>
      <c r="AF447" s="13" t="n">
        <v>0.584</v>
      </c>
      <c r="AG447" s="13" t="n">
        <v>0.362</v>
      </c>
      <c r="AH447" s="13" t="n">
        <v>0.217</v>
      </c>
      <c r="AI447" s="17" t="n">
        <v>4.7</v>
      </c>
    </row>
    <row r="448" customFormat="false" ht="15" hidden="false" customHeight="false" outlineLevel="0" collapsed="false">
      <c r="A448" s="10" t="n">
        <v>45658</v>
      </c>
      <c r="B448" s="11" t="n">
        <f aca="false">YEAR(A448)</f>
        <v>2025</v>
      </c>
      <c r="C448" s="11" t="str">
        <f aca="false">"Q"&amp;ROUNDUP(MONTH(A448)/3,0)</f>
        <v>Q1</v>
      </c>
      <c r="D448" s="11" t="str">
        <f aca="false">B448&amp;"-"&amp;C448</f>
        <v>2025-Q1</v>
      </c>
      <c r="E448" s="11" t="n">
        <f aca="false">MONTH(A448)</f>
        <v>1</v>
      </c>
      <c r="F448" s="11" t="str">
        <f aca="false">TEXT(A448,"mmm")</f>
        <v>Jan</v>
      </c>
      <c r="G448" s="11" t="s">
        <v>209</v>
      </c>
      <c r="H448" s="11" t="s">
        <v>205</v>
      </c>
      <c r="I448" s="12" t="n">
        <v>1833958</v>
      </c>
      <c r="J448" s="12" t="n">
        <v>537202</v>
      </c>
      <c r="K448" s="13" t="n">
        <f aca="false">IF(I448=0,0,J448/I448)</f>
        <v>0.292919467076127</v>
      </c>
      <c r="L448" s="12" t="n">
        <v>195075</v>
      </c>
      <c r="M448" s="12" t="n">
        <v>20421</v>
      </c>
      <c r="N448" s="12" t="n">
        <v>2456</v>
      </c>
      <c r="O448" s="12" t="n">
        <v>285</v>
      </c>
      <c r="P448" s="12" t="n">
        <f aca="false">M448+N448+O448</f>
        <v>23162</v>
      </c>
      <c r="Q448" s="13" t="n">
        <f aca="false">IF(I448=0,0,P448/I448)</f>
        <v>0.0126295149616294</v>
      </c>
      <c r="R448" s="13" t="n">
        <v>0.0394</v>
      </c>
      <c r="S448" s="14" t="n">
        <v>143137</v>
      </c>
      <c r="T448" s="14" t="n">
        <v>11278</v>
      </c>
      <c r="U448" s="14" t="n">
        <v>7671</v>
      </c>
      <c r="V448" s="14" t="n">
        <v>8451</v>
      </c>
      <c r="W448" s="14" t="n">
        <f aca="false">S448+T448+U448+V448</f>
        <v>170537</v>
      </c>
      <c r="X448" s="15" t="n">
        <f aca="false">IF(P448=0,0,S448/P448)</f>
        <v>6.17982039547535</v>
      </c>
      <c r="Y448" s="15" t="n">
        <f aca="false">IF(J448=0,0,W448/J448)</f>
        <v>0.317454142017342</v>
      </c>
      <c r="Z448" s="14" t="n">
        <v>28872</v>
      </c>
      <c r="AA448" s="15" t="n">
        <f aca="false">IF(L448=0,0,Z448/L448)</f>
        <v>0.14800461361015</v>
      </c>
      <c r="AB448" s="12" t="n">
        <v>45827342</v>
      </c>
      <c r="AC448" s="16" t="n">
        <v>11.5</v>
      </c>
      <c r="AD448" s="16" t="n">
        <v>24.4</v>
      </c>
      <c r="AE448" s="13" t="n">
        <v>0.426</v>
      </c>
      <c r="AF448" s="13" t="n">
        <v>0.593</v>
      </c>
      <c r="AG448" s="13" t="n">
        <v>0.359</v>
      </c>
      <c r="AH448" s="13" t="n">
        <v>0.216</v>
      </c>
      <c r="AI448" s="17"/>
    </row>
    <row r="449" customFormat="false" ht="15" hidden="false" customHeight="false" outlineLevel="0" collapsed="false">
      <c r="A449" s="10" t="n">
        <v>45658</v>
      </c>
      <c r="B449" s="11" t="n">
        <f aca="false">YEAR(A449)</f>
        <v>2025</v>
      </c>
      <c r="C449" s="11" t="str">
        <f aca="false">"Q"&amp;ROUNDUP(MONTH(A449)/3,0)</f>
        <v>Q1</v>
      </c>
      <c r="D449" s="11" t="str">
        <f aca="false">B449&amp;"-"&amp;C449</f>
        <v>2025-Q1</v>
      </c>
      <c r="E449" s="11" t="n">
        <f aca="false">MONTH(A449)</f>
        <v>1</v>
      </c>
      <c r="F449" s="11" t="str">
        <f aca="false">TEXT(A449,"mmm")</f>
        <v>Jan</v>
      </c>
      <c r="G449" s="11" t="s">
        <v>210</v>
      </c>
      <c r="H449" s="11" t="s">
        <v>203</v>
      </c>
      <c r="I449" s="12" t="n">
        <v>6932496</v>
      </c>
      <c r="J449" s="12" t="n">
        <v>2404036</v>
      </c>
      <c r="K449" s="13" t="n">
        <f aca="false">IF(I449=0,0,J449/I449)</f>
        <v>0.346777841631643</v>
      </c>
      <c r="L449" s="12" t="n">
        <v>1054703</v>
      </c>
      <c r="M449" s="12" t="n">
        <v>269637</v>
      </c>
      <c r="N449" s="12" t="n">
        <v>27631</v>
      </c>
      <c r="O449" s="12" t="n">
        <v>7510</v>
      </c>
      <c r="P449" s="12" t="n">
        <f aca="false">M449+N449+O449</f>
        <v>304778</v>
      </c>
      <c r="Q449" s="13" t="n">
        <f aca="false">IF(I449=0,0,P449/I449)</f>
        <v>0.0439636748438081</v>
      </c>
      <c r="R449" s="13" t="n">
        <v>0.0374</v>
      </c>
      <c r="S449" s="14" t="n">
        <v>1983272</v>
      </c>
      <c r="T449" s="14" t="n">
        <v>142006</v>
      </c>
      <c r="U449" s="14" t="n">
        <v>100553</v>
      </c>
      <c r="V449" s="14" t="n">
        <v>107042</v>
      </c>
      <c r="W449" s="14" t="n">
        <f aca="false">S449+T449+U449+V449</f>
        <v>2332873</v>
      </c>
      <c r="X449" s="15" t="n">
        <f aca="false">IF(P449=0,0,S449/P449)</f>
        <v>6.50726758493067</v>
      </c>
      <c r="Y449" s="15" t="n">
        <f aca="false">IF(J449=0,0,W449/J449)</f>
        <v>0.97039852980571</v>
      </c>
      <c r="Z449" s="14" t="n">
        <v>401750</v>
      </c>
      <c r="AA449" s="15" t="n">
        <f aca="false">IF(L449=0,0,Z449/L449)</f>
        <v>0.380912920509376</v>
      </c>
      <c r="AB449" s="12" t="n">
        <v>204972398</v>
      </c>
      <c r="AC449" s="16" t="n">
        <v>13.1</v>
      </c>
      <c r="AD449" s="16" t="n">
        <v>23</v>
      </c>
      <c r="AE449" s="13" t="n">
        <v>0.418</v>
      </c>
      <c r="AF449" s="13" t="n">
        <v>0.585</v>
      </c>
      <c r="AG449" s="13" t="n">
        <v>0.358</v>
      </c>
      <c r="AH449" s="13" t="n">
        <v>0.226</v>
      </c>
      <c r="AI449" s="17" t="n">
        <v>4.74</v>
      </c>
    </row>
    <row r="450" customFormat="false" ht="15" hidden="false" customHeight="false" outlineLevel="0" collapsed="false">
      <c r="A450" s="10" t="n">
        <v>45658</v>
      </c>
      <c r="B450" s="11" t="n">
        <f aca="false">YEAR(A450)</f>
        <v>2025</v>
      </c>
      <c r="C450" s="11" t="str">
        <f aca="false">"Q"&amp;ROUNDUP(MONTH(A450)/3,0)</f>
        <v>Q1</v>
      </c>
      <c r="D450" s="11" t="str">
        <f aca="false">B450&amp;"-"&amp;C450</f>
        <v>2025-Q1</v>
      </c>
      <c r="E450" s="11" t="n">
        <f aca="false">MONTH(A450)</f>
        <v>1</v>
      </c>
      <c r="F450" s="11" t="str">
        <f aca="false">TEXT(A450,"mmm")</f>
        <v>Jan</v>
      </c>
      <c r="G450" s="11" t="s">
        <v>210</v>
      </c>
      <c r="H450" s="11" t="s">
        <v>204</v>
      </c>
      <c r="I450" s="12" t="n">
        <v>10258697</v>
      </c>
      <c r="J450" s="12" t="n">
        <v>3176252</v>
      </c>
      <c r="K450" s="13" t="n">
        <f aca="false">IF(I450=0,0,J450/I450)</f>
        <v>0.309615538893487</v>
      </c>
      <c r="L450" s="12" t="n">
        <v>1130461</v>
      </c>
      <c r="M450" s="12" t="n">
        <v>161759</v>
      </c>
      <c r="N450" s="12" t="n">
        <v>16892</v>
      </c>
      <c r="O450" s="12" t="n">
        <v>3364</v>
      </c>
      <c r="P450" s="12" t="n">
        <f aca="false">M450+N450+O450</f>
        <v>182015</v>
      </c>
      <c r="Q450" s="13" t="n">
        <f aca="false">IF(I450=0,0,P450/I450)</f>
        <v>0.017742506675068</v>
      </c>
      <c r="R450" s="13" t="n">
        <v>0.0424</v>
      </c>
      <c r="S450" s="14" t="n">
        <v>1064984</v>
      </c>
      <c r="T450" s="14" t="n">
        <v>74001</v>
      </c>
      <c r="U450" s="14" t="n">
        <v>55812</v>
      </c>
      <c r="V450" s="14" t="n">
        <v>57557</v>
      </c>
      <c r="W450" s="14" t="n">
        <f aca="false">S450+T450+U450+V450</f>
        <v>1252354</v>
      </c>
      <c r="X450" s="15" t="n">
        <f aca="false">IF(P450=0,0,S450/P450)</f>
        <v>5.85107820784001</v>
      </c>
      <c r="Y450" s="15" t="n">
        <f aca="false">IF(J450=0,0,W450/J450)</f>
        <v>0.394286725360582</v>
      </c>
      <c r="Z450" s="14" t="n">
        <v>224800</v>
      </c>
      <c r="AA450" s="15" t="n">
        <f aca="false">IF(L450=0,0,Z450/L450)</f>
        <v>0.198856926510512</v>
      </c>
      <c r="AB450" s="12" t="n">
        <v>261989549</v>
      </c>
      <c r="AC450" s="16" t="n">
        <v>12.8</v>
      </c>
      <c r="AD450" s="16" t="n">
        <v>24.6</v>
      </c>
      <c r="AE450" s="13" t="n">
        <v>0.439</v>
      </c>
      <c r="AF450" s="13" t="n">
        <v>0.591</v>
      </c>
      <c r="AG450" s="13" t="n">
        <v>0.361</v>
      </c>
      <c r="AH450" s="13" t="n">
        <v>0.204</v>
      </c>
      <c r="AI450" s="17" t="n">
        <v>4.66</v>
      </c>
    </row>
    <row r="451" customFormat="false" ht="15" hidden="false" customHeight="false" outlineLevel="0" collapsed="false">
      <c r="A451" s="10" t="n">
        <v>45658</v>
      </c>
      <c r="B451" s="11" t="n">
        <f aca="false">YEAR(A451)</f>
        <v>2025</v>
      </c>
      <c r="C451" s="11" t="str">
        <f aca="false">"Q"&amp;ROUNDUP(MONTH(A451)/3,0)</f>
        <v>Q1</v>
      </c>
      <c r="D451" s="11" t="str">
        <f aca="false">B451&amp;"-"&amp;C451</f>
        <v>2025-Q1</v>
      </c>
      <c r="E451" s="11" t="n">
        <f aca="false">MONTH(A451)</f>
        <v>1</v>
      </c>
      <c r="F451" s="11" t="str">
        <f aca="false">TEXT(A451,"mmm")</f>
        <v>Jan</v>
      </c>
      <c r="G451" s="11" t="s">
        <v>210</v>
      </c>
      <c r="H451" s="11" t="s">
        <v>205</v>
      </c>
      <c r="I451" s="12" t="n">
        <v>3418061</v>
      </c>
      <c r="J451" s="12" t="n">
        <v>936855</v>
      </c>
      <c r="K451" s="13" t="n">
        <f aca="false">IF(I451=0,0,J451/I451)</f>
        <v>0.274089608114074</v>
      </c>
      <c r="L451" s="12" t="n">
        <v>339014</v>
      </c>
      <c r="M451" s="12" t="n">
        <v>42872</v>
      </c>
      <c r="N451" s="12" t="n">
        <v>5110</v>
      </c>
      <c r="O451" s="12" t="n">
        <v>599</v>
      </c>
      <c r="P451" s="12" t="n">
        <f aca="false">M451+N451+O451</f>
        <v>48581</v>
      </c>
      <c r="Q451" s="13" t="n">
        <f aca="false">IF(I451=0,0,P451/I451)</f>
        <v>0.0142130289658376</v>
      </c>
      <c r="R451" s="13" t="n">
        <v>0.0433</v>
      </c>
      <c r="S451" s="14" t="n">
        <v>291827</v>
      </c>
      <c r="T451" s="14" t="n">
        <v>21138</v>
      </c>
      <c r="U451" s="14" t="n">
        <v>12276</v>
      </c>
      <c r="V451" s="14" t="n">
        <v>16313</v>
      </c>
      <c r="W451" s="14" t="n">
        <f aca="false">S451+T451+U451+V451</f>
        <v>341554</v>
      </c>
      <c r="X451" s="15" t="n">
        <f aca="false">IF(P451=0,0,S451/P451)</f>
        <v>6.00701920503901</v>
      </c>
      <c r="Y451" s="15" t="n">
        <f aca="false">IF(J451=0,0,W451/J451)</f>
        <v>0.364575094331567</v>
      </c>
      <c r="Z451" s="14" t="n">
        <v>51022</v>
      </c>
      <c r="AA451" s="15" t="n">
        <f aca="false">IF(L451=0,0,Z451/L451)</f>
        <v>0.150501159244161</v>
      </c>
      <c r="AB451" s="12" t="n">
        <v>78097637</v>
      </c>
      <c r="AC451" s="16" t="n">
        <v>11.6</v>
      </c>
      <c r="AD451" s="16" t="n">
        <v>23.5</v>
      </c>
      <c r="AE451" s="13" t="n">
        <v>0.439</v>
      </c>
      <c r="AF451" s="13" t="n">
        <v>0.595</v>
      </c>
      <c r="AG451" s="13" t="n">
        <v>0.363</v>
      </c>
      <c r="AH451" s="13" t="n">
        <v>0.211</v>
      </c>
      <c r="AI451" s="17"/>
    </row>
    <row r="452" customFormat="false" ht="15" hidden="false" customHeight="false" outlineLevel="0" collapsed="false">
      <c r="A452" s="10" t="n">
        <v>45689</v>
      </c>
      <c r="B452" s="11" t="n">
        <f aca="false">YEAR(A452)</f>
        <v>2025</v>
      </c>
      <c r="C452" s="11" t="str">
        <f aca="false">"Q"&amp;ROUNDUP(MONTH(A452)/3,0)</f>
        <v>Q1</v>
      </c>
      <c r="D452" s="11" t="str">
        <f aca="false">B452&amp;"-"&amp;C452</f>
        <v>2025-Q1</v>
      </c>
      <c r="E452" s="11" t="n">
        <f aca="false">MONTH(A452)</f>
        <v>2</v>
      </c>
      <c r="F452" s="11" t="str">
        <f aca="false">TEXT(A452,"mmm")</f>
        <v>Feb</v>
      </c>
      <c r="G452" s="11" t="s">
        <v>202</v>
      </c>
      <c r="H452" s="11" t="s">
        <v>203</v>
      </c>
      <c r="I452" s="12" t="n">
        <v>9040419</v>
      </c>
      <c r="J452" s="12" t="n">
        <v>3320179</v>
      </c>
      <c r="K452" s="13" t="n">
        <f aca="false">IF(I452=0,0,J452/I452)</f>
        <v>0.367259415741682</v>
      </c>
      <c r="L452" s="12" t="n">
        <v>1244945</v>
      </c>
      <c r="M452" s="12" t="n">
        <v>1986649</v>
      </c>
      <c r="N452" s="12" t="n">
        <v>280705</v>
      </c>
      <c r="O452" s="12" t="n">
        <v>259483</v>
      </c>
      <c r="P452" s="12" t="n">
        <f aca="false">M452+N452+O452</f>
        <v>2526837</v>
      </c>
      <c r="Q452" s="13" t="n">
        <f aca="false">IF(I452=0,0,P452/I452)</f>
        <v>0.279504412350799</v>
      </c>
      <c r="R452" s="13" t="n">
        <v>0.0364</v>
      </c>
      <c r="S452" s="14" t="n">
        <v>16023163</v>
      </c>
      <c r="T452" s="14" t="n">
        <v>1246318</v>
      </c>
      <c r="U452" s="14" t="n">
        <v>804879</v>
      </c>
      <c r="V452" s="14" t="n">
        <v>856474</v>
      </c>
      <c r="W452" s="14" t="n">
        <f aca="false">S452+T452+U452+V452</f>
        <v>18930834</v>
      </c>
      <c r="X452" s="15" t="n">
        <f aca="false">IF(P452=0,0,S452/P452)</f>
        <v>6.34119375329711</v>
      </c>
      <c r="Y452" s="15" t="n">
        <f aca="false">IF(J452=0,0,W452/J452)</f>
        <v>5.70175102005043</v>
      </c>
      <c r="Z452" s="14" t="n">
        <v>3344246</v>
      </c>
      <c r="AA452" s="15" t="n">
        <f aca="false">IF(L452=0,0,Z452/L452)</f>
        <v>2.6862600355839</v>
      </c>
      <c r="AB452" s="12" t="n">
        <v>276100420</v>
      </c>
      <c r="AC452" s="16" t="n">
        <v>13.5</v>
      </c>
      <c r="AD452" s="16" t="n">
        <v>25.4</v>
      </c>
      <c r="AE452" s="13" t="n">
        <v>0.425</v>
      </c>
      <c r="AF452" s="13" t="n">
        <v>0.594</v>
      </c>
      <c r="AG452" s="13" t="n">
        <v>0.375</v>
      </c>
      <c r="AH452" s="13" t="n">
        <v>0.207</v>
      </c>
      <c r="AI452" s="17" t="n">
        <v>4.72</v>
      </c>
    </row>
    <row r="453" customFormat="false" ht="15" hidden="false" customHeight="false" outlineLevel="0" collapsed="false">
      <c r="A453" s="10" t="n">
        <v>45689</v>
      </c>
      <c r="B453" s="11" t="n">
        <f aca="false">YEAR(A453)</f>
        <v>2025</v>
      </c>
      <c r="C453" s="11" t="str">
        <f aca="false">"Q"&amp;ROUNDUP(MONTH(A453)/3,0)</f>
        <v>Q1</v>
      </c>
      <c r="D453" s="11" t="str">
        <f aca="false">B453&amp;"-"&amp;C453</f>
        <v>2025-Q1</v>
      </c>
      <c r="E453" s="11" t="n">
        <f aca="false">MONTH(A453)</f>
        <v>2</v>
      </c>
      <c r="F453" s="11" t="str">
        <f aca="false">TEXT(A453,"mmm")</f>
        <v>Feb</v>
      </c>
      <c r="G453" s="11" t="s">
        <v>202</v>
      </c>
      <c r="H453" s="11" t="s">
        <v>204</v>
      </c>
      <c r="I453" s="12" t="n">
        <v>12113546</v>
      </c>
      <c r="J453" s="12" t="n">
        <v>4009835</v>
      </c>
      <c r="K453" s="13" t="n">
        <f aca="false">IF(I453=0,0,J453/I453)</f>
        <v>0.331020743224156</v>
      </c>
      <c r="L453" s="12" t="n">
        <v>1391044</v>
      </c>
      <c r="M453" s="12" t="n">
        <v>1142905</v>
      </c>
      <c r="N453" s="12" t="n">
        <v>148604</v>
      </c>
      <c r="O453" s="12" t="n">
        <v>107770</v>
      </c>
      <c r="P453" s="12" t="n">
        <f aca="false">M453+N453+O453</f>
        <v>1399279</v>
      </c>
      <c r="Q453" s="13" t="n">
        <f aca="false">IF(I453=0,0,P453/I453)</f>
        <v>0.115513574637848</v>
      </c>
      <c r="R453" s="13" t="n">
        <v>0.0421</v>
      </c>
      <c r="S453" s="14" t="n">
        <v>9615414</v>
      </c>
      <c r="T453" s="14" t="n">
        <v>719363</v>
      </c>
      <c r="U453" s="14" t="n">
        <v>489611</v>
      </c>
      <c r="V453" s="14" t="n">
        <v>584476</v>
      </c>
      <c r="W453" s="14" t="n">
        <f aca="false">S453+T453+U453+V453</f>
        <v>11408864</v>
      </c>
      <c r="X453" s="15" t="n">
        <f aca="false">IF(P453=0,0,S453/P453)</f>
        <v>6.87169177840874</v>
      </c>
      <c r="Y453" s="15" t="n">
        <f aca="false">IF(J453=0,0,W453/J453)</f>
        <v>2.8452203145516</v>
      </c>
      <c r="Z453" s="14" t="n">
        <v>1914152</v>
      </c>
      <c r="AA453" s="15" t="n">
        <f aca="false">IF(L453=0,0,Z453/L453)</f>
        <v>1.37605424415044</v>
      </c>
      <c r="AB453" s="12" t="n">
        <v>347615877</v>
      </c>
      <c r="AC453" s="16" t="n">
        <v>13</v>
      </c>
      <c r="AD453" s="16" t="n">
        <v>24</v>
      </c>
      <c r="AE453" s="13" t="n">
        <v>0.435</v>
      </c>
      <c r="AF453" s="13" t="n">
        <v>0.591</v>
      </c>
      <c r="AG453" s="13" t="n">
        <v>0.349</v>
      </c>
      <c r="AH453" s="13" t="n">
        <v>0.209</v>
      </c>
      <c r="AI453" s="17" t="n">
        <v>4.67</v>
      </c>
    </row>
    <row r="454" customFormat="false" ht="15" hidden="false" customHeight="false" outlineLevel="0" collapsed="false">
      <c r="A454" s="10" t="n">
        <v>45689</v>
      </c>
      <c r="B454" s="11" t="n">
        <f aca="false">YEAR(A454)</f>
        <v>2025</v>
      </c>
      <c r="C454" s="11" t="str">
        <f aca="false">"Q"&amp;ROUNDUP(MONTH(A454)/3,0)</f>
        <v>Q1</v>
      </c>
      <c r="D454" s="11" t="str">
        <f aca="false">B454&amp;"-"&amp;C454</f>
        <v>2025-Q1</v>
      </c>
      <c r="E454" s="11" t="n">
        <f aca="false">MONTH(A454)</f>
        <v>2</v>
      </c>
      <c r="F454" s="11" t="str">
        <f aca="false">TEXT(A454,"mmm")</f>
        <v>Feb</v>
      </c>
      <c r="G454" s="11" t="s">
        <v>202</v>
      </c>
      <c r="H454" s="11" t="s">
        <v>205</v>
      </c>
      <c r="I454" s="12" t="n">
        <v>3812187</v>
      </c>
      <c r="J454" s="12" t="n">
        <v>1141169</v>
      </c>
      <c r="K454" s="13" t="n">
        <f aca="false">IF(I454=0,0,J454/I454)</f>
        <v>0.29934759234004</v>
      </c>
      <c r="L454" s="12" t="n">
        <v>396575</v>
      </c>
      <c r="M454" s="12" t="n">
        <v>370633</v>
      </c>
      <c r="N454" s="12" t="n">
        <v>44716</v>
      </c>
      <c r="O454" s="12" t="n">
        <v>22481</v>
      </c>
      <c r="P454" s="12" t="n">
        <f aca="false">M454+N454+O454</f>
        <v>437830</v>
      </c>
      <c r="Q454" s="13" t="n">
        <f aca="false">IF(I454=0,0,P454/I454)</f>
        <v>0.114850084741383</v>
      </c>
      <c r="R454" s="13" t="n">
        <v>0.0452</v>
      </c>
      <c r="S454" s="14" t="n">
        <v>2471880</v>
      </c>
      <c r="T454" s="14" t="n">
        <v>187403</v>
      </c>
      <c r="U454" s="14" t="n">
        <v>112613</v>
      </c>
      <c r="V454" s="14" t="n">
        <v>148830</v>
      </c>
      <c r="W454" s="14" t="n">
        <f aca="false">S454+T454+U454+V454</f>
        <v>2920726</v>
      </c>
      <c r="X454" s="15" t="n">
        <f aca="false">IF(P454=0,0,S454/P454)</f>
        <v>5.64575291779915</v>
      </c>
      <c r="Y454" s="15" t="n">
        <f aca="false">IF(J454=0,0,W454/J454)</f>
        <v>2.55941582710361</v>
      </c>
      <c r="Z454" s="14" t="n">
        <v>454826</v>
      </c>
      <c r="AA454" s="15" t="n">
        <f aca="false">IF(L454=0,0,Z454/L454)</f>
        <v>1.14688520456408</v>
      </c>
      <c r="AB454" s="12" t="n">
        <v>95977167</v>
      </c>
      <c r="AC454" s="16" t="n">
        <v>11.9</v>
      </c>
      <c r="AD454" s="16" t="n">
        <v>24.9</v>
      </c>
      <c r="AE454" s="13" t="n">
        <v>0.428</v>
      </c>
      <c r="AF454" s="13" t="n">
        <v>0.596</v>
      </c>
      <c r="AG454" s="13" t="n">
        <v>0.354</v>
      </c>
      <c r="AH454" s="13" t="n">
        <v>0.21</v>
      </c>
      <c r="AI454" s="17"/>
    </row>
    <row r="455" customFormat="false" ht="15" hidden="false" customHeight="false" outlineLevel="0" collapsed="false">
      <c r="A455" s="10" t="n">
        <v>45689</v>
      </c>
      <c r="B455" s="11" t="n">
        <f aca="false">YEAR(A455)</f>
        <v>2025</v>
      </c>
      <c r="C455" s="11" t="str">
        <f aca="false">"Q"&amp;ROUNDUP(MONTH(A455)/3,0)</f>
        <v>Q1</v>
      </c>
      <c r="D455" s="11" t="str">
        <f aca="false">B455&amp;"-"&amp;C455</f>
        <v>2025-Q1</v>
      </c>
      <c r="E455" s="11" t="n">
        <f aca="false">MONTH(A455)</f>
        <v>2</v>
      </c>
      <c r="F455" s="11" t="str">
        <f aca="false">TEXT(A455,"mmm")</f>
        <v>Feb</v>
      </c>
      <c r="G455" s="11" t="s">
        <v>206</v>
      </c>
      <c r="H455" s="11" t="s">
        <v>203</v>
      </c>
      <c r="I455" s="12" t="n">
        <v>13208654</v>
      </c>
      <c r="J455" s="12" t="n">
        <v>4846415</v>
      </c>
      <c r="K455" s="13" t="n">
        <f aca="false">IF(I455=0,0,J455/I455)</f>
        <v>0.366912101717556</v>
      </c>
      <c r="L455" s="12" t="n">
        <v>1348348</v>
      </c>
      <c r="M455" s="12" t="n">
        <v>1283412</v>
      </c>
      <c r="N455" s="12" t="n">
        <v>163664</v>
      </c>
      <c r="O455" s="12" t="n">
        <v>99246</v>
      </c>
      <c r="P455" s="12" t="n">
        <f aca="false">M455+N455+O455</f>
        <v>1546322</v>
      </c>
      <c r="Q455" s="13" t="n">
        <f aca="false">IF(I455=0,0,P455/I455)</f>
        <v>0.117068855009753</v>
      </c>
      <c r="R455" s="13" t="n">
        <v>0.0343</v>
      </c>
      <c r="S455" s="14" t="n">
        <v>9997849</v>
      </c>
      <c r="T455" s="14" t="n">
        <v>687366</v>
      </c>
      <c r="U455" s="14" t="n">
        <v>491356</v>
      </c>
      <c r="V455" s="14" t="n">
        <v>618452</v>
      </c>
      <c r="W455" s="14" t="n">
        <f aca="false">S455+T455+U455+V455</f>
        <v>11795023</v>
      </c>
      <c r="X455" s="15" t="n">
        <f aca="false">IF(P455=0,0,S455/P455)</f>
        <v>6.46556732685689</v>
      </c>
      <c r="Y455" s="15" t="n">
        <f aca="false">IF(J455=0,0,W455/J455)</f>
        <v>2.43376248216465</v>
      </c>
      <c r="Z455" s="14" t="n">
        <v>1925261</v>
      </c>
      <c r="AA455" s="15" t="n">
        <f aca="false">IF(L455=0,0,Z455/L455)</f>
        <v>1.42786654483857</v>
      </c>
      <c r="AB455" s="12" t="n">
        <v>388430161</v>
      </c>
      <c r="AC455" s="16" t="n">
        <v>13.3</v>
      </c>
      <c r="AD455" s="16" t="n">
        <v>24.5</v>
      </c>
      <c r="AE455" s="13" t="n">
        <v>0.445</v>
      </c>
      <c r="AF455" s="13" t="n">
        <v>0.595</v>
      </c>
      <c r="AG455" s="13" t="n">
        <v>0.367</v>
      </c>
      <c r="AH455" s="13" t="n">
        <v>0.208</v>
      </c>
      <c r="AI455" s="17" t="n">
        <v>4.71</v>
      </c>
    </row>
    <row r="456" customFormat="false" ht="15" hidden="false" customHeight="false" outlineLevel="0" collapsed="false">
      <c r="A456" s="10" t="n">
        <v>45689</v>
      </c>
      <c r="B456" s="11" t="n">
        <f aca="false">YEAR(A456)</f>
        <v>2025</v>
      </c>
      <c r="C456" s="11" t="str">
        <f aca="false">"Q"&amp;ROUNDUP(MONTH(A456)/3,0)</f>
        <v>Q1</v>
      </c>
      <c r="D456" s="11" t="str">
        <f aca="false">B456&amp;"-"&amp;C456</f>
        <v>2025-Q1</v>
      </c>
      <c r="E456" s="11" t="n">
        <f aca="false">MONTH(A456)</f>
        <v>2</v>
      </c>
      <c r="F456" s="11" t="str">
        <f aca="false">TEXT(A456,"mmm")</f>
        <v>Feb</v>
      </c>
      <c r="G456" s="11" t="s">
        <v>206</v>
      </c>
      <c r="H456" s="11" t="s">
        <v>204</v>
      </c>
      <c r="I456" s="12" t="n">
        <v>15594368</v>
      </c>
      <c r="J456" s="12" t="n">
        <v>4971223</v>
      </c>
      <c r="K456" s="13" t="n">
        <f aca="false">IF(I456=0,0,J456/I456)</f>
        <v>0.31878322994558</v>
      </c>
      <c r="L456" s="12" t="n">
        <v>1518274</v>
      </c>
      <c r="M456" s="12" t="n">
        <v>802863</v>
      </c>
      <c r="N456" s="12" t="n">
        <v>86517</v>
      </c>
      <c r="O456" s="12" t="n">
        <v>44977</v>
      </c>
      <c r="P456" s="12" t="n">
        <f aca="false">M456+N456+O456</f>
        <v>934357</v>
      </c>
      <c r="Q456" s="13" t="n">
        <f aca="false">IF(I456=0,0,P456/I456)</f>
        <v>0.0599163108116982</v>
      </c>
      <c r="R456" s="13" t="n">
        <v>0.0385</v>
      </c>
      <c r="S456" s="14" t="n">
        <v>5877976</v>
      </c>
      <c r="T456" s="14" t="n">
        <v>414820</v>
      </c>
      <c r="U456" s="14" t="n">
        <v>308663</v>
      </c>
      <c r="V456" s="14" t="n">
        <v>344960</v>
      </c>
      <c r="W456" s="14" t="n">
        <f aca="false">S456+T456+U456+V456</f>
        <v>6946419</v>
      </c>
      <c r="X456" s="15" t="n">
        <f aca="false">IF(P456=0,0,S456/P456)</f>
        <v>6.29093162463598</v>
      </c>
      <c r="Y456" s="15" t="n">
        <f aca="false">IF(J456=0,0,W456/J456)</f>
        <v>1.39732596988709</v>
      </c>
      <c r="Z456" s="14" t="n">
        <v>1051358</v>
      </c>
      <c r="AA456" s="15" t="n">
        <f aca="false">IF(L456=0,0,Z456/L456)</f>
        <v>0.692469211749658</v>
      </c>
      <c r="AB456" s="12" t="n">
        <v>440832928</v>
      </c>
      <c r="AC456" s="16" t="n">
        <v>12.9</v>
      </c>
      <c r="AD456" s="16" t="n">
        <v>24.2</v>
      </c>
      <c r="AE456" s="13" t="n">
        <v>0.436</v>
      </c>
      <c r="AF456" s="13" t="n">
        <v>0.611</v>
      </c>
      <c r="AG456" s="13" t="n">
        <v>0.348</v>
      </c>
      <c r="AH456" s="13" t="n">
        <v>0.209</v>
      </c>
      <c r="AI456" s="17" t="n">
        <v>4.66</v>
      </c>
    </row>
    <row r="457" customFormat="false" ht="15" hidden="false" customHeight="false" outlineLevel="0" collapsed="false">
      <c r="A457" s="10" t="n">
        <v>45689</v>
      </c>
      <c r="B457" s="11" t="n">
        <f aca="false">YEAR(A457)</f>
        <v>2025</v>
      </c>
      <c r="C457" s="11" t="str">
        <f aca="false">"Q"&amp;ROUNDUP(MONTH(A457)/3,0)</f>
        <v>Q1</v>
      </c>
      <c r="D457" s="11" t="str">
        <f aca="false">B457&amp;"-"&amp;C457</f>
        <v>2025-Q1</v>
      </c>
      <c r="E457" s="11" t="n">
        <f aca="false">MONTH(A457)</f>
        <v>2</v>
      </c>
      <c r="F457" s="11" t="str">
        <f aca="false">TEXT(A457,"mmm")</f>
        <v>Feb</v>
      </c>
      <c r="G457" s="11" t="s">
        <v>206</v>
      </c>
      <c r="H457" s="11" t="s">
        <v>205</v>
      </c>
      <c r="I457" s="12" t="n">
        <v>4292355</v>
      </c>
      <c r="J457" s="12" t="n">
        <v>1373834</v>
      </c>
      <c r="K457" s="13" t="n">
        <f aca="false">IF(I457=0,0,J457/I457)</f>
        <v>0.32006532544489</v>
      </c>
      <c r="L457" s="12" t="n">
        <v>481571</v>
      </c>
      <c r="M457" s="12" t="n">
        <v>216475</v>
      </c>
      <c r="N457" s="12" t="n">
        <v>25367</v>
      </c>
      <c r="O457" s="12" t="n">
        <v>8018</v>
      </c>
      <c r="P457" s="12" t="n">
        <f aca="false">M457+N457+O457</f>
        <v>249860</v>
      </c>
      <c r="Q457" s="13" t="n">
        <f aca="false">IF(I457=0,0,P457/I457)</f>
        <v>0.0582104695441081</v>
      </c>
      <c r="R457" s="13" t="n">
        <v>0.0406</v>
      </c>
      <c r="S457" s="14" t="n">
        <v>1532587</v>
      </c>
      <c r="T457" s="14" t="n">
        <v>99446</v>
      </c>
      <c r="U457" s="14" t="n">
        <v>76181</v>
      </c>
      <c r="V457" s="14" t="n">
        <v>92049</v>
      </c>
      <c r="W457" s="14" t="n">
        <f aca="false">S457+T457+U457+V457</f>
        <v>1800263</v>
      </c>
      <c r="X457" s="15" t="n">
        <f aca="false">IF(P457=0,0,S457/P457)</f>
        <v>6.13378291843432</v>
      </c>
      <c r="Y457" s="15" t="n">
        <f aca="false">IF(J457=0,0,W457/J457)</f>
        <v>1.3103933954175</v>
      </c>
      <c r="Z457" s="14" t="n">
        <v>337100</v>
      </c>
      <c r="AA457" s="15" t="n">
        <f aca="false">IF(L457=0,0,Z457/L457)</f>
        <v>0.7000006229611</v>
      </c>
      <c r="AB457" s="12" t="n">
        <v>110573622</v>
      </c>
      <c r="AC457" s="16" t="n">
        <v>11.6</v>
      </c>
      <c r="AD457" s="16" t="n">
        <v>24.4</v>
      </c>
      <c r="AE457" s="13" t="n">
        <v>0.445</v>
      </c>
      <c r="AF457" s="13" t="n">
        <v>0.59</v>
      </c>
      <c r="AG457" s="13" t="n">
        <v>0.358</v>
      </c>
      <c r="AH457" s="13" t="n">
        <v>0.222</v>
      </c>
      <c r="AI457" s="17"/>
    </row>
    <row r="458" customFormat="false" ht="15" hidden="false" customHeight="false" outlineLevel="0" collapsed="false">
      <c r="A458" s="10" t="n">
        <v>45689</v>
      </c>
      <c r="B458" s="11" t="n">
        <f aca="false">YEAR(A458)</f>
        <v>2025</v>
      </c>
      <c r="C458" s="11" t="str">
        <f aca="false">"Q"&amp;ROUNDUP(MONTH(A458)/3,0)</f>
        <v>Q1</v>
      </c>
      <c r="D458" s="11" t="str">
        <f aca="false">B458&amp;"-"&amp;C458</f>
        <v>2025-Q1</v>
      </c>
      <c r="E458" s="11" t="n">
        <f aca="false">MONTH(A458)</f>
        <v>2</v>
      </c>
      <c r="F458" s="11" t="str">
        <f aca="false">TEXT(A458,"mmm")</f>
        <v>Feb</v>
      </c>
      <c r="G458" s="11" t="s">
        <v>207</v>
      </c>
      <c r="H458" s="11" t="s">
        <v>203</v>
      </c>
      <c r="I458" s="12" t="n">
        <v>10220105</v>
      </c>
      <c r="J458" s="12" t="n">
        <v>3640944</v>
      </c>
      <c r="K458" s="13" t="n">
        <f aca="false">IF(I458=0,0,J458/I458)</f>
        <v>0.35625309133321</v>
      </c>
      <c r="L458" s="12" t="n">
        <v>1090791</v>
      </c>
      <c r="M458" s="12" t="n">
        <v>704716</v>
      </c>
      <c r="N458" s="12" t="n">
        <v>82961</v>
      </c>
      <c r="O458" s="12" t="n">
        <v>37053</v>
      </c>
      <c r="P458" s="12" t="n">
        <f aca="false">M458+N458+O458</f>
        <v>824730</v>
      </c>
      <c r="Q458" s="13" t="n">
        <f aca="false">IF(I458=0,0,P458/I458)</f>
        <v>0.0806968225864607</v>
      </c>
      <c r="R458" s="13" t="n">
        <v>0.0403</v>
      </c>
      <c r="S458" s="14" t="n">
        <v>5845037</v>
      </c>
      <c r="T458" s="14" t="n">
        <v>407058</v>
      </c>
      <c r="U458" s="14" t="n">
        <v>314193</v>
      </c>
      <c r="V458" s="14" t="n">
        <v>345422</v>
      </c>
      <c r="W458" s="14" t="n">
        <f aca="false">S458+T458+U458+V458</f>
        <v>6911710</v>
      </c>
      <c r="X458" s="15" t="n">
        <f aca="false">IF(P458=0,0,S458/P458)</f>
        <v>7.08721278479017</v>
      </c>
      <c r="Y458" s="15" t="n">
        <f aca="false">IF(J458=0,0,W458/J458)</f>
        <v>1.89832911464719</v>
      </c>
      <c r="Z458" s="14" t="n">
        <v>1211577</v>
      </c>
      <c r="AA458" s="15" t="n">
        <f aca="false">IF(L458=0,0,Z458/L458)</f>
        <v>1.1107324867917</v>
      </c>
      <c r="AB458" s="12" t="n">
        <v>303333830</v>
      </c>
      <c r="AC458" s="16" t="n">
        <v>13.3</v>
      </c>
      <c r="AD458" s="16" t="n">
        <v>24.5</v>
      </c>
      <c r="AE458" s="13" t="n">
        <v>0.437</v>
      </c>
      <c r="AF458" s="13" t="n">
        <v>0.603</v>
      </c>
      <c r="AG458" s="13" t="n">
        <v>0.36</v>
      </c>
      <c r="AH458" s="13" t="n">
        <v>0.212</v>
      </c>
      <c r="AI458" s="17" t="n">
        <v>4.77</v>
      </c>
    </row>
    <row r="459" customFormat="false" ht="15" hidden="false" customHeight="false" outlineLevel="0" collapsed="false">
      <c r="A459" s="10" t="n">
        <v>45689</v>
      </c>
      <c r="B459" s="11" t="n">
        <f aca="false">YEAR(A459)</f>
        <v>2025</v>
      </c>
      <c r="C459" s="11" t="str">
        <f aca="false">"Q"&amp;ROUNDUP(MONTH(A459)/3,0)</f>
        <v>Q1</v>
      </c>
      <c r="D459" s="11" t="str">
        <f aca="false">B459&amp;"-"&amp;C459</f>
        <v>2025-Q1</v>
      </c>
      <c r="E459" s="11" t="n">
        <f aca="false">MONTH(A459)</f>
        <v>2</v>
      </c>
      <c r="F459" s="11" t="str">
        <f aca="false">TEXT(A459,"mmm")</f>
        <v>Feb</v>
      </c>
      <c r="G459" s="11" t="s">
        <v>207</v>
      </c>
      <c r="H459" s="11" t="s">
        <v>204</v>
      </c>
      <c r="I459" s="12" t="n">
        <v>12539405</v>
      </c>
      <c r="J459" s="12" t="n">
        <v>4045377</v>
      </c>
      <c r="K459" s="13" t="n">
        <f aca="false">IF(I459=0,0,J459/I459)</f>
        <v>0.322613154292409</v>
      </c>
      <c r="L459" s="12" t="n">
        <v>1573993</v>
      </c>
      <c r="M459" s="12" t="n">
        <v>425105</v>
      </c>
      <c r="N459" s="12" t="n">
        <v>49754</v>
      </c>
      <c r="O459" s="12" t="n">
        <v>16559</v>
      </c>
      <c r="P459" s="12" t="n">
        <f aca="false">M459+N459+O459</f>
        <v>491418</v>
      </c>
      <c r="Q459" s="13" t="n">
        <f aca="false">IF(I459=0,0,P459/I459)</f>
        <v>0.0391898977662816</v>
      </c>
      <c r="R459" s="13" t="n">
        <v>0.0404</v>
      </c>
      <c r="S459" s="14" t="n">
        <v>2899118</v>
      </c>
      <c r="T459" s="14" t="n">
        <v>193284</v>
      </c>
      <c r="U459" s="14" t="n">
        <v>140056</v>
      </c>
      <c r="V459" s="14" t="n">
        <v>169906</v>
      </c>
      <c r="W459" s="14" t="n">
        <f aca="false">S459+T459+U459+V459</f>
        <v>3402364</v>
      </c>
      <c r="X459" s="15" t="n">
        <f aca="false">IF(P459=0,0,S459/P459)</f>
        <v>5.89949493099561</v>
      </c>
      <c r="Y459" s="15" t="n">
        <f aca="false">IF(J459=0,0,W459/J459)</f>
        <v>0.841049919451265</v>
      </c>
      <c r="Z459" s="14" t="n">
        <v>622539</v>
      </c>
      <c r="AA459" s="15" t="n">
        <f aca="false">IF(L459=0,0,Z459/L459)</f>
        <v>0.395515736092854</v>
      </c>
      <c r="AB459" s="12" t="n">
        <v>338979932</v>
      </c>
      <c r="AC459" s="16" t="n">
        <v>12.9</v>
      </c>
      <c r="AD459" s="16" t="n">
        <v>25</v>
      </c>
      <c r="AE459" s="13" t="n">
        <v>0.431</v>
      </c>
      <c r="AF459" s="13" t="n">
        <v>0.591</v>
      </c>
      <c r="AG459" s="13" t="n">
        <v>0.365</v>
      </c>
      <c r="AH459" s="13" t="n">
        <v>0.216</v>
      </c>
      <c r="AI459" s="17" t="n">
        <v>4.68</v>
      </c>
    </row>
    <row r="460" customFormat="false" ht="15" hidden="false" customHeight="false" outlineLevel="0" collapsed="false">
      <c r="A460" s="10" t="n">
        <v>45689</v>
      </c>
      <c r="B460" s="11" t="n">
        <f aca="false">YEAR(A460)</f>
        <v>2025</v>
      </c>
      <c r="C460" s="11" t="str">
        <f aca="false">"Q"&amp;ROUNDUP(MONTH(A460)/3,0)</f>
        <v>Q1</v>
      </c>
      <c r="D460" s="11" t="str">
        <f aca="false">B460&amp;"-"&amp;C460</f>
        <v>2025-Q1</v>
      </c>
      <c r="E460" s="11" t="n">
        <f aca="false">MONTH(A460)</f>
        <v>2</v>
      </c>
      <c r="F460" s="11" t="str">
        <f aca="false">TEXT(A460,"mmm")</f>
        <v>Feb</v>
      </c>
      <c r="G460" s="11" t="s">
        <v>207</v>
      </c>
      <c r="H460" s="11" t="s">
        <v>205</v>
      </c>
      <c r="I460" s="12" t="n">
        <v>3667853</v>
      </c>
      <c r="J460" s="12" t="n">
        <v>1044672</v>
      </c>
      <c r="K460" s="13" t="n">
        <f aca="false">IF(I460=0,0,J460/I460)</f>
        <v>0.284818393757874</v>
      </c>
      <c r="L460" s="12" t="n">
        <v>390621</v>
      </c>
      <c r="M460" s="12" t="n">
        <v>115907</v>
      </c>
      <c r="N460" s="12" t="n">
        <v>13895</v>
      </c>
      <c r="O460" s="12" t="n">
        <v>2983</v>
      </c>
      <c r="P460" s="12" t="n">
        <f aca="false">M460+N460+O460</f>
        <v>132785</v>
      </c>
      <c r="Q460" s="13" t="n">
        <f aca="false">IF(I460=0,0,P460/I460)</f>
        <v>0.0362023777943118</v>
      </c>
      <c r="R460" s="13" t="n">
        <v>0.0405</v>
      </c>
      <c r="S460" s="14" t="n">
        <v>731434</v>
      </c>
      <c r="T460" s="14" t="n">
        <v>55824</v>
      </c>
      <c r="U460" s="14" t="n">
        <v>38487</v>
      </c>
      <c r="V460" s="14" t="n">
        <v>42508</v>
      </c>
      <c r="W460" s="14" t="n">
        <f aca="false">S460+T460+U460+V460</f>
        <v>868253</v>
      </c>
      <c r="X460" s="15" t="n">
        <f aca="false">IF(P460=0,0,S460/P460)</f>
        <v>5.50840832925406</v>
      </c>
      <c r="Y460" s="15" t="n">
        <f aca="false">IF(J460=0,0,W460/J460)</f>
        <v>0.831124984684188</v>
      </c>
      <c r="Z460" s="14" t="n">
        <v>144889</v>
      </c>
      <c r="AA460" s="15" t="n">
        <f aca="false">IF(L460=0,0,Z460/L460)</f>
        <v>0.370919638217095</v>
      </c>
      <c r="AB460" s="12" t="n">
        <v>87203157</v>
      </c>
      <c r="AC460" s="16" t="n">
        <v>11.6</v>
      </c>
      <c r="AD460" s="16" t="n">
        <v>24.7</v>
      </c>
      <c r="AE460" s="13" t="n">
        <v>0.429</v>
      </c>
      <c r="AF460" s="13" t="n">
        <v>0.598</v>
      </c>
      <c r="AG460" s="13" t="n">
        <v>0.369</v>
      </c>
      <c r="AH460" s="13" t="n">
        <v>0.216</v>
      </c>
      <c r="AI460" s="17"/>
    </row>
    <row r="461" customFormat="false" ht="15" hidden="false" customHeight="false" outlineLevel="0" collapsed="false">
      <c r="A461" s="10" t="n">
        <v>45689</v>
      </c>
      <c r="B461" s="11" t="n">
        <f aca="false">YEAR(A461)</f>
        <v>2025</v>
      </c>
      <c r="C461" s="11" t="str">
        <f aca="false">"Q"&amp;ROUNDUP(MONTH(A461)/3,0)</f>
        <v>Q1</v>
      </c>
      <c r="D461" s="11" t="str">
        <f aca="false">B461&amp;"-"&amp;C461</f>
        <v>2025-Q1</v>
      </c>
      <c r="E461" s="11" t="n">
        <f aca="false">MONTH(A461)</f>
        <v>2</v>
      </c>
      <c r="F461" s="11" t="str">
        <f aca="false">TEXT(A461,"mmm")</f>
        <v>Feb</v>
      </c>
      <c r="G461" s="11" t="s">
        <v>208</v>
      </c>
      <c r="H461" s="11" t="s">
        <v>203</v>
      </c>
      <c r="I461" s="12" t="n">
        <v>7749079</v>
      </c>
      <c r="J461" s="12" t="n">
        <v>2773339</v>
      </c>
      <c r="K461" s="13" t="n">
        <f aca="false">IF(I461=0,0,J461/I461)</f>
        <v>0.357892725058036</v>
      </c>
      <c r="L461" s="12" t="n">
        <v>1037451</v>
      </c>
      <c r="M461" s="12" t="n">
        <v>338664</v>
      </c>
      <c r="N461" s="12" t="n">
        <v>39622</v>
      </c>
      <c r="O461" s="12" t="n">
        <v>12542</v>
      </c>
      <c r="P461" s="12" t="n">
        <f aca="false">M461+N461+O461</f>
        <v>390828</v>
      </c>
      <c r="Q461" s="13" t="n">
        <f aca="false">IF(I461=0,0,P461/I461)</f>
        <v>0.0504354130342458</v>
      </c>
      <c r="R461" s="13" t="n">
        <v>0.0414</v>
      </c>
      <c r="S461" s="14" t="n">
        <v>2494573</v>
      </c>
      <c r="T461" s="14" t="n">
        <v>173653</v>
      </c>
      <c r="U461" s="14" t="n">
        <v>130247</v>
      </c>
      <c r="V461" s="14" t="n">
        <v>146639</v>
      </c>
      <c r="W461" s="14" t="n">
        <f aca="false">S461+T461+U461+V461</f>
        <v>2945112</v>
      </c>
      <c r="X461" s="15" t="n">
        <f aca="false">IF(P461=0,0,S461/P461)</f>
        <v>6.38278987175944</v>
      </c>
      <c r="Y461" s="15" t="n">
        <f aca="false">IF(J461=0,0,W461/J461)</f>
        <v>1.06193725325321</v>
      </c>
      <c r="Z461" s="14" t="n">
        <v>448504</v>
      </c>
      <c r="AA461" s="15" t="n">
        <f aca="false">IF(L461=0,0,Z461/L461)</f>
        <v>0.432313429742706</v>
      </c>
      <c r="AB461" s="12" t="n">
        <v>227923125</v>
      </c>
      <c r="AC461" s="16" t="n">
        <v>13.2</v>
      </c>
      <c r="AD461" s="16" t="n">
        <v>25.1</v>
      </c>
      <c r="AE461" s="13" t="n">
        <v>0.416</v>
      </c>
      <c r="AF461" s="13" t="n">
        <v>0.605</v>
      </c>
      <c r="AG461" s="13" t="n">
        <v>0.371</v>
      </c>
      <c r="AH461" s="13" t="n">
        <v>0.201</v>
      </c>
      <c r="AI461" s="17" t="n">
        <v>4.75</v>
      </c>
    </row>
    <row r="462" customFormat="false" ht="15" hidden="false" customHeight="false" outlineLevel="0" collapsed="false">
      <c r="A462" s="10" t="n">
        <v>45689</v>
      </c>
      <c r="B462" s="11" t="n">
        <f aca="false">YEAR(A462)</f>
        <v>2025</v>
      </c>
      <c r="C462" s="11" t="str">
        <f aca="false">"Q"&amp;ROUNDUP(MONTH(A462)/3,0)</f>
        <v>Q1</v>
      </c>
      <c r="D462" s="11" t="str">
        <f aca="false">B462&amp;"-"&amp;C462</f>
        <v>2025-Q1</v>
      </c>
      <c r="E462" s="11" t="n">
        <f aca="false">MONTH(A462)</f>
        <v>2</v>
      </c>
      <c r="F462" s="11" t="str">
        <f aca="false">TEXT(A462,"mmm")</f>
        <v>Feb</v>
      </c>
      <c r="G462" s="11" t="s">
        <v>208</v>
      </c>
      <c r="H462" s="11" t="s">
        <v>204</v>
      </c>
      <c r="I462" s="12" t="n">
        <v>11073192</v>
      </c>
      <c r="J462" s="12" t="n">
        <v>3702871</v>
      </c>
      <c r="K462" s="13" t="n">
        <f aca="false">IF(I462=0,0,J462/I462)</f>
        <v>0.334399602210456</v>
      </c>
      <c r="L462" s="12" t="n">
        <v>1300469</v>
      </c>
      <c r="M462" s="12" t="n">
        <v>198283</v>
      </c>
      <c r="N462" s="12" t="n">
        <v>21957</v>
      </c>
      <c r="O462" s="12" t="n">
        <v>5432</v>
      </c>
      <c r="P462" s="12" t="n">
        <f aca="false">M462+N462+O462</f>
        <v>225672</v>
      </c>
      <c r="Q462" s="13" t="n">
        <f aca="false">IF(I462=0,0,P462/I462)</f>
        <v>0.0203800313405565</v>
      </c>
      <c r="R462" s="13" t="n">
        <v>0.04</v>
      </c>
      <c r="S462" s="14" t="n">
        <v>1419262</v>
      </c>
      <c r="T462" s="14" t="n">
        <v>104027</v>
      </c>
      <c r="U462" s="14" t="n">
        <v>66197</v>
      </c>
      <c r="V462" s="14" t="n">
        <v>84960</v>
      </c>
      <c r="W462" s="14" t="n">
        <f aca="false">S462+T462+U462+V462</f>
        <v>1674446</v>
      </c>
      <c r="X462" s="15" t="n">
        <f aca="false">IF(P462=0,0,S462/P462)</f>
        <v>6.28904782161721</v>
      </c>
      <c r="Y462" s="15" t="n">
        <f aca="false">IF(J462=0,0,W462/J462)</f>
        <v>0.452202088595579</v>
      </c>
      <c r="Z462" s="14" t="n">
        <v>269349</v>
      </c>
      <c r="AA462" s="15" t="n">
        <f aca="false">IF(L462=0,0,Z462/L462)</f>
        <v>0.207116817086759</v>
      </c>
      <c r="AB462" s="12" t="n">
        <v>310984546</v>
      </c>
      <c r="AC462" s="16" t="n">
        <v>13.2</v>
      </c>
      <c r="AD462" s="16" t="n">
        <v>25.7</v>
      </c>
      <c r="AE462" s="13" t="n">
        <v>0.44</v>
      </c>
      <c r="AF462" s="13" t="n">
        <v>0.589</v>
      </c>
      <c r="AG462" s="13" t="n">
        <v>0.361</v>
      </c>
      <c r="AH462" s="13" t="n">
        <v>0.218</v>
      </c>
      <c r="AI462" s="17" t="n">
        <v>4.66</v>
      </c>
    </row>
    <row r="463" customFormat="false" ht="15" hidden="false" customHeight="false" outlineLevel="0" collapsed="false">
      <c r="A463" s="10" t="n">
        <v>45689</v>
      </c>
      <c r="B463" s="11" t="n">
        <f aca="false">YEAR(A463)</f>
        <v>2025</v>
      </c>
      <c r="C463" s="11" t="str">
        <f aca="false">"Q"&amp;ROUNDUP(MONTH(A463)/3,0)</f>
        <v>Q1</v>
      </c>
      <c r="D463" s="11" t="str">
        <f aca="false">B463&amp;"-"&amp;C463</f>
        <v>2025-Q1</v>
      </c>
      <c r="E463" s="11" t="n">
        <f aca="false">MONTH(A463)</f>
        <v>2</v>
      </c>
      <c r="F463" s="11" t="str">
        <f aca="false">TEXT(A463,"mmm")</f>
        <v>Feb</v>
      </c>
      <c r="G463" s="11" t="s">
        <v>208</v>
      </c>
      <c r="H463" s="11" t="s">
        <v>205</v>
      </c>
      <c r="I463" s="12" t="n">
        <v>3363147</v>
      </c>
      <c r="J463" s="12" t="n">
        <v>1041534</v>
      </c>
      <c r="K463" s="13" t="n">
        <f aca="false">IF(I463=0,0,J463/I463)</f>
        <v>0.309690298996743</v>
      </c>
      <c r="L463" s="12" t="n">
        <v>405352</v>
      </c>
      <c r="M463" s="12" t="n">
        <v>52884</v>
      </c>
      <c r="N463" s="12" t="n">
        <v>6327</v>
      </c>
      <c r="O463" s="12" t="n">
        <v>966</v>
      </c>
      <c r="P463" s="12" t="n">
        <f aca="false">M463+N463+O463</f>
        <v>60177</v>
      </c>
      <c r="Q463" s="13" t="n">
        <f aca="false">IF(I463=0,0,P463/I463)</f>
        <v>0.0178930626582781</v>
      </c>
      <c r="R463" s="13" t="n">
        <v>0.0442</v>
      </c>
      <c r="S463" s="14" t="n">
        <v>372173</v>
      </c>
      <c r="T463" s="14" t="n">
        <v>27739</v>
      </c>
      <c r="U463" s="14" t="n">
        <v>19637</v>
      </c>
      <c r="V463" s="14" t="n">
        <v>21268</v>
      </c>
      <c r="W463" s="14" t="n">
        <f aca="false">S463+T463+U463+V463</f>
        <v>440817</v>
      </c>
      <c r="X463" s="15" t="n">
        <f aca="false">IF(P463=0,0,S463/P463)</f>
        <v>6.18463864931785</v>
      </c>
      <c r="Y463" s="15" t="n">
        <f aca="false">IF(J463=0,0,W463/J463)</f>
        <v>0.42323822362016</v>
      </c>
      <c r="Z463" s="14" t="n">
        <v>73752</v>
      </c>
      <c r="AA463" s="15" t="n">
        <f aca="false">IF(L463=0,0,Z463/L463)</f>
        <v>0.181945568296197</v>
      </c>
      <c r="AB463" s="12" t="n">
        <v>88812533</v>
      </c>
      <c r="AC463" s="16" t="n">
        <v>11.6</v>
      </c>
      <c r="AD463" s="16" t="n">
        <v>24.3</v>
      </c>
      <c r="AE463" s="13" t="n">
        <v>0.423</v>
      </c>
      <c r="AF463" s="13" t="n">
        <v>0.595</v>
      </c>
      <c r="AG463" s="13" t="n">
        <v>0.365</v>
      </c>
      <c r="AH463" s="13" t="n">
        <v>0.222</v>
      </c>
      <c r="AI463" s="17"/>
    </row>
    <row r="464" customFormat="false" ht="15" hidden="false" customHeight="false" outlineLevel="0" collapsed="false">
      <c r="A464" s="10" t="n">
        <v>45689</v>
      </c>
      <c r="B464" s="11" t="n">
        <f aca="false">YEAR(A464)</f>
        <v>2025</v>
      </c>
      <c r="C464" s="11" t="str">
        <f aca="false">"Q"&amp;ROUNDUP(MONTH(A464)/3,0)</f>
        <v>Q1</v>
      </c>
      <c r="D464" s="11" t="str">
        <f aca="false">B464&amp;"-"&amp;C464</f>
        <v>2025-Q1</v>
      </c>
      <c r="E464" s="11" t="n">
        <f aca="false">MONTH(A464)</f>
        <v>2</v>
      </c>
      <c r="F464" s="11" t="str">
        <f aca="false">TEXT(A464,"mmm")</f>
        <v>Feb</v>
      </c>
      <c r="G464" s="11" t="s">
        <v>209</v>
      </c>
      <c r="H464" s="11" t="s">
        <v>203</v>
      </c>
      <c r="I464" s="12" t="n">
        <v>5298940</v>
      </c>
      <c r="J464" s="12" t="n">
        <v>1860735</v>
      </c>
      <c r="K464" s="13" t="n">
        <f aca="false">IF(I464=0,0,J464/I464)</f>
        <v>0.351152305932885</v>
      </c>
      <c r="L464" s="12" t="n">
        <v>574353</v>
      </c>
      <c r="M464" s="12" t="n">
        <v>143471</v>
      </c>
      <c r="N464" s="12" t="n">
        <v>16168</v>
      </c>
      <c r="O464" s="12" t="n">
        <v>4206</v>
      </c>
      <c r="P464" s="12" t="n">
        <f aca="false">M464+N464+O464</f>
        <v>163845</v>
      </c>
      <c r="Q464" s="13" t="n">
        <f aca="false">IF(I464=0,0,P464/I464)</f>
        <v>0.0309203350103983</v>
      </c>
      <c r="R464" s="13" t="n">
        <v>0.0385</v>
      </c>
      <c r="S464" s="14" t="n">
        <v>940626</v>
      </c>
      <c r="T464" s="14" t="n">
        <v>64355</v>
      </c>
      <c r="U464" s="14" t="n">
        <v>48894</v>
      </c>
      <c r="V464" s="14" t="n">
        <v>49239</v>
      </c>
      <c r="W464" s="14" t="n">
        <f aca="false">S464+T464+U464+V464</f>
        <v>1103114</v>
      </c>
      <c r="X464" s="15" t="n">
        <f aca="false">IF(P464=0,0,S464/P464)</f>
        <v>5.74095028838231</v>
      </c>
      <c r="Y464" s="15" t="n">
        <f aca="false">IF(J464=0,0,W464/J464)</f>
        <v>0.592837776470051</v>
      </c>
      <c r="Z464" s="14" t="n">
        <v>159441</v>
      </c>
      <c r="AA464" s="15" t="n">
        <f aca="false">IF(L464=0,0,Z464/L464)</f>
        <v>0.277601057189568</v>
      </c>
      <c r="AB464" s="12" t="n">
        <v>151802361</v>
      </c>
      <c r="AC464" s="16" t="n">
        <v>13.3</v>
      </c>
      <c r="AD464" s="16" t="n">
        <v>25.3</v>
      </c>
      <c r="AE464" s="13" t="n">
        <v>0.423</v>
      </c>
      <c r="AF464" s="13" t="n">
        <v>0.592</v>
      </c>
      <c r="AG464" s="13" t="n">
        <v>0.359</v>
      </c>
      <c r="AH464" s="13" t="n">
        <v>0.203</v>
      </c>
      <c r="AI464" s="17" t="n">
        <v>4.77</v>
      </c>
    </row>
    <row r="465" customFormat="false" ht="15" hidden="false" customHeight="false" outlineLevel="0" collapsed="false">
      <c r="A465" s="10" t="n">
        <v>45689</v>
      </c>
      <c r="B465" s="11" t="n">
        <f aca="false">YEAR(A465)</f>
        <v>2025</v>
      </c>
      <c r="C465" s="11" t="str">
        <f aca="false">"Q"&amp;ROUNDUP(MONTH(A465)/3,0)</f>
        <v>Q1</v>
      </c>
      <c r="D465" s="11" t="str">
        <f aca="false">B465&amp;"-"&amp;C465</f>
        <v>2025-Q1</v>
      </c>
      <c r="E465" s="11" t="n">
        <f aca="false">MONTH(A465)</f>
        <v>2</v>
      </c>
      <c r="F465" s="11" t="str">
        <f aca="false">TEXT(A465,"mmm")</f>
        <v>Feb</v>
      </c>
      <c r="G465" s="11" t="s">
        <v>209</v>
      </c>
      <c r="H465" s="11" t="s">
        <v>204</v>
      </c>
      <c r="I465" s="12" t="n">
        <v>6535158</v>
      </c>
      <c r="J465" s="12" t="n">
        <v>2046939</v>
      </c>
      <c r="K465" s="13" t="n">
        <f aca="false">IF(I465=0,0,J465/I465)</f>
        <v>0.313219512060764</v>
      </c>
      <c r="L465" s="12" t="n">
        <v>723513</v>
      </c>
      <c r="M465" s="12" t="n">
        <v>84028</v>
      </c>
      <c r="N465" s="12" t="n">
        <v>10262</v>
      </c>
      <c r="O465" s="12" t="n">
        <v>1851</v>
      </c>
      <c r="P465" s="12" t="n">
        <f aca="false">M465+N465+O465</f>
        <v>96141</v>
      </c>
      <c r="Q465" s="13" t="n">
        <f aca="false">IF(I465=0,0,P465/I465)</f>
        <v>0.0147113505136372</v>
      </c>
      <c r="R465" s="13" t="n">
        <v>0.0416</v>
      </c>
      <c r="S465" s="14" t="n">
        <v>567216</v>
      </c>
      <c r="T465" s="14" t="n">
        <v>40272</v>
      </c>
      <c r="U465" s="14" t="n">
        <v>27262</v>
      </c>
      <c r="V465" s="14" t="n">
        <v>31153</v>
      </c>
      <c r="W465" s="14" t="n">
        <f aca="false">S465+T465+U465+V465</f>
        <v>665903</v>
      </c>
      <c r="X465" s="15" t="n">
        <f aca="false">IF(P465=0,0,S465/P465)</f>
        <v>5.89983461790495</v>
      </c>
      <c r="Y465" s="15" t="n">
        <f aca="false">IF(J465=0,0,W465/J465)</f>
        <v>0.325316484760904</v>
      </c>
      <c r="Z465" s="14" t="n">
        <v>106583</v>
      </c>
      <c r="AA465" s="15" t="n">
        <f aca="false">IF(L465=0,0,Z465/L465)</f>
        <v>0.147313178892432</v>
      </c>
      <c r="AB465" s="12" t="n">
        <v>168478352</v>
      </c>
      <c r="AC465" s="16" t="n">
        <v>12.9</v>
      </c>
      <c r="AD465" s="16" t="n">
        <v>25.2</v>
      </c>
      <c r="AE465" s="13" t="n">
        <v>0.43</v>
      </c>
      <c r="AF465" s="13" t="n">
        <v>0.582</v>
      </c>
      <c r="AG465" s="13" t="n">
        <v>0.355</v>
      </c>
      <c r="AH465" s="13" t="n">
        <v>0.207</v>
      </c>
      <c r="AI465" s="17" t="n">
        <v>4.67</v>
      </c>
    </row>
    <row r="466" customFormat="false" ht="15" hidden="false" customHeight="false" outlineLevel="0" collapsed="false">
      <c r="A466" s="10" t="n">
        <v>45689</v>
      </c>
      <c r="B466" s="11" t="n">
        <f aca="false">YEAR(A466)</f>
        <v>2025</v>
      </c>
      <c r="C466" s="11" t="str">
        <f aca="false">"Q"&amp;ROUNDUP(MONTH(A466)/3,0)</f>
        <v>Q1</v>
      </c>
      <c r="D466" s="11" t="str">
        <f aca="false">B466&amp;"-"&amp;C466</f>
        <v>2025-Q1</v>
      </c>
      <c r="E466" s="11" t="n">
        <f aca="false">MONTH(A466)</f>
        <v>2</v>
      </c>
      <c r="F466" s="11" t="str">
        <f aca="false">TEXT(A466,"mmm")</f>
        <v>Feb</v>
      </c>
      <c r="G466" s="11" t="s">
        <v>209</v>
      </c>
      <c r="H466" s="11" t="s">
        <v>205</v>
      </c>
      <c r="I466" s="12" t="n">
        <v>2004836</v>
      </c>
      <c r="J466" s="12" t="n">
        <v>582250</v>
      </c>
      <c r="K466" s="13" t="n">
        <f aca="false">IF(I466=0,0,J466/I466)</f>
        <v>0.290422757771708</v>
      </c>
      <c r="L466" s="12" t="n">
        <v>187680</v>
      </c>
      <c r="M466" s="12" t="n">
        <v>20752</v>
      </c>
      <c r="N466" s="12" t="n">
        <v>2588</v>
      </c>
      <c r="O466" s="12" t="n">
        <v>304</v>
      </c>
      <c r="P466" s="12" t="n">
        <f aca="false">M466+N466+O466</f>
        <v>23644</v>
      </c>
      <c r="Q466" s="13" t="n">
        <f aca="false">IF(I466=0,0,P466/I466)</f>
        <v>0.0117934833572422</v>
      </c>
      <c r="R466" s="13" t="n">
        <v>0.0435</v>
      </c>
      <c r="S466" s="14" t="n">
        <v>149078</v>
      </c>
      <c r="T466" s="14" t="n">
        <v>10106</v>
      </c>
      <c r="U466" s="14" t="n">
        <v>7241</v>
      </c>
      <c r="V466" s="14" t="n">
        <v>8252</v>
      </c>
      <c r="W466" s="14" t="n">
        <f aca="false">S466+T466+U466+V466</f>
        <v>174677</v>
      </c>
      <c r="X466" s="15" t="n">
        <f aca="false">IF(P466=0,0,S466/P466)</f>
        <v>6.30510911859246</v>
      </c>
      <c r="Y466" s="15" t="n">
        <f aca="false">IF(J466=0,0,W466/J466)</f>
        <v>0.300003434950623</v>
      </c>
      <c r="Z466" s="14" t="n">
        <v>27199</v>
      </c>
      <c r="AA466" s="15" t="n">
        <f aca="false">IF(L466=0,0,Z466/L466)</f>
        <v>0.14492220801364</v>
      </c>
      <c r="AB466" s="12" t="n">
        <v>45009071</v>
      </c>
      <c r="AC466" s="16" t="n">
        <v>11.3</v>
      </c>
      <c r="AD466" s="16" t="n">
        <v>25</v>
      </c>
      <c r="AE466" s="13" t="n">
        <v>0.42</v>
      </c>
      <c r="AF466" s="13" t="n">
        <v>0.594</v>
      </c>
      <c r="AG466" s="13" t="n">
        <v>0.358</v>
      </c>
      <c r="AH466" s="13" t="n">
        <v>0.213</v>
      </c>
      <c r="AI466" s="17"/>
    </row>
    <row r="467" customFormat="false" ht="15" hidden="false" customHeight="false" outlineLevel="0" collapsed="false">
      <c r="A467" s="10" t="n">
        <v>45689</v>
      </c>
      <c r="B467" s="11" t="n">
        <f aca="false">YEAR(A467)</f>
        <v>2025</v>
      </c>
      <c r="C467" s="11" t="str">
        <f aca="false">"Q"&amp;ROUNDUP(MONTH(A467)/3,0)</f>
        <v>Q1</v>
      </c>
      <c r="D467" s="11" t="str">
        <f aca="false">B467&amp;"-"&amp;C467</f>
        <v>2025-Q1</v>
      </c>
      <c r="E467" s="11" t="n">
        <f aca="false">MONTH(A467)</f>
        <v>2</v>
      </c>
      <c r="F467" s="11" t="str">
        <f aca="false">TEXT(A467,"mmm")</f>
        <v>Feb</v>
      </c>
      <c r="G467" s="11" t="s">
        <v>210</v>
      </c>
      <c r="H467" s="11" t="s">
        <v>203</v>
      </c>
      <c r="I467" s="12" t="n">
        <v>7712511</v>
      </c>
      <c r="J467" s="12" t="n">
        <v>2623625</v>
      </c>
      <c r="K467" s="13" t="n">
        <f aca="false">IF(I467=0,0,J467/I467)</f>
        <v>0.340177796829074</v>
      </c>
      <c r="L467" s="12" t="n">
        <v>964938</v>
      </c>
      <c r="M467" s="12" t="n">
        <v>272045</v>
      </c>
      <c r="N467" s="12" t="n">
        <v>31465</v>
      </c>
      <c r="O467" s="12" t="n">
        <v>7997</v>
      </c>
      <c r="P467" s="12" t="n">
        <f aca="false">M467+N467+O467</f>
        <v>311507</v>
      </c>
      <c r="Q467" s="13" t="n">
        <f aca="false">IF(I467=0,0,P467/I467)</f>
        <v>0.040389828941573</v>
      </c>
      <c r="R467" s="13" t="n">
        <v>0.0427</v>
      </c>
      <c r="S467" s="14" t="n">
        <v>2090118</v>
      </c>
      <c r="T467" s="14" t="n">
        <v>155830</v>
      </c>
      <c r="U467" s="14" t="n">
        <v>113317</v>
      </c>
      <c r="V467" s="14" t="n">
        <v>134848</v>
      </c>
      <c r="W467" s="14" t="n">
        <f aca="false">S467+T467+U467+V467</f>
        <v>2494113</v>
      </c>
      <c r="X467" s="15" t="n">
        <f aca="false">IF(P467=0,0,S467/P467)</f>
        <v>6.70969833743704</v>
      </c>
      <c r="Y467" s="15" t="n">
        <f aca="false">IF(J467=0,0,W467/J467)</f>
        <v>0.950636238029444</v>
      </c>
      <c r="Z467" s="14" t="n">
        <v>443901</v>
      </c>
      <c r="AA467" s="15" t="n">
        <f aca="false">IF(L467=0,0,Z467/L467)</f>
        <v>0.460030592639113</v>
      </c>
      <c r="AB467" s="12" t="n">
        <v>218644177</v>
      </c>
      <c r="AC467" s="16" t="n">
        <v>13.2</v>
      </c>
      <c r="AD467" s="16" t="n">
        <v>24.7</v>
      </c>
      <c r="AE467" s="13" t="n">
        <v>0.433</v>
      </c>
      <c r="AF467" s="13" t="n">
        <v>0.593</v>
      </c>
      <c r="AG467" s="13" t="n">
        <v>0.357</v>
      </c>
      <c r="AH467" s="13" t="n">
        <v>0.21</v>
      </c>
      <c r="AI467" s="17" t="n">
        <v>4.74</v>
      </c>
    </row>
    <row r="468" customFormat="false" ht="15" hidden="false" customHeight="false" outlineLevel="0" collapsed="false">
      <c r="A468" s="10" t="n">
        <v>45689</v>
      </c>
      <c r="B468" s="11" t="n">
        <f aca="false">YEAR(A468)</f>
        <v>2025</v>
      </c>
      <c r="C468" s="11" t="str">
        <f aca="false">"Q"&amp;ROUNDUP(MONTH(A468)/3,0)</f>
        <v>Q1</v>
      </c>
      <c r="D468" s="11" t="str">
        <f aca="false">B468&amp;"-"&amp;C468</f>
        <v>2025-Q1</v>
      </c>
      <c r="E468" s="11" t="n">
        <f aca="false">MONTH(A468)</f>
        <v>2</v>
      </c>
      <c r="F468" s="11" t="str">
        <f aca="false">TEXT(A468,"mmm")</f>
        <v>Feb</v>
      </c>
      <c r="G468" s="11" t="s">
        <v>210</v>
      </c>
      <c r="H468" s="11" t="s">
        <v>204</v>
      </c>
      <c r="I468" s="12" t="n">
        <v>10100671</v>
      </c>
      <c r="J468" s="12" t="n">
        <v>3059954</v>
      </c>
      <c r="K468" s="13" t="n">
        <f aca="false">IF(I468=0,0,J468/I468)</f>
        <v>0.302945616187281</v>
      </c>
      <c r="L468" s="12" t="n">
        <v>1240731</v>
      </c>
      <c r="M468" s="12" t="n">
        <v>147460</v>
      </c>
      <c r="N468" s="12" t="n">
        <v>17863</v>
      </c>
      <c r="O468" s="12" t="n">
        <v>3246</v>
      </c>
      <c r="P468" s="12" t="n">
        <f aca="false">M468+N468+O468</f>
        <v>168569</v>
      </c>
      <c r="Q468" s="13" t="n">
        <f aca="false">IF(I468=0,0,P468/I468)</f>
        <v>0.0166888912627686</v>
      </c>
      <c r="R468" s="13" t="n">
        <v>0.0375</v>
      </c>
      <c r="S468" s="14" t="n">
        <v>1238734</v>
      </c>
      <c r="T468" s="14" t="n">
        <v>86735</v>
      </c>
      <c r="U468" s="14" t="n">
        <v>62116</v>
      </c>
      <c r="V468" s="14" t="n">
        <v>64329</v>
      </c>
      <c r="W468" s="14" t="n">
        <f aca="false">S468+T468+U468+V468</f>
        <v>1451914</v>
      </c>
      <c r="X468" s="15" t="n">
        <f aca="false">IF(P468=0,0,S468/P468)</f>
        <v>7.34852790252063</v>
      </c>
      <c r="Y468" s="15" t="n">
        <f aca="false">IF(J468=0,0,W468/J468)</f>
        <v>0.474488832185059</v>
      </c>
      <c r="Z468" s="14" t="n">
        <v>207308</v>
      </c>
      <c r="AA468" s="15" t="n">
        <f aca="false">IF(L468=0,0,Z468/L468)</f>
        <v>0.167085371446349</v>
      </c>
      <c r="AB468" s="12" t="n">
        <v>245350302</v>
      </c>
      <c r="AC468" s="16" t="n">
        <v>13</v>
      </c>
      <c r="AD468" s="16" t="n">
        <v>24.9</v>
      </c>
      <c r="AE468" s="13" t="n">
        <v>0.427</v>
      </c>
      <c r="AF468" s="13" t="n">
        <v>0.588</v>
      </c>
      <c r="AG468" s="13" t="n">
        <v>0.363</v>
      </c>
      <c r="AH468" s="13" t="n">
        <v>0.22</v>
      </c>
      <c r="AI468" s="17" t="n">
        <v>4.7</v>
      </c>
    </row>
    <row r="469" customFormat="false" ht="15" hidden="false" customHeight="false" outlineLevel="0" collapsed="false">
      <c r="A469" s="10" t="n">
        <v>45689</v>
      </c>
      <c r="B469" s="11" t="n">
        <f aca="false">YEAR(A469)</f>
        <v>2025</v>
      </c>
      <c r="C469" s="11" t="str">
        <f aca="false">"Q"&amp;ROUNDUP(MONTH(A469)/3,0)</f>
        <v>Q1</v>
      </c>
      <c r="D469" s="11" t="str">
        <f aca="false">B469&amp;"-"&amp;C469</f>
        <v>2025-Q1</v>
      </c>
      <c r="E469" s="11" t="n">
        <f aca="false">MONTH(A469)</f>
        <v>2</v>
      </c>
      <c r="F469" s="11" t="str">
        <f aca="false">TEXT(A469,"mmm")</f>
        <v>Feb</v>
      </c>
      <c r="G469" s="11" t="s">
        <v>210</v>
      </c>
      <c r="H469" s="11" t="s">
        <v>205</v>
      </c>
      <c r="I469" s="12" t="n">
        <v>3569281</v>
      </c>
      <c r="J469" s="12" t="n">
        <v>981104</v>
      </c>
      <c r="K469" s="13" t="n">
        <f aca="false">IF(I469=0,0,J469/I469)</f>
        <v>0.274874407478705</v>
      </c>
      <c r="L469" s="12" t="n">
        <v>341350</v>
      </c>
      <c r="M469" s="12" t="n">
        <v>43649</v>
      </c>
      <c r="N469" s="12" t="n">
        <v>5246</v>
      </c>
      <c r="O469" s="12" t="n">
        <v>636</v>
      </c>
      <c r="P469" s="12" t="n">
        <f aca="false">M469+N469+O469</f>
        <v>49531</v>
      </c>
      <c r="Q469" s="13" t="n">
        <f aca="false">IF(I469=0,0,P469/I469)</f>
        <v>0.0138770245323918</v>
      </c>
      <c r="R469" s="13" t="n">
        <v>0.0417</v>
      </c>
      <c r="S469" s="14" t="n">
        <v>319287</v>
      </c>
      <c r="T469" s="14" t="n">
        <v>25580</v>
      </c>
      <c r="U469" s="14" t="n">
        <v>15710</v>
      </c>
      <c r="V469" s="14" t="n">
        <v>19506</v>
      </c>
      <c r="W469" s="14" t="n">
        <f aca="false">S469+T469+U469+V469</f>
        <v>380083</v>
      </c>
      <c r="X469" s="15" t="n">
        <f aca="false">IF(P469=0,0,S469/P469)</f>
        <v>6.44620540671499</v>
      </c>
      <c r="Y469" s="15" t="n">
        <f aca="false">IF(J469=0,0,W469/J469)</f>
        <v>0.387403374158091</v>
      </c>
      <c r="Z469" s="14" t="n">
        <v>63707</v>
      </c>
      <c r="AA469" s="15" t="n">
        <f aca="false">IF(L469=0,0,Z469/L469)</f>
        <v>0.186632488648015</v>
      </c>
      <c r="AB469" s="12" t="n">
        <v>79782474</v>
      </c>
      <c r="AC469" s="16" t="n">
        <v>11.4</v>
      </c>
      <c r="AD469" s="16" t="n">
        <v>23.9</v>
      </c>
      <c r="AE469" s="13" t="n">
        <v>0.423</v>
      </c>
      <c r="AF469" s="13" t="n">
        <v>0.597</v>
      </c>
      <c r="AG469" s="13" t="n">
        <v>0.361</v>
      </c>
      <c r="AH469" s="13" t="n">
        <v>0.206</v>
      </c>
      <c r="AI469" s="17"/>
    </row>
    <row r="470" customFormat="false" ht="15" hidden="false" customHeight="false" outlineLevel="0" collapsed="false">
      <c r="A470" s="10" t="n">
        <v>45717</v>
      </c>
      <c r="B470" s="11" t="n">
        <f aca="false">YEAR(A470)</f>
        <v>2025</v>
      </c>
      <c r="C470" s="11" t="str">
        <f aca="false">"Q"&amp;ROUNDUP(MONTH(A470)/3,0)</f>
        <v>Q1</v>
      </c>
      <c r="D470" s="11" t="str">
        <f aca="false">B470&amp;"-"&amp;C470</f>
        <v>2025-Q1</v>
      </c>
      <c r="E470" s="11" t="n">
        <f aca="false">MONTH(A470)</f>
        <v>3</v>
      </c>
      <c r="F470" s="11" t="str">
        <f aca="false">TEXT(A470,"mmm")</f>
        <v>Mar</v>
      </c>
      <c r="G470" s="11" t="s">
        <v>202</v>
      </c>
      <c r="H470" s="11" t="s">
        <v>203</v>
      </c>
      <c r="I470" s="12" t="n">
        <v>9989655</v>
      </c>
      <c r="J470" s="12" t="n">
        <v>3639267</v>
      </c>
      <c r="K470" s="13" t="n">
        <f aca="false">IF(I470=0,0,J470/I470)</f>
        <v>0.364303572045281</v>
      </c>
      <c r="L470" s="12" t="n">
        <v>1228654</v>
      </c>
      <c r="M470" s="12" t="n">
        <v>2027767</v>
      </c>
      <c r="N470" s="12" t="n">
        <v>230640</v>
      </c>
      <c r="O470" s="12" t="n">
        <v>270100</v>
      </c>
      <c r="P470" s="12" t="n">
        <f aca="false">M470+N470+O470</f>
        <v>2528507</v>
      </c>
      <c r="Q470" s="13" t="n">
        <f aca="false">IF(I470=0,0,P470/I470)</f>
        <v>0.253112544927728</v>
      </c>
      <c r="R470" s="13" t="n">
        <v>0.0408</v>
      </c>
      <c r="S470" s="14" t="n">
        <v>17554644</v>
      </c>
      <c r="T470" s="14" t="n">
        <v>1166757</v>
      </c>
      <c r="U470" s="14" t="n">
        <v>956654</v>
      </c>
      <c r="V470" s="14" t="n">
        <v>946966</v>
      </c>
      <c r="W470" s="14" t="n">
        <f aca="false">S470+T470+U470+V470</f>
        <v>20625021</v>
      </c>
      <c r="X470" s="15" t="n">
        <f aca="false">IF(P470=0,0,S470/P470)</f>
        <v>6.94269147761901</v>
      </c>
      <c r="Y470" s="15" t="n">
        <f aca="false">IF(J470=0,0,W470/J470)</f>
        <v>5.66735581643227</v>
      </c>
      <c r="Z470" s="14" t="n">
        <v>3412488</v>
      </c>
      <c r="AA470" s="15" t="n">
        <f aca="false">IF(L470=0,0,Z470/L470)</f>
        <v>2.77741984317798</v>
      </c>
      <c r="AB470" s="12" t="n">
        <v>302164333</v>
      </c>
      <c r="AC470" s="16" t="n">
        <v>13.6</v>
      </c>
      <c r="AD470" s="16" t="n">
        <v>24.8</v>
      </c>
      <c r="AE470" s="13" t="n">
        <v>0.427</v>
      </c>
      <c r="AF470" s="13" t="n">
        <v>0.592</v>
      </c>
      <c r="AG470" s="13" t="n">
        <v>0.371</v>
      </c>
      <c r="AH470" s="13" t="n">
        <v>0.218</v>
      </c>
      <c r="AI470" s="17" t="n">
        <v>4.72</v>
      </c>
    </row>
    <row r="471" customFormat="false" ht="15" hidden="false" customHeight="false" outlineLevel="0" collapsed="false">
      <c r="A471" s="10" t="n">
        <v>45717</v>
      </c>
      <c r="B471" s="11" t="n">
        <f aca="false">YEAR(A471)</f>
        <v>2025</v>
      </c>
      <c r="C471" s="11" t="str">
        <f aca="false">"Q"&amp;ROUNDUP(MONTH(A471)/3,0)</f>
        <v>Q1</v>
      </c>
      <c r="D471" s="11" t="str">
        <f aca="false">B471&amp;"-"&amp;C471</f>
        <v>2025-Q1</v>
      </c>
      <c r="E471" s="11" t="n">
        <f aca="false">MONTH(A471)</f>
        <v>3</v>
      </c>
      <c r="F471" s="11" t="str">
        <f aca="false">TEXT(A471,"mmm")</f>
        <v>Mar</v>
      </c>
      <c r="G471" s="11" t="s">
        <v>202</v>
      </c>
      <c r="H471" s="11" t="s">
        <v>204</v>
      </c>
      <c r="I471" s="12" t="n">
        <v>13210458</v>
      </c>
      <c r="J471" s="12" t="n">
        <v>4355172</v>
      </c>
      <c r="K471" s="13" t="n">
        <f aca="false">IF(I471=0,0,J471/I471)</f>
        <v>0.329676079360761</v>
      </c>
      <c r="L471" s="12" t="n">
        <v>1361297</v>
      </c>
      <c r="M471" s="12" t="n">
        <v>1297117</v>
      </c>
      <c r="N471" s="12" t="n">
        <v>154027</v>
      </c>
      <c r="O471" s="12" t="n">
        <v>126386</v>
      </c>
      <c r="P471" s="12" t="n">
        <f aca="false">M471+N471+O471</f>
        <v>1577530</v>
      </c>
      <c r="Q471" s="13" t="n">
        <f aca="false">IF(I471=0,0,P471/I471)</f>
        <v>0.11941523904773</v>
      </c>
      <c r="R471" s="13" t="n">
        <v>0.0394</v>
      </c>
      <c r="S471" s="14" t="n">
        <v>10648054</v>
      </c>
      <c r="T471" s="14" t="n">
        <v>851369</v>
      </c>
      <c r="U471" s="14" t="n">
        <v>532747</v>
      </c>
      <c r="V471" s="14" t="n">
        <v>558083</v>
      </c>
      <c r="W471" s="14" t="n">
        <f aca="false">S471+T471+U471+V471</f>
        <v>12590253</v>
      </c>
      <c r="X471" s="15" t="n">
        <f aca="false">IF(P471=0,0,S471/P471)</f>
        <v>6.7498266277028</v>
      </c>
      <c r="Y471" s="15" t="n">
        <f aca="false">IF(J471=0,0,W471/J471)</f>
        <v>2.89087388511866</v>
      </c>
      <c r="Z471" s="14" t="n">
        <v>1925532</v>
      </c>
      <c r="AA471" s="15" t="n">
        <f aca="false">IF(L471=0,0,Z471/L471)</f>
        <v>1.41448339341084</v>
      </c>
      <c r="AB471" s="12" t="n">
        <v>369972579</v>
      </c>
      <c r="AC471" s="16" t="n">
        <v>13</v>
      </c>
      <c r="AD471" s="16" t="n">
        <v>25.8</v>
      </c>
      <c r="AE471" s="13" t="n">
        <v>0.459</v>
      </c>
      <c r="AF471" s="13" t="n">
        <v>0.602</v>
      </c>
      <c r="AG471" s="13" t="n">
        <v>0.371</v>
      </c>
      <c r="AH471" s="13" t="n">
        <v>0.216</v>
      </c>
      <c r="AI471" s="17" t="n">
        <v>4.68</v>
      </c>
    </row>
    <row r="472" customFormat="false" ht="15" hidden="false" customHeight="false" outlineLevel="0" collapsed="false">
      <c r="A472" s="10" t="n">
        <v>45717</v>
      </c>
      <c r="B472" s="11" t="n">
        <f aca="false">YEAR(A472)</f>
        <v>2025</v>
      </c>
      <c r="C472" s="11" t="str">
        <f aca="false">"Q"&amp;ROUNDUP(MONTH(A472)/3,0)</f>
        <v>Q1</v>
      </c>
      <c r="D472" s="11" t="str">
        <f aca="false">B472&amp;"-"&amp;C472</f>
        <v>2025-Q1</v>
      </c>
      <c r="E472" s="11" t="n">
        <f aca="false">MONTH(A472)</f>
        <v>3</v>
      </c>
      <c r="F472" s="11" t="str">
        <f aca="false">TEXT(A472,"mmm")</f>
        <v>Mar</v>
      </c>
      <c r="G472" s="11" t="s">
        <v>202</v>
      </c>
      <c r="H472" s="11" t="s">
        <v>205</v>
      </c>
      <c r="I472" s="12" t="n">
        <v>3869788</v>
      </c>
      <c r="J472" s="12" t="n">
        <v>1210422</v>
      </c>
      <c r="K472" s="13" t="n">
        <f aca="false">IF(I472=0,0,J472/I472)</f>
        <v>0.312787677257772</v>
      </c>
      <c r="L472" s="12" t="n">
        <v>339713</v>
      </c>
      <c r="M472" s="12" t="n">
        <v>350738</v>
      </c>
      <c r="N472" s="12" t="n">
        <v>43541</v>
      </c>
      <c r="O472" s="12" t="n">
        <v>22247</v>
      </c>
      <c r="P472" s="12" t="n">
        <f aca="false">M472+N472+O472</f>
        <v>416526</v>
      </c>
      <c r="Q472" s="13" t="n">
        <f aca="false">IF(I472=0,0,P472/I472)</f>
        <v>0.107635353667953</v>
      </c>
      <c r="R472" s="13" t="n">
        <v>0.0428</v>
      </c>
      <c r="S472" s="14" t="n">
        <v>2782628</v>
      </c>
      <c r="T472" s="14" t="n">
        <v>202148</v>
      </c>
      <c r="U472" s="14" t="n">
        <v>133082</v>
      </c>
      <c r="V472" s="14" t="n">
        <v>161221</v>
      </c>
      <c r="W472" s="14" t="n">
        <f aca="false">S472+T472+U472+V472</f>
        <v>3279079</v>
      </c>
      <c r="X472" s="15" t="n">
        <f aca="false">IF(P472=0,0,S472/P472)</f>
        <v>6.68056255791955</v>
      </c>
      <c r="Y472" s="15" t="n">
        <f aca="false">IF(J472=0,0,W472/J472)</f>
        <v>2.70903783969558</v>
      </c>
      <c r="Z472" s="14" t="n">
        <v>529474</v>
      </c>
      <c r="AA472" s="15" t="n">
        <f aca="false">IF(L472=0,0,Z472/L472)</f>
        <v>1.55859210568921</v>
      </c>
      <c r="AB472" s="12" t="n">
        <v>95711045</v>
      </c>
      <c r="AC472" s="16" t="n">
        <v>11.7</v>
      </c>
      <c r="AD472" s="16" t="n">
        <v>24.3</v>
      </c>
      <c r="AE472" s="13" t="n">
        <v>0.435</v>
      </c>
      <c r="AF472" s="13" t="n">
        <v>0.599</v>
      </c>
      <c r="AG472" s="13" t="n">
        <v>0.355</v>
      </c>
      <c r="AH472" s="13" t="n">
        <v>0.218</v>
      </c>
      <c r="AI472" s="17"/>
    </row>
    <row r="473" customFormat="false" ht="15" hidden="false" customHeight="false" outlineLevel="0" collapsed="false">
      <c r="A473" s="10" t="n">
        <v>45717</v>
      </c>
      <c r="B473" s="11" t="n">
        <f aca="false">YEAR(A473)</f>
        <v>2025</v>
      </c>
      <c r="C473" s="11" t="str">
        <f aca="false">"Q"&amp;ROUNDUP(MONTH(A473)/3,0)</f>
        <v>Q1</v>
      </c>
      <c r="D473" s="11" t="str">
        <f aca="false">B473&amp;"-"&amp;C473</f>
        <v>2025-Q1</v>
      </c>
      <c r="E473" s="11" t="n">
        <f aca="false">MONTH(A473)</f>
        <v>3</v>
      </c>
      <c r="F473" s="11" t="str">
        <f aca="false">TEXT(A473,"mmm")</f>
        <v>Mar</v>
      </c>
      <c r="G473" s="11" t="s">
        <v>206</v>
      </c>
      <c r="H473" s="11" t="s">
        <v>203</v>
      </c>
      <c r="I473" s="12" t="n">
        <v>11007869</v>
      </c>
      <c r="J473" s="12" t="n">
        <v>4251368</v>
      </c>
      <c r="K473" s="13" t="n">
        <f aca="false">IF(I473=0,0,J473/I473)</f>
        <v>0.386211718180876</v>
      </c>
      <c r="L473" s="12" t="n">
        <v>1487306</v>
      </c>
      <c r="M473" s="12" t="n">
        <v>1260286</v>
      </c>
      <c r="N473" s="12" t="n">
        <v>148841</v>
      </c>
      <c r="O473" s="12" t="n">
        <v>100809</v>
      </c>
      <c r="P473" s="12" t="n">
        <f aca="false">M473+N473+O473</f>
        <v>1509936</v>
      </c>
      <c r="Q473" s="13" t="n">
        <f aca="false">IF(I473=0,0,P473/I473)</f>
        <v>0.137168783531127</v>
      </c>
      <c r="R473" s="13" t="n">
        <v>0.0402</v>
      </c>
      <c r="S473" s="14" t="n">
        <v>11023077</v>
      </c>
      <c r="T473" s="14" t="n">
        <v>779671</v>
      </c>
      <c r="U473" s="14" t="n">
        <v>589561</v>
      </c>
      <c r="V473" s="14" t="n">
        <v>622605</v>
      </c>
      <c r="W473" s="14" t="n">
        <f aca="false">S473+T473+U473+V473</f>
        <v>13014914</v>
      </c>
      <c r="X473" s="15" t="n">
        <f aca="false">IF(P473=0,0,S473/P473)</f>
        <v>7.30036041262676</v>
      </c>
      <c r="Y473" s="15" t="n">
        <f aca="false">IF(J473=0,0,W473/J473)</f>
        <v>3.06134731220633</v>
      </c>
      <c r="Z473" s="14" t="n">
        <v>2330131</v>
      </c>
      <c r="AA473" s="15" t="n">
        <f aca="false">IF(L473=0,0,Z473/L473)</f>
        <v>1.56667894838049</v>
      </c>
      <c r="AB473" s="12" t="n">
        <v>356570176</v>
      </c>
      <c r="AC473" s="16" t="n">
        <v>13.4</v>
      </c>
      <c r="AD473" s="16" t="n">
        <v>25.1</v>
      </c>
      <c r="AE473" s="13" t="n">
        <v>0.422</v>
      </c>
      <c r="AF473" s="13" t="n">
        <v>0.588</v>
      </c>
      <c r="AG473" s="13" t="n">
        <v>0.366</v>
      </c>
      <c r="AH473" s="13" t="n">
        <v>0.214</v>
      </c>
      <c r="AI473" s="17" t="n">
        <v>4.71</v>
      </c>
    </row>
    <row r="474" customFormat="false" ht="15" hidden="false" customHeight="false" outlineLevel="0" collapsed="false">
      <c r="A474" s="10" t="n">
        <v>45717</v>
      </c>
      <c r="B474" s="11" t="n">
        <f aca="false">YEAR(A474)</f>
        <v>2025</v>
      </c>
      <c r="C474" s="11" t="str">
        <f aca="false">"Q"&amp;ROUNDUP(MONTH(A474)/3,0)</f>
        <v>Q1</v>
      </c>
      <c r="D474" s="11" t="str">
        <f aca="false">B474&amp;"-"&amp;C474</f>
        <v>2025-Q1</v>
      </c>
      <c r="E474" s="11" t="n">
        <f aca="false">MONTH(A474)</f>
        <v>3</v>
      </c>
      <c r="F474" s="11" t="str">
        <f aca="false">TEXT(A474,"mmm")</f>
        <v>Mar</v>
      </c>
      <c r="G474" s="11" t="s">
        <v>206</v>
      </c>
      <c r="H474" s="11" t="s">
        <v>204</v>
      </c>
      <c r="I474" s="12" t="n">
        <v>12917938</v>
      </c>
      <c r="J474" s="12" t="n">
        <v>4435932</v>
      </c>
      <c r="K474" s="13" t="n">
        <f aca="false">IF(I474=0,0,J474/I474)</f>
        <v>0.343393194796259</v>
      </c>
      <c r="L474" s="12" t="n">
        <v>1493396</v>
      </c>
      <c r="M474" s="12" t="n">
        <v>809811</v>
      </c>
      <c r="N474" s="12" t="n">
        <v>104226</v>
      </c>
      <c r="O474" s="12" t="n">
        <v>48181</v>
      </c>
      <c r="P474" s="12" t="n">
        <f aca="false">M474+N474+O474</f>
        <v>962218</v>
      </c>
      <c r="Q474" s="13" t="n">
        <f aca="false">IF(I474=0,0,P474/I474)</f>
        <v>0.0744869653345604</v>
      </c>
      <c r="R474" s="13" t="n">
        <v>0.0388</v>
      </c>
      <c r="S474" s="14" t="n">
        <v>5787712</v>
      </c>
      <c r="T474" s="14" t="n">
        <v>397120</v>
      </c>
      <c r="U474" s="14" t="n">
        <v>326580</v>
      </c>
      <c r="V474" s="14" t="n">
        <v>341995</v>
      </c>
      <c r="W474" s="14" t="n">
        <f aca="false">S474+T474+U474+V474</f>
        <v>6853407</v>
      </c>
      <c r="X474" s="15" t="n">
        <f aca="false">IF(P474=0,0,S474/P474)</f>
        <v>6.01496958069793</v>
      </c>
      <c r="Y474" s="15" t="n">
        <f aca="false">IF(J474=0,0,W474/J474)</f>
        <v>1.5449756668948</v>
      </c>
      <c r="Z474" s="14" t="n">
        <v>1055790</v>
      </c>
      <c r="AA474" s="15" t="n">
        <f aca="false">IF(L474=0,0,Z474/L474)</f>
        <v>0.706972564544167</v>
      </c>
      <c r="AB474" s="12" t="n">
        <v>361949042</v>
      </c>
      <c r="AC474" s="16" t="n">
        <v>13</v>
      </c>
      <c r="AD474" s="16" t="n">
        <v>25.7</v>
      </c>
      <c r="AE474" s="13" t="n">
        <v>0.439</v>
      </c>
      <c r="AF474" s="13" t="n">
        <v>0.592</v>
      </c>
      <c r="AG474" s="13" t="n">
        <v>0.363</v>
      </c>
      <c r="AH474" s="13" t="n">
        <v>0.221</v>
      </c>
      <c r="AI474" s="17" t="n">
        <v>4.69</v>
      </c>
    </row>
    <row r="475" customFormat="false" ht="15" hidden="false" customHeight="false" outlineLevel="0" collapsed="false">
      <c r="A475" s="10" t="n">
        <v>45717</v>
      </c>
      <c r="B475" s="11" t="n">
        <f aca="false">YEAR(A475)</f>
        <v>2025</v>
      </c>
      <c r="C475" s="11" t="str">
        <f aca="false">"Q"&amp;ROUNDUP(MONTH(A475)/3,0)</f>
        <v>Q1</v>
      </c>
      <c r="D475" s="11" t="str">
        <f aca="false">B475&amp;"-"&amp;C475</f>
        <v>2025-Q1</v>
      </c>
      <c r="E475" s="11" t="n">
        <f aca="false">MONTH(A475)</f>
        <v>3</v>
      </c>
      <c r="F475" s="11" t="str">
        <f aca="false">TEXT(A475,"mmm")</f>
        <v>Mar</v>
      </c>
      <c r="G475" s="11" t="s">
        <v>206</v>
      </c>
      <c r="H475" s="11" t="s">
        <v>205</v>
      </c>
      <c r="I475" s="12" t="n">
        <v>4798193</v>
      </c>
      <c r="J475" s="12" t="n">
        <v>1472927</v>
      </c>
      <c r="K475" s="13" t="n">
        <f aca="false">IF(I475=0,0,J475/I475)</f>
        <v>0.306975355097221</v>
      </c>
      <c r="L475" s="12" t="n">
        <v>393387</v>
      </c>
      <c r="M475" s="12" t="n">
        <v>220143</v>
      </c>
      <c r="N475" s="12" t="n">
        <v>25204</v>
      </c>
      <c r="O475" s="12" t="n">
        <v>8473</v>
      </c>
      <c r="P475" s="12" t="n">
        <f aca="false">M475+N475+O475</f>
        <v>253820</v>
      </c>
      <c r="Q475" s="13" t="n">
        <f aca="false">IF(I475=0,0,P475/I475)</f>
        <v>0.0528990809665222</v>
      </c>
      <c r="R475" s="13" t="n">
        <v>0.0411</v>
      </c>
      <c r="S475" s="14" t="n">
        <v>1609195</v>
      </c>
      <c r="T475" s="14" t="n">
        <v>114510</v>
      </c>
      <c r="U475" s="14" t="n">
        <v>84613</v>
      </c>
      <c r="V475" s="14" t="n">
        <v>95482</v>
      </c>
      <c r="W475" s="14" t="n">
        <f aca="false">S475+T475+U475+V475</f>
        <v>1903800</v>
      </c>
      <c r="X475" s="15" t="n">
        <f aca="false">IF(P475=0,0,S475/P475)</f>
        <v>6.33990623276338</v>
      </c>
      <c r="Y475" s="15" t="n">
        <f aca="false">IF(J475=0,0,W475/J475)</f>
        <v>1.2925284145107</v>
      </c>
      <c r="Z475" s="14" t="n">
        <v>280981</v>
      </c>
      <c r="AA475" s="15" t="n">
        <f aca="false">IF(L475=0,0,Z475/L475)</f>
        <v>0.714261020318414</v>
      </c>
      <c r="AB475" s="12" t="n">
        <v>123197954</v>
      </c>
      <c r="AC475" s="16" t="n">
        <v>11.5</v>
      </c>
      <c r="AD475" s="16" t="n">
        <v>25.9</v>
      </c>
      <c r="AE475" s="13" t="n">
        <v>0.435</v>
      </c>
      <c r="AF475" s="13" t="n">
        <v>0.585</v>
      </c>
      <c r="AG475" s="13" t="n">
        <v>0.362</v>
      </c>
      <c r="AH475" s="13" t="n">
        <v>0.221</v>
      </c>
      <c r="AI475" s="17"/>
    </row>
    <row r="476" customFormat="false" ht="15" hidden="false" customHeight="false" outlineLevel="0" collapsed="false">
      <c r="A476" s="10" t="n">
        <v>45717</v>
      </c>
      <c r="B476" s="11" t="n">
        <f aca="false">YEAR(A476)</f>
        <v>2025</v>
      </c>
      <c r="C476" s="11" t="str">
        <f aca="false">"Q"&amp;ROUNDUP(MONTH(A476)/3,0)</f>
        <v>Q1</v>
      </c>
      <c r="D476" s="11" t="str">
        <f aca="false">B476&amp;"-"&amp;C476</f>
        <v>2025-Q1</v>
      </c>
      <c r="E476" s="11" t="n">
        <f aca="false">MONTH(A476)</f>
        <v>3</v>
      </c>
      <c r="F476" s="11" t="str">
        <f aca="false">TEXT(A476,"mmm")</f>
        <v>Mar</v>
      </c>
      <c r="G476" s="11" t="s">
        <v>207</v>
      </c>
      <c r="H476" s="11" t="s">
        <v>203</v>
      </c>
      <c r="I476" s="12" t="n">
        <v>9998188</v>
      </c>
      <c r="J476" s="12" t="n">
        <v>3606395</v>
      </c>
      <c r="K476" s="13" t="n">
        <f aca="false">IF(I476=0,0,J476/I476)</f>
        <v>0.360704859720581</v>
      </c>
      <c r="L476" s="12" t="n">
        <v>1190859</v>
      </c>
      <c r="M476" s="12" t="n">
        <v>715491</v>
      </c>
      <c r="N476" s="12" t="n">
        <v>88039</v>
      </c>
      <c r="O476" s="12" t="n">
        <v>39394</v>
      </c>
      <c r="P476" s="12" t="n">
        <f aca="false">M476+N476+O476</f>
        <v>842924</v>
      </c>
      <c r="Q476" s="13" t="n">
        <f aca="false">IF(I476=0,0,P476/I476)</f>
        <v>0.084307676550991</v>
      </c>
      <c r="R476" s="13" t="n">
        <v>0.0404</v>
      </c>
      <c r="S476" s="14" t="n">
        <v>6232395</v>
      </c>
      <c r="T476" s="14" t="n">
        <v>434253</v>
      </c>
      <c r="U476" s="14" t="n">
        <v>304379</v>
      </c>
      <c r="V476" s="14" t="n">
        <v>356572</v>
      </c>
      <c r="W476" s="14" t="n">
        <f aca="false">S476+T476+U476+V476</f>
        <v>7327599</v>
      </c>
      <c r="X476" s="15" t="n">
        <f aca="false">IF(P476=0,0,S476/P476)</f>
        <v>7.3937804594483</v>
      </c>
      <c r="Y476" s="15" t="n">
        <f aca="false">IF(J476=0,0,W476/J476)</f>
        <v>2.03183483783668</v>
      </c>
      <c r="Z476" s="14" t="n">
        <v>1184785</v>
      </c>
      <c r="AA476" s="15" t="n">
        <f aca="false">IF(L476=0,0,Z476/L476)</f>
        <v>0.994899480123172</v>
      </c>
      <c r="AB476" s="12" t="n">
        <v>314629276</v>
      </c>
      <c r="AC476" s="16" t="n">
        <v>13.2</v>
      </c>
      <c r="AD476" s="16" t="n">
        <v>24.6</v>
      </c>
      <c r="AE476" s="13" t="n">
        <v>0.433</v>
      </c>
      <c r="AF476" s="13" t="n">
        <v>0.601</v>
      </c>
      <c r="AG476" s="13" t="n">
        <v>0.359</v>
      </c>
      <c r="AH476" s="13" t="n">
        <v>0.218</v>
      </c>
      <c r="AI476" s="17" t="n">
        <v>4.74</v>
      </c>
    </row>
    <row r="477" customFormat="false" ht="15" hidden="false" customHeight="false" outlineLevel="0" collapsed="false">
      <c r="A477" s="10" t="n">
        <v>45717</v>
      </c>
      <c r="B477" s="11" t="n">
        <f aca="false">YEAR(A477)</f>
        <v>2025</v>
      </c>
      <c r="C477" s="11" t="str">
        <f aca="false">"Q"&amp;ROUNDUP(MONTH(A477)/3,0)</f>
        <v>Q1</v>
      </c>
      <c r="D477" s="11" t="str">
        <f aca="false">B477&amp;"-"&amp;C477</f>
        <v>2025-Q1</v>
      </c>
      <c r="E477" s="11" t="n">
        <f aca="false">MONTH(A477)</f>
        <v>3</v>
      </c>
      <c r="F477" s="11" t="str">
        <f aca="false">TEXT(A477,"mmm")</f>
        <v>Mar</v>
      </c>
      <c r="G477" s="11" t="s">
        <v>207</v>
      </c>
      <c r="H477" s="11" t="s">
        <v>204</v>
      </c>
      <c r="I477" s="12" t="n">
        <v>12286661</v>
      </c>
      <c r="J477" s="12" t="n">
        <v>4052457</v>
      </c>
      <c r="K477" s="13" t="n">
        <f aca="false">IF(I477=0,0,J477/I477)</f>
        <v>0.32982573540525</v>
      </c>
      <c r="L477" s="12" t="n">
        <v>1322263</v>
      </c>
      <c r="M477" s="12" t="n">
        <v>422514</v>
      </c>
      <c r="N477" s="12" t="n">
        <v>52024</v>
      </c>
      <c r="O477" s="12" t="n">
        <v>17237</v>
      </c>
      <c r="P477" s="12" t="n">
        <f aca="false">M477+N477+O477</f>
        <v>491775</v>
      </c>
      <c r="Q477" s="13" t="n">
        <f aca="false">IF(I477=0,0,P477/I477)</f>
        <v>0.0400251134136443</v>
      </c>
      <c r="R477" s="13" t="n">
        <v>0.0417</v>
      </c>
      <c r="S477" s="14" t="n">
        <v>3441324</v>
      </c>
      <c r="T477" s="14" t="n">
        <v>252452</v>
      </c>
      <c r="U477" s="14" t="n">
        <v>173766</v>
      </c>
      <c r="V477" s="14" t="n">
        <v>182980</v>
      </c>
      <c r="W477" s="14" t="n">
        <f aca="false">S477+T477+U477+V477</f>
        <v>4050522</v>
      </c>
      <c r="X477" s="15" t="n">
        <f aca="false">IF(P477=0,0,S477/P477)</f>
        <v>6.99776117126735</v>
      </c>
      <c r="Y477" s="15" t="n">
        <f aca="false">IF(J477=0,0,W477/J477)</f>
        <v>0.999522511898337</v>
      </c>
      <c r="Z477" s="14" t="n">
        <v>621913</v>
      </c>
      <c r="AA477" s="15" t="n">
        <f aca="false">IF(L477=0,0,Z477/L477)</f>
        <v>0.470339864308387</v>
      </c>
      <c r="AB477" s="12" t="n">
        <v>345732272</v>
      </c>
      <c r="AC477" s="16" t="n">
        <v>12.9</v>
      </c>
      <c r="AD477" s="16" t="n">
        <v>25.4</v>
      </c>
      <c r="AE477" s="13" t="n">
        <v>0.427</v>
      </c>
      <c r="AF477" s="13" t="n">
        <v>0.588</v>
      </c>
      <c r="AG477" s="13" t="n">
        <v>0.36</v>
      </c>
      <c r="AH477" s="13" t="n">
        <v>0.216</v>
      </c>
      <c r="AI477" s="17" t="n">
        <v>4.67</v>
      </c>
    </row>
    <row r="478" customFormat="false" ht="15" hidden="false" customHeight="false" outlineLevel="0" collapsed="false">
      <c r="A478" s="10" t="n">
        <v>45717</v>
      </c>
      <c r="B478" s="11" t="n">
        <f aca="false">YEAR(A478)</f>
        <v>2025</v>
      </c>
      <c r="C478" s="11" t="str">
        <f aca="false">"Q"&amp;ROUNDUP(MONTH(A478)/3,0)</f>
        <v>Q1</v>
      </c>
      <c r="D478" s="11" t="str">
        <f aca="false">B478&amp;"-"&amp;C478</f>
        <v>2025-Q1</v>
      </c>
      <c r="E478" s="11" t="n">
        <f aca="false">MONTH(A478)</f>
        <v>3</v>
      </c>
      <c r="F478" s="11" t="str">
        <f aca="false">TEXT(A478,"mmm")</f>
        <v>Mar</v>
      </c>
      <c r="G478" s="11" t="s">
        <v>207</v>
      </c>
      <c r="H478" s="11" t="s">
        <v>205</v>
      </c>
      <c r="I478" s="12" t="n">
        <v>4203165</v>
      </c>
      <c r="J478" s="12" t="n">
        <v>1219467</v>
      </c>
      <c r="K478" s="13" t="n">
        <f aca="false">IF(I478=0,0,J478/I478)</f>
        <v>0.290130651544729</v>
      </c>
      <c r="L478" s="12" t="n">
        <v>403957</v>
      </c>
      <c r="M478" s="12" t="n">
        <v>112996</v>
      </c>
      <c r="N478" s="12" t="n">
        <v>12461</v>
      </c>
      <c r="O478" s="12" t="n">
        <v>3002</v>
      </c>
      <c r="P478" s="12" t="n">
        <f aca="false">M478+N478+O478</f>
        <v>128459</v>
      </c>
      <c r="Q478" s="13" t="n">
        <f aca="false">IF(I478=0,0,P478/I478)</f>
        <v>0.0305624452049824</v>
      </c>
      <c r="R478" s="13" t="n">
        <v>0.0428</v>
      </c>
      <c r="S478" s="14" t="n">
        <v>816393</v>
      </c>
      <c r="T478" s="14" t="n">
        <v>58738</v>
      </c>
      <c r="U478" s="14" t="n">
        <v>44409</v>
      </c>
      <c r="V478" s="14" t="n">
        <v>46961</v>
      </c>
      <c r="W478" s="14" t="n">
        <f aca="false">S478+T478+U478+V478</f>
        <v>966501</v>
      </c>
      <c r="X478" s="15" t="n">
        <f aca="false">IF(P478=0,0,S478/P478)</f>
        <v>6.35528067321091</v>
      </c>
      <c r="Y478" s="15" t="n">
        <f aca="false">IF(J478=0,0,W478/J478)</f>
        <v>0.792560192280726</v>
      </c>
      <c r="Z478" s="14" t="n">
        <v>135698</v>
      </c>
      <c r="AA478" s="15" t="n">
        <f aca="false">IF(L478=0,0,Z478/L478)</f>
        <v>0.335921892676696</v>
      </c>
      <c r="AB478" s="12" t="n">
        <v>102931321</v>
      </c>
      <c r="AC478" s="16" t="n">
        <v>11.5</v>
      </c>
      <c r="AD478" s="16" t="n">
        <v>24.8</v>
      </c>
      <c r="AE478" s="13" t="n">
        <v>0.43</v>
      </c>
      <c r="AF478" s="13" t="n">
        <v>0.609</v>
      </c>
      <c r="AG478" s="13" t="n">
        <v>0.367</v>
      </c>
      <c r="AH478" s="13" t="n">
        <v>0.21</v>
      </c>
      <c r="AI478" s="17"/>
    </row>
    <row r="479" customFormat="false" ht="15" hidden="false" customHeight="false" outlineLevel="0" collapsed="false">
      <c r="A479" s="10" t="n">
        <v>45717</v>
      </c>
      <c r="B479" s="11" t="n">
        <f aca="false">YEAR(A479)</f>
        <v>2025</v>
      </c>
      <c r="C479" s="11" t="str">
        <f aca="false">"Q"&amp;ROUNDUP(MONTH(A479)/3,0)</f>
        <v>Q1</v>
      </c>
      <c r="D479" s="11" t="str">
        <f aca="false">B479&amp;"-"&amp;C479</f>
        <v>2025-Q1</v>
      </c>
      <c r="E479" s="11" t="n">
        <f aca="false">MONTH(A479)</f>
        <v>3</v>
      </c>
      <c r="F479" s="11" t="str">
        <f aca="false">TEXT(A479,"mmm")</f>
        <v>Mar</v>
      </c>
      <c r="G479" s="11" t="s">
        <v>208</v>
      </c>
      <c r="H479" s="11" t="s">
        <v>203</v>
      </c>
      <c r="I479" s="12" t="n">
        <v>7656429</v>
      </c>
      <c r="J479" s="12" t="n">
        <v>2886418</v>
      </c>
      <c r="K479" s="13" t="n">
        <f aca="false">IF(I479=0,0,J479/I479)</f>
        <v>0.376992720757941</v>
      </c>
      <c r="L479" s="12" t="n">
        <v>932831</v>
      </c>
      <c r="M479" s="12" t="n">
        <v>366106</v>
      </c>
      <c r="N479" s="12" t="n">
        <v>40789</v>
      </c>
      <c r="O479" s="12" t="n">
        <v>14052</v>
      </c>
      <c r="P479" s="12" t="n">
        <f aca="false">M479+N479+O479</f>
        <v>420947</v>
      </c>
      <c r="Q479" s="13" t="n">
        <f aca="false">IF(I479=0,0,P479/I479)</f>
        <v>0.0549795472536871</v>
      </c>
      <c r="R479" s="13" t="n">
        <v>0.0402</v>
      </c>
      <c r="S479" s="14" t="n">
        <v>2779432</v>
      </c>
      <c r="T479" s="14" t="n">
        <v>182482</v>
      </c>
      <c r="U479" s="14" t="n">
        <v>149432</v>
      </c>
      <c r="V479" s="14" t="n">
        <v>157573</v>
      </c>
      <c r="W479" s="14" t="n">
        <f aca="false">S479+T479+U479+V479</f>
        <v>3268919</v>
      </c>
      <c r="X479" s="15" t="n">
        <f aca="false">IF(P479=0,0,S479/P479)</f>
        <v>6.60280747932638</v>
      </c>
      <c r="Y479" s="15" t="n">
        <f aca="false">IF(J479=0,0,W479/J479)</f>
        <v>1.13251753557524</v>
      </c>
      <c r="Z479" s="14" t="n">
        <v>458564</v>
      </c>
      <c r="AA479" s="15" t="n">
        <f aca="false">IF(L479=0,0,Z479/L479)</f>
        <v>0.491583148501712</v>
      </c>
      <c r="AB479" s="12" t="n">
        <v>241459367</v>
      </c>
      <c r="AC479" s="16" t="n">
        <v>13.4</v>
      </c>
      <c r="AD479" s="16" t="n">
        <v>25.7</v>
      </c>
      <c r="AE479" s="13" t="n">
        <v>0.433</v>
      </c>
      <c r="AF479" s="13" t="n">
        <v>0.608</v>
      </c>
      <c r="AG479" s="13" t="n">
        <v>0.37</v>
      </c>
      <c r="AH479" s="13" t="n">
        <v>0.217</v>
      </c>
      <c r="AI479" s="17" t="n">
        <v>4.75</v>
      </c>
    </row>
    <row r="480" customFormat="false" ht="15" hidden="false" customHeight="false" outlineLevel="0" collapsed="false">
      <c r="A480" s="10" t="n">
        <v>45717</v>
      </c>
      <c r="B480" s="11" t="n">
        <f aca="false">YEAR(A480)</f>
        <v>2025</v>
      </c>
      <c r="C480" s="11" t="str">
        <f aca="false">"Q"&amp;ROUNDUP(MONTH(A480)/3,0)</f>
        <v>Q1</v>
      </c>
      <c r="D480" s="11" t="str">
        <f aca="false">B480&amp;"-"&amp;C480</f>
        <v>2025-Q1</v>
      </c>
      <c r="E480" s="11" t="n">
        <f aca="false">MONTH(A480)</f>
        <v>3</v>
      </c>
      <c r="F480" s="11" t="str">
        <f aca="false">TEXT(A480,"mmm")</f>
        <v>Mar</v>
      </c>
      <c r="G480" s="11" t="s">
        <v>208</v>
      </c>
      <c r="H480" s="11" t="s">
        <v>204</v>
      </c>
      <c r="I480" s="12" t="n">
        <v>10328559</v>
      </c>
      <c r="J480" s="12" t="n">
        <v>3425492</v>
      </c>
      <c r="K480" s="13" t="n">
        <f aca="false">IF(I480=0,0,J480/I480)</f>
        <v>0.331652459941411</v>
      </c>
      <c r="L480" s="12" t="n">
        <v>907267</v>
      </c>
      <c r="M480" s="12" t="n">
        <v>199949</v>
      </c>
      <c r="N480" s="12" t="n">
        <v>23308</v>
      </c>
      <c r="O480" s="12" t="n">
        <v>5733</v>
      </c>
      <c r="P480" s="12" t="n">
        <f aca="false">M480+N480+O480</f>
        <v>228990</v>
      </c>
      <c r="Q480" s="13" t="n">
        <f aca="false">IF(I480=0,0,P480/I480)</f>
        <v>0.0221705660973617</v>
      </c>
      <c r="R480" s="13" t="n">
        <v>0.0427</v>
      </c>
      <c r="S480" s="14" t="n">
        <v>1622536</v>
      </c>
      <c r="T480" s="14" t="n">
        <v>118643</v>
      </c>
      <c r="U480" s="14" t="n">
        <v>85106</v>
      </c>
      <c r="V480" s="14" t="n">
        <v>92382</v>
      </c>
      <c r="W480" s="14" t="n">
        <f aca="false">S480+T480+U480+V480</f>
        <v>1918667</v>
      </c>
      <c r="X480" s="15" t="n">
        <f aca="false">IF(P480=0,0,S480/P480)</f>
        <v>7.08561945936504</v>
      </c>
      <c r="Y480" s="15" t="n">
        <f aca="false">IF(J480=0,0,W480/J480)</f>
        <v>0.560114284313027</v>
      </c>
      <c r="Z480" s="14" t="n">
        <v>305799</v>
      </c>
      <c r="AA480" s="15" t="n">
        <f aca="false">IF(L480=0,0,Z480/L480)</f>
        <v>0.337055133714772</v>
      </c>
      <c r="AB480" s="12" t="n">
        <v>275373545</v>
      </c>
      <c r="AC480" s="16" t="n">
        <v>13.1</v>
      </c>
      <c r="AD480" s="16" t="n">
        <v>24.9</v>
      </c>
      <c r="AE480" s="13" t="n">
        <v>0.444</v>
      </c>
      <c r="AF480" s="13" t="n">
        <v>0.591</v>
      </c>
      <c r="AG480" s="13" t="n">
        <v>0.367</v>
      </c>
      <c r="AH480" s="13" t="n">
        <v>0.214</v>
      </c>
      <c r="AI480" s="17" t="n">
        <v>4.68</v>
      </c>
    </row>
    <row r="481" customFormat="false" ht="15" hidden="false" customHeight="false" outlineLevel="0" collapsed="false">
      <c r="A481" s="10" t="n">
        <v>45717</v>
      </c>
      <c r="B481" s="11" t="n">
        <f aca="false">YEAR(A481)</f>
        <v>2025</v>
      </c>
      <c r="C481" s="11" t="str">
        <f aca="false">"Q"&amp;ROUNDUP(MONTH(A481)/3,0)</f>
        <v>Q1</v>
      </c>
      <c r="D481" s="11" t="str">
        <f aca="false">B481&amp;"-"&amp;C481</f>
        <v>2025-Q1</v>
      </c>
      <c r="E481" s="11" t="n">
        <f aca="false">MONTH(A481)</f>
        <v>3</v>
      </c>
      <c r="F481" s="11" t="str">
        <f aca="false">TEXT(A481,"mmm")</f>
        <v>Mar</v>
      </c>
      <c r="G481" s="11" t="s">
        <v>208</v>
      </c>
      <c r="H481" s="11" t="s">
        <v>205</v>
      </c>
      <c r="I481" s="12" t="n">
        <v>3364576</v>
      </c>
      <c r="J481" s="12" t="n">
        <v>1027075</v>
      </c>
      <c r="K481" s="13" t="n">
        <f aca="false">IF(I481=0,0,J481/I481)</f>
        <v>0.305261346451975</v>
      </c>
      <c r="L481" s="12" t="n">
        <v>327789</v>
      </c>
      <c r="M481" s="12" t="n">
        <v>58717</v>
      </c>
      <c r="N481" s="12" t="n">
        <v>6705</v>
      </c>
      <c r="O481" s="12" t="n">
        <v>1110</v>
      </c>
      <c r="P481" s="12" t="n">
        <f aca="false">M481+N481+O481</f>
        <v>66532</v>
      </c>
      <c r="Q481" s="13" t="n">
        <f aca="false">IF(I481=0,0,P481/I481)</f>
        <v>0.0197742598175818</v>
      </c>
      <c r="R481" s="13" t="n">
        <v>0.0432</v>
      </c>
      <c r="S481" s="14" t="n">
        <v>413884</v>
      </c>
      <c r="T481" s="14" t="n">
        <v>29026</v>
      </c>
      <c r="U481" s="14" t="n">
        <v>21030</v>
      </c>
      <c r="V481" s="14" t="n">
        <v>21845</v>
      </c>
      <c r="W481" s="14" t="n">
        <f aca="false">S481+T481+U481+V481</f>
        <v>485785</v>
      </c>
      <c r="X481" s="15" t="n">
        <f aca="false">IF(P481=0,0,S481/P481)</f>
        <v>6.22082606865869</v>
      </c>
      <c r="Y481" s="15" t="n">
        <f aca="false">IF(J481=0,0,W481/J481)</f>
        <v>0.472979091108244</v>
      </c>
      <c r="Z481" s="14" t="n">
        <v>77150</v>
      </c>
      <c r="AA481" s="15" t="n">
        <f aca="false">IF(L481=0,0,Z481/L481)</f>
        <v>0.235364823102667</v>
      </c>
      <c r="AB481" s="12" t="n">
        <v>88867963</v>
      </c>
      <c r="AC481" s="16" t="n">
        <v>11.5</v>
      </c>
      <c r="AD481" s="16" t="n">
        <v>25.1</v>
      </c>
      <c r="AE481" s="13" t="n">
        <v>0.429</v>
      </c>
      <c r="AF481" s="13" t="n">
        <v>0.593</v>
      </c>
      <c r="AG481" s="13" t="n">
        <v>0.359</v>
      </c>
      <c r="AH481" s="13" t="n">
        <v>0.224</v>
      </c>
      <c r="AI481" s="17"/>
    </row>
    <row r="482" customFormat="false" ht="15" hidden="false" customHeight="false" outlineLevel="0" collapsed="false">
      <c r="A482" s="10" t="n">
        <v>45717</v>
      </c>
      <c r="B482" s="11" t="n">
        <f aca="false">YEAR(A482)</f>
        <v>2025</v>
      </c>
      <c r="C482" s="11" t="str">
        <f aca="false">"Q"&amp;ROUNDUP(MONTH(A482)/3,0)</f>
        <v>Q1</v>
      </c>
      <c r="D482" s="11" t="str">
        <f aca="false">B482&amp;"-"&amp;C482</f>
        <v>2025-Q1</v>
      </c>
      <c r="E482" s="11" t="n">
        <f aca="false">MONTH(A482)</f>
        <v>3</v>
      </c>
      <c r="F482" s="11" t="str">
        <f aca="false">TEXT(A482,"mmm")</f>
        <v>Mar</v>
      </c>
      <c r="G482" s="11" t="s">
        <v>209</v>
      </c>
      <c r="H482" s="11" t="s">
        <v>203</v>
      </c>
      <c r="I482" s="12" t="n">
        <v>4983112</v>
      </c>
      <c r="J482" s="12" t="n">
        <v>1738887</v>
      </c>
      <c r="K482" s="13" t="n">
        <f aca="false">IF(I482=0,0,J482/I482)</f>
        <v>0.348956033900101</v>
      </c>
      <c r="L482" s="12" t="n">
        <v>551778</v>
      </c>
      <c r="M482" s="12" t="n">
        <v>140704</v>
      </c>
      <c r="N482" s="12" t="n">
        <v>17027</v>
      </c>
      <c r="O482" s="12" t="n">
        <v>4328</v>
      </c>
      <c r="P482" s="12" t="n">
        <f aca="false">M482+N482+O482</f>
        <v>162059</v>
      </c>
      <c r="Q482" s="13" t="n">
        <f aca="false">IF(I482=0,0,P482/I482)</f>
        <v>0.0325216451085185</v>
      </c>
      <c r="R482" s="13" t="n">
        <v>0.0417</v>
      </c>
      <c r="S482" s="14" t="n">
        <v>1186928</v>
      </c>
      <c r="T482" s="14" t="n">
        <v>76731</v>
      </c>
      <c r="U482" s="14" t="n">
        <v>53132</v>
      </c>
      <c r="V482" s="14" t="n">
        <v>62383</v>
      </c>
      <c r="W482" s="14" t="n">
        <f aca="false">S482+T482+U482+V482</f>
        <v>1379174</v>
      </c>
      <c r="X482" s="15" t="n">
        <f aca="false">IF(P482=0,0,S482/P482)</f>
        <v>7.32404864894884</v>
      </c>
      <c r="Y482" s="15" t="n">
        <f aca="false">IF(J482=0,0,W482/J482)</f>
        <v>0.793136069221289</v>
      </c>
      <c r="Z482" s="14" t="n">
        <v>218811</v>
      </c>
      <c r="AA482" s="15" t="n">
        <f aca="false">IF(L482=0,0,Z482/L482)</f>
        <v>0.396556223698661</v>
      </c>
      <c r="AB482" s="12" t="n">
        <v>144623111</v>
      </c>
      <c r="AC482" s="16" t="n">
        <v>13.4</v>
      </c>
      <c r="AD482" s="16" t="n">
        <v>24.2</v>
      </c>
      <c r="AE482" s="13" t="n">
        <v>0.435</v>
      </c>
      <c r="AF482" s="13" t="n">
        <v>0.616</v>
      </c>
      <c r="AG482" s="13" t="n">
        <v>0.366</v>
      </c>
      <c r="AH482" s="13" t="n">
        <v>0.217</v>
      </c>
      <c r="AI482" s="17" t="n">
        <v>4.7</v>
      </c>
    </row>
    <row r="483" customFormat="false" ht="15" hidden="false" customHeight="false" outlineLevel="0" collapsed="false">
      <c r="A483" s="10" t="n">
        <v>45717</v>
      </c>
      <c r="B483" s="11" t="n">
        <f aca="false">YEAR(A483)</f>
        <v>2025</v>
      </c>
      <c r="C483" s="11" t="str">
        <f aca="false">"Q"&amp;ROUNDUP(MONTH(A483)/3,0)</f>
        <v>Q1</v>
      </c>
      <c r="D483" s="11" t="str">
        <f aca="false">B483&amp;"-"&amp;C483</f>
        <v>2025-Q1</v>
      </c>
      <c r="E483" s="11" t="n">
        <f aca="false">MONTH(A483)</f>
        <v>3</v>
      </c>
      <c r="F483" s="11" t="str">
        <f aca="false">TEXT(A483,"mmm")</f>
        <v>Mar</v>
      </c>
      <c r="G483" s="11" t="s">
        <v>209</v>
      </c>
      <c r="H483" s="11" t="s">
        <v>204</v>
      </c>
      <c r="I483" s="12" t="n">
        <v>6118415</v>
      </c>
      <c r="J483" s="12" t="n">
        <v>2007075</v>
      </c>
      <c r="K483" s="13" t="n">
        <f aca="false">IF(I483=0,0,J483/I483)</f>
        <v>0.328038389027224</v>
      </c>
      <c r="L483" s="12" t="n">
        <v>630844</v>
      </c>
      <c r="M483" s="12" t="n">
        <v>90125</v>
      </c>
      <c r="N483" s="12" t="n">
        <v>11040</v>
      </c>
      <c r="O483" s="12" t="n">
        <v>2068</v>
      </c>
      <c r="P483" s="12" t="n">
        <f aca="false">M483+N483+O483</f>
        <v>103233</v>
      </c>
      <c r="Q483" s="13" t="n">
        <f aca="false">IF(I483=0,0,P483/I483)</f>
        <v>0.0168725070136629</v>
      </c>
      <c r="R483" s="13" t="n">
        <v>0.0378</v>
      </c>
      <c r="S483" s="14" t="n">
        <v>625305</v>
      </c>
      <c r="T483" s="14" t="n">
        <v>44487</v>
      </c>
      <c r="U483" s="14" t="n">
        <v>35675</v>
      </c>
      <c r="V483" s="14" t="n">
        <v>34782</v>
      </c>
      <c r="W483" s="14" t="n">
        <f aca="false">S483+T483+U483+V483</f>
        <v>740249</v>
      </c>
      <c r="X483" s="15" t="n">
        <f aca="false">IF(P483=0,0,S483/P483)</f>
        <v>6.05722007497603</v>
      </c>
      <c r="Y483" s="15" t="n">
        <f aca="false">IF(J483=0,0,W483/J483)</f>
        <v>0.36881979995765</v>
      </c>
      <c r="Z483" s="14" t="n">
        <v>111041</v>
      </c>
      <c r="AA483" s="15" t="n">
        <f aca="false">IF(L483=0,0,Z483/L483)</f>
        <v>0.176019744976571</v>
      </c>
      <c r="AB483" s="12" t="n">
        <v>164266860</v>
      </c>
      <c r="AC483" s="16" t="n">
        <v>12.9</v>
      </c>
      <c r="AD483" s="16" t="n">
        <v>25.3</v>
      </c>
      <c r="AE483" s="13" t="n">
        <v>0.447</v>
      </c>
      <c r="AF483" s="13" t="n">
        <v>0.607</v>
      </c>
      <c r="AG483" s="13" t="n">
        <v>0.365</v>
      </c>
      <c r="AH483" s="13" t="n">
        <v>0.212</v>
      </c>
      <c r="AI483" s="17" t="n">
        <v>4.71</v>
      </c>
    </row>
    <row r="484" customFormat="false" ht="15" hidden="false" customHeight="false" outlineLevel="0" collapsed="false">
      <c r="A484" s="10" t="n">
        <v>45717</v>
      </c>
      <c r="B484" s="11" t="n">
        <f aca="false">YEAR(A484)</f>
        <v>2025</v>
      </c>
      <c r="C484" s="11" t="str">
        <f aca="false">"Q"&amp;ROUNDUP(MONTH(A484)/3,0)</f>
        <v>Q1</v>
      </c>
      <c r="D484" s="11" t="str">
        <f aca="false">B484&amp;"-"&amp;C484</f>
        <v>2025-Q1</v>
      </c>
      <c r="E484" s="11" t="n">
        <f aca="false">MONTH(A484)</f>
        <v>3</v>
      </c>
      <c r="F484" s="11" t="str">
        <f aca="false">TEXT(A484,"mmm")</f>
        <v>Mar</v>
      </c>
      <c r="G484" s="11" t="s">
        <v>209</v>
      </c>
      <c r="H484" s="11" t="s">
        <v>205</v>
      </c>
      <c r="I484" s="12" t="n">
        <v>2051984</v>
      </c>
      <c r="J484" s="12" t="n">
        <v>594722</v>
      </c>
      <c r="K484" s="13" t="n">
        <f aca="false">IF(I484=0,0,J484/I484)</f>
        <v>0.289827795928233</v>
      </c>
      <c r="L484" s="12" t="n">
        <v>180982</v>
      </c>
      <c r="M484" s="12" t="n">
        <v>23517</v>
      </c>
      <c r="N484" s="12" t="n">
        <v>2834</v>
      </c>
      <c r="O484" s="12" t="n">
        <v>357</v>
      </c>
      <c r="P484" s="12" t="n">
        <f aca="false">M484+N484+O484</f>
        <v>26708</v>
      </c>
      <c r="Q484" s="13" t="n">
        <f aca="false">IF(I484=0,0,P484/I484)</f>
        <v>0.0130156960288189</v>
      </c>
      <c r="R484" s="13" t="n">
        <v>0.0425</v>
      </c>
      <c r="S484" s="14" t="n">
        <v>183214</v>
      </c>
      <c r="T484" s="14" t="n">
        <v>12053</v>
      </c>
      <c r="U484" s="14" t="n">
        <v>9958</v>
      </c>
      <c r="V484" s="14" t="n">
        <v>10249</v>
      </c>
      <c r="W484" s="14" t="n">
        <f aca="false">S484+T484+U484+V484</f>
        <v>215474</v>
      </c>
      <c r="X484" s="15" t="n">
        <f aca="false">IF(P484=0,0,S484/P484)</f>
        <v>6.85989216714093</v>
      </c>
      <c r="Y484" s="15" t="n">
        <f aca="false">IF(J484=0,0,W484/J484)</f>
        <v>0.362310457659209</v>
      </c>
      <c r="Z484" s="14" t="n">
        <v>39387</v>
      </c>
      <c r="AA484" s="15" t="n">
        <f aca="false">IF(L484=0,0,Z484/L484)</f>
        <v>0.217629377507155</v>
      </c>
      <c r="AB484" s="12" t="n">
        <v>49000493</v>
      </c>
      <c r="AC484" s="16" t="n">
        <v>11.7</v>
      </c>
      <c r="AD484" s="16" t="n">
        <v>25.4</v>
      </c>
      <c r="AE484" s="13" t="n">
        <v>0.427</v>
      </c>
      <c r="AF484" s="13" t="n">
        <v>0.594</v>
      </c>
      <c r="AG484" s="13" t="n">
        <v>0.367</v>
      </c>
      <c r="AH484" s="13" t="n">
        <v>0.212</v>
      </c>
      <c r="AI484" s="17"/>
    </row>
    <row r="485" customFormat="false" ht="15" hidden="false" customHeight="false" outlineLevel="0" collapsed="false">
      <c r="A485" s="10" t="n">
        <v>45717</v>
      </c>
      <c r="B485" s="11" t="n">
        <f aca="false">YEAR(A485)</f>
        <v>2025</v>
      </c>
      <c r="C485" s="11" t="str">
        <f aca="false">"Q"&amp;ROUNDUP(MONTH(A485)/3,0)</f>
        <v>Q1</v>
      </c>
      <c r="D485" s="11" t="str">
        <f aca="false">B485&amp;"-"&amp;C485</f>
        <v>2025-Q1</v>
      </c>
      <c r="E485" s="11" t="n">
        <f aca="false">MONTH(A485)</f>
        <v>3</v>
      </c>
      <c r="F485" s="11" t="str">
        <f aca="false">TEXT(A485,"mmm")</f>
        <v>Mar</v>
      </c>
      <c r="G485" s="11" t="s">
        <v>210</v>
      </c>
      <c r="H485" s="11" t="s">
        <v>203</v>
      </c>
      <c r="I485" s="12" t="n">
        <v>7642860</v>
      </c>
      <c r="J485" s="12" t="n">
        <v>2669055</v>
      </c>
      <c r="K485" s="13" t="n">
        <f aca="false">IF(I485=0,0,J485/I485)</f>
        <v>0.349222018982423</v>
      </c>
      <c r="L485" s="12" t="n">
        <v>897506</v>
      </c>
      <c r="M485" s="12" t="n">
        <v>297510</v>
      </c>
      <c r="N485" s="12" t="n">
        <v>33631</v>
      </c>
      <c r="O485" s="12" t="n">
        <v>9086</v>
      </c>
      <c r="P485" s="12" t="n">
        <f aca="false">M485+N485+O485</f>
        <v>340227</v>
      </c>
      <c r="Q485" s="13" t="n">
        <f aca="false">IF(I485=0,0,P485/I485)</f>
        <v>0.0445156656016203</v>
      </c>
      <c r="R485" s="13" t="n">
        <v>0.0356</v>
      </c>
      <c r="S485" s="14" t="n">
        <v>2128376</v>
      </c>
      <c r="T485" s="14" t="n">
        <v>141211</v>
      </c>
      <c r="U485" s="14" t="n">
        <v>109982</v>
      </c>
      <c r="V485" s="14" t="n">
        <v>121452</v>
      </c>
      <c r="W485" s="14" t="n">
        <f aca="false">S485+T485+U485+V485</f>
        <v>2501021</v>
      </c>
      <c r="X485" s="15" t="n">
        <f aca="false">IF(P485=0,0,S485/P485)</f>
        <v>6.25575277682253</v>
      </c>
      <c r="Y485" s="15" t="n">
        <f aca="false">IF(J485=0,0,W485/J485)</f>
        <v>0.93704363529414</v>
      </c>
      <c r="Z485" s="14" t="n">
        <v>447024</v>
      </c>
      <c r="AA485" s="15" t="n">
        <f aca="false">IF(L485=0,0,Z485/L485)</f>
        <v>0.498073550483228</v>
      </c>
      <c r="AB485" s="12" t="n">
        <v>227513071</v>
      </c>
      <c r="AC485" s="16" t="n">
        <v>13.5</v>
      </c>
      <c r="AD485" s="16" t="n">
        <v>24.5</v>
      </c>
      <c r="AE485" s="13" t="n">
        <v>0.436</v>
      </c>
      <c r="AF485" s="13" t="n">
        <v>0.604</v>
      </c>
      <c r="AG485" s="13" t="n">
        <v>0.359</v>
      </c>
      <c r="AH485" s="13" t="n">
        <v>0.232</v>
      </c>
      <c r="AI485" s="17" t="n">
        <v>4.74</v>
      </c>
    </row>
    <row r="486" customFormat="false" ht="15" hidden="false" customHeight="false" outlineLevel="0" collapsed="false">
      <c r="A486" s="10" t="n">
        <v>45717</v>
      </c>
      <c r="B486" s="11" t="n">
        <f aca="false">YEAR(A486)</f>
        <v>2025</v>
      </c>
      <c r="C486" s="11" t="str">
        <f aca="false">"Q"&amp;ROUNDUP(MONTH(A486)/3,0)</f>
        <v>Q1</v>
      </c>
      <c r="D486" s="11" t="str">
        <f aca="false">B486&amp;"-"&amp;C486</f>
        <v>2025-Q1</v>
      </c>
      <c r="E486" s="11" t="n">
        <f aca="false">MONTH(A486)</f>
        <v>3</v>
      </c>
      <c r="F486" s="11" t="str">
        <f aca="false">TEXT(A486,"mmm")</f>
        <v>Mar</v>
      </c>
      <c r="G486" s="11" t="s">
        <v>210</v>
      </c>
      <c r="H486" s="11" t="s">
        <v>204</v>
      </c>
      <c r="I486" s="12" t="n">
        <v>11428773</v>
      </c>
      <c r="J486" s="12" t="n">
        <v>3469586</v>
      </c>
      <c r="K486" s="13" t="n">
        <f aca="false">IF(I486=0,0,J486/I486)</f>
        <v>0.30358342054742</v>
      </c>
      <c r="L486" s="12" t="n">
        <v>1111439</v>
      </c>
      <c r="M486" s="12" t="n">
        <v>165315</v>
      </c>
      <c r="N486" s="12" t="n">
        <v>19392</v>
      </c>
      <c r="O486" s="12" t="n">
        <v>3775</v>
      </c>
      <c r="P486" s="12" t="n">
        <f aca="false">M486+N486+O486</f>
        <v>188482</v>
      </c>
      <c r="Q486" s="13" t="n">
        <f aca="false">IF(I486=0,0,P486/I486)</f>
        <v>0.0164918841243938</v>
      </c>
      <c r="R486" s="13" t="n">
        <v>0.043</v>
      </c>
      <c r="S486" s="14" t="n">
        <v>1246336</v>
      </c>
      <c r="T486" s="14" t="n">
        <v>93790</v>
      </c>
      <c r="U486" s="14" t="n">
        <v>65565</v>
      </c>
      <c r="V486" s="14" t="n">
        <v>67067</v>
      </c>
      <c r="W486" s="14" t="n">
        <f aca="false">S486+T486+U486+V486</f>
        <v>1472758</v>
      </c>
      <c r="X486" s="15" t="n">
        <f aca="false">IF(P486=0,0,S486/P486)</f>
        <v>6.61249350070564</v>
      </c>
      <c r="Y486" s="15" t="n">
        <f aca="false">IF(J486=0,0,W486/J486)</f>
        <v>0.424476580202941</v>
      </c>
      <c r="Z486" s="14" t="n">
        <v>244825</v>
      </c>
      <c r="AA486" s="15" t="n">
        <f aca="false">IF(L486=0,0,Z486/L486)</f>
        <v>0.220277496110898</v>
      </c>
      <c r="AB486" s="12" t="n">
        <v>295534887</v>
      </c>
      <c r="AC486" s="16" t="n">
        <v>13.1</v>
      </c>
      <c r="AD486" s="16" t="n">
        <v>24.1</v>
      </c>
      <c r="AE486" s="13" t="n">
        <v>0.426</v>
      </c>
      <c r="AF486" s="13" t="n">
        <v>0.586</v>
      </c>
      <c r="AG486" s="13" t="n">
        <v>0.371</v>
      </c>
      <c r="AH486" s="13" t="n">
        <v>0.199</v>
      </c>
      <c r="AI486" s="17" t="n">
        <v>4.68</v>
      </c>
    </row>
    <row r="487" customFormat="false" ht="15" hidden="false" customHeight="false" outlineLevel="0" collapsed="false">
      <c r="A487" s="10" t="n">
        <v>45717</v>
      </c>
      <c r="B487" s="11" t="n">
        <f aca="false">YEAR(A487)</f>
        <v>2025</v>
      </c>
      <c r="C487" s="11" t="str">
        <f aca="false">"Q"&amp;ROUNDUP(MONTH(A487)/3,0)</f>
        <v>Q1</v>
      </c>
      <c r="D487" s="11" t="str">
        <f aca="false">B487&amp;"-"&amp;C487</f>
        <v>2025-Q1</v>
      </c>
      <c r="E487" s="11" t="n">
        <f aca="false">MONTH(A487)</f>
        <v>3</v>
      </c>
      <c r="F487" s="11" t="str">
        <f aca="false">TEXT(A487,"mmm")</f>
        <v>Mar</v>
      </c>
      <c r="G487" s="11" t="s">
        <v>210</v>
      </c>
      <c r="H487" s="11" t="s">
        <v>205</v>
      </c>
      <c r="I487" s="12" t="n">
        <v>3323787</v>
      </c>
      <c r="J487" s="12" t="n">
        <v>904948</v>
      </c>
      <c r="K487" s="13" t="n">
        <f aca="false">IF(I487=0,0,J487/I487)</f>
        <v>0.272264137262707</v>
      </c>
      <c r="L487" s="12" t="n">
        <v>312447</v>
      </c>
      <c r="M487" s="12" t="n">
        <v>45107</v>
      </c>
      <c r="N487" s="12" t="n">
        <v>5337</v>
      </c>
      <c r="O487" s="12" t="n">
        <v>683</v>
      </c>
      <c r="P487" s="12" t="n">
        <f aca="false">M487+N487+O487</f>
        <v>51127</v>
      </c>
      <c r="Q487" s="13" t="n">
        <f aca="false">IF(I487=0,0,P487/I487)</f>
        <v>0.0153821529478273</v>
      </c>
      <c r="R487" s="13" t="n">
        <v>0.0459</v>
      </c>
      <c r="S487" s="14" t="n">
        <v>331607</v>
      </c>
      <c r="T487" s="14" t="n">
        <v>22729</v>
      </c>
      <c r="U487" s="14" t="n">
        <v>16989</v>
      </c>
      <c r="V487" s="14" t="n">
        <v>19010</v>
      </c>
      <c r="W487" s="14" t="n">
        <f aca="false">S487+T487+U487+V487</f>
        <v>390335</v>
      </c>
      <c r="X487" s="15" t="n">
        <f aca="false">IF(P487=0,0,S487/P487)</f>
        <v>6.48594676002895</v>
      </c>
      <c r="Y487" s="15" t="n">
        <f aca="false">IF(J487=0,0,W487/J487)</f>
        <v>0.431334176107356</v>
      </c>
      <c r="Z487" s="14" t="n">
        <v>55358</v>
      </c>
      <c r="AA487" s="15" t="n">
        <f aca="false">IF(L487=0,0,Z487/L487)</f>
        <v>0.177175648990069</v>
      </c>
      <c r="AB487" s="12" t="n">
        <v>74564219</v>
      </c>
      <c r="AC487" s="16" t="n">
        <v>12.1</v>
      </c>
      <c r="AD487" s="16" t="n">
        <v>24.5</v>
      </c>
      <c r="AE487" s="13" t="n">
        <v>0.429</v>
      </c>
      <c r="AF487" s="13" t="n">
        <v>0.598</v>
      </c>
      <c r="AG487" s="13" t="n">
        <v>0.364</v>
      </c>
      <c r="AH487" s="13" t="n">
        <v>0.214</v>
      </c>
      <c r="AI487" s="17"/>
    </row>
    <row r="488" customFormat="false" ht="15" hidden="false" customHeight="false" outlineLevel="0" collapsed="false">
      <c r="A488" s="10" t="n">
        <v>45748</v>
      </c>
      <c r="B488" s="11" t="n">
        <f aca="false">YEAR(A488)</f>
        <v>2025</v>
      </c>
      <c r="C488" s="11" t="str">
        <f aca="false">"Q"&amp;ROUNDUP(MONTH(A488)/3,0)</f>
        <v>Q2</v>
      </c>
      <c r="D488" s="11" t="str">
        <f aca="false">B488&amp;"-"&amp;C488</f>
        <v>2025-Q2</v>
      </c>
      <c r="E488" s="11" t="n">
        <f aca="false">MONTH(A488)</f>
        <v>4</v>
      </c>
      <c r="F488" s="11" t="str">
        <f aca="false">TEXT(A488,"mmm")</f>
        <v>Apr</v>
      </c>
      <c r="G488" s="11" t="s">
        <v>202</v>
      </c>
      <c r="H488" s="11" t="s">
        <v>203</v>
      </c>
      <c r="I488" s="12" t="n">
        <v>9751104</v>
      </c>
      <c r="J488" s="12" t="n">
        <v>3637001</v>
      </c>
      <c r="K488" s="13" t="n">
        <f aca="false">IF(I488=0,0,J488/I488)</f>
        <v>0.372983510379953</v>
      </c>
      <c r="L488" s="12" t="n">
        <v>1138786</v>
      </c>
      <c r="M488" s="12" t="n">
        <v>2071426</v>
      </c>
      <c r="N488" s="12" t="n">
        <v>268584</v>
      </c>
      <c r="O488" s="12" t="n">
        <v>292032</v>
      </c>
      <c r="P488" s="12" t="n">
        <f aca="false">M488+N488+O488</f>
        <v>2632042</v>
      </c>
      <c r="Q488" s="13" t="n">
        <f aca="false">IF(I488=0,0,P488/I488)</f>
        <v>0.269922462113008</v>
      </c>
      <c r="R488" s="13" t="n">
        <v>0.0393</v>
      </c>
      <c r="S488" s="14" t="n">
        <v>17047789</v>
      </c>
      <c r="T488" s="14" t="n">
        <v>1102962</v>
      </c>
      <c r="U488" s="14" t="n">
        <v>879888</v>
      </c>
      <c r="V488" s="14" t="n">
        <v>817103</v>
      </c>
      <c r="W488" s="14" t="n">
        <f aca="false">S488+T488+U488+V488</f>
        <v>19847742</v>
      </c>
      <c r="X488" s="15" t="n">
        <f aca="false">IF(P488=0,0,S488/P488)</f>
        <v>6.47702012353906</v>
      </c>
      <c r="Y488" s="15" t="n">
        <f aca="false">IF(J488=0,0,W488/J488)</f>
        <v>5.45717254408234</v>
      </c>
      <c r="Z488" s="14" t="n">
        <v>2865615</v>
      </c>
      <c r="AA488" s="15" t="n">
        <f aca="false">IF(L488=0,0,Z488/L488)</f>
        <v>2.51637708928631</v>
      </c>
      <c r="AB488" s="12" t="n">
        <v>324620417</v>
      </c>
      <c r="AC488" s="16" t="n">
        <v>13.2</v>
      </c>
      <c r="AD488" s="16" t="n">
        <v>26.3</v>
      </c>
      <c r="AE488" s="13" t="n">
        <v>0.451</v>
      </c>
      <c r="AF488" s="13" t="n">
        <v>0.596</v>
      </c>
      <c r="AG488" s="13" t="n">
        <v>0.367</v>
      </c>
      <c r="AH488" s="13" t="n">
        <v>0.209</v>
      </c>
      <c r="AI488" s="17" t="n">
        <v>4.71</v>
      </c>
    </row>
    <row r="489" customFormat="false" ht="15" hidden="false" customHeight="false" outlineLevel="0" collapsed="false">
      <c r="A489" s="10" t="n">
        <v>45748</v>
      </c>
      <c r="B489" s="11" t="n">
        <f aca="false">YEAR(A489)</f>
        <v>2025</v>
      </c>
      <c r="C489" s="11" t="str">
        <f aca="false">"Q"&amp;ROUNDUP(MONTH(A489)/3,0)</f>
        <v>Q2</v>
      </c>
      <c r="D489" s="11" t="str">
        <f aca="false">B489&amp;"-"&amp;C489</f>
        <v>2025-Q2</v>
      </c>
      <c r="E489" s="11" t="n">
        <f aca="false">MONTH(A489)</f>
        <v>4</v>
      </c>
      <c r="F489" s="11" t="str">
        <f aca="false">TEXT(A489,"mmm")</f>
        <v>Apr</v>
      </c>
      <c r="G489" s="11" t="s">
        <v>202</v>
      </c>
      <c r="H489" s="11" t="s">
        <v>204</v>
      </c>
      <c r="I489" s="12" t="n">
        <v>13524989</v>
      </c>
      <c r="J489" s="12" t="n">
        <v>4512367</v>
      </c>
      <c r="K489" s="13" t="n">
        <f aca="false">IF(I489=0,0,J489/I489)</f>
        <v>0.333631842510186</v>
      </c>
      <c r="L489" s="12" t="n">
        <v>1113977</v>
      </c>
      <c r="M489" s="12" t="n">
        <v>1276167</v>
      </c>
      <c r="N489" s="12" t="n">
        <v>151919</v>
      </c>
      <c r="O489" s="12" t="n">
        <v>129624</v>
      </c>
      <c r="P489" s="12" t="n">
        <f aca="false">M489+N489+O489</f>
        <v>1557710</v>
      </c>
      <c r="Q489" s="13" t="n">
        <f aca="false">IF(I489=0,0,P489/I489)</f>
        <v>0.115172736924222</v>
      </c>
      <c r="R489" s="13" t="n">
        <v>0.0428</v>
      </c>
      <c r="S489" s="14" t="n">
        <v>9852844</v>
      </c>
      <c r="T489" s="14" t="n">
        <v>722663</v>
      </c>
      <c r="U489" s="14" t="n">
        <v>528617</v>
      </c>
      <c r="V489" s="14" t="n">
        <v>538004</v>
      </c>
      <c r="W489" s="14" t="n">
        <f aca="false">S489+T489+U489+V489</f>
        <v>11642128</v>
      </c>
      <c r="X489" s="15" t="n">
        <f aca="false">IF(P489=0,0,S489/P489)</f>
        <v>6.32521072600163</v>
      </c>
      <c r="Y489" s="15" t="n">
        <f aca="false">IF(J489=0,0,W489/J489)</f>
        <v>2.58004900753862</v>
      </c>
      <c r="Z489" s="14" t="n">
        <v>1968219</v>
      </c>
      <c r="AA489" s="15" t="n">
        <f aca="false">IF(L489=0,0,Z489/L489)</f>
        <v>1.76683988987205</v>
      </c>
      <c r="AB489" s="12" t="n">
        <v>372027911</v>
      </c>
      <c r="AC489" s="16" t="n">
        <v>12.9</v>
      </c>
      <c r="AD489" s="16" t="n">
        <v>24.6</v>
      </c>
      <c r="AE489" s="13" t="n">
        <v>0.435</v>
      </c>
      <c r="AF489" s="13" t="n">
        <v>0.603</v>
      </c>
      <c r="AG489" s="13" t="n">
        <v>0.353</v>
      </c>
      <c r="AH489" s="13" t="n">
        <v>0.224</v>
      </c>
      <c r="AI489" s="17" t="n">
        <v>4.68</v>
      </c>
    </row>
    <row r="490" customFormat="false" ht="15" hidden="false" customHeight="false" outlineLevel="0" collapsed="false">
      <c r="A490" s="10" t="n">
        <v>45748</v>
      </c>
      <c r="B490" s="11" t="n">
        <f aca="false">YEAR(A490)</f>
        <v>2025</v>
      </c>
      <c r="C490" s="11" t="str">
        <f aca="false">"Q"&amp;ROUNDUP(MONTH(A490)/3,0)</f>
        <v>Q2</v>
      </c>
      <c r="D490" s="11" t="str">
        <f aca="false">B490&amp;"-"&amp;C490</f>
        <v>2025-Q2</v>
      </c>
      <c r="E490" s="11" t="n">
        <f aca="false">MONTH(A490)</f>
        <v>4</v>
      </c>
      <c r="F490" s="11" t="str">
        <f aca="false">TEXT(A490,"mmm")</f>
        <v>Apr</v>
      </c>
      <c r="G490" s="11" t="s">
        <v>202</v>
      </c>
      <c r="H490" s="11" t="s">
        <v>205</v>
      </c>
      <c r="I490" s="12" t="n">
        <v>3825053</v>
      </c>
      <c r="J490" s="12" t="n">
        <v>1194201</v>
      </c>
      <c r="K490" s="13" t="n">
        <f aca="false">IF(I490=0,0,J490/I490)</f>
        <v>0.312205085785739</v>
      </c>
      <c r="L490" s="12" t="n">
        <v>358649</v>
      </c>
      <c r="M490" s="12" t="n">
        <v>321752</v>
      </c>
      <c r="N490" s="12" t="n">
        <v>40410</v>
      </c>
      <c r="O490" s="12" t="n">
        <v>21271</v>
      </c>
      <c r="P490" s="12" t="n">
        <f aca="false">M490+N490+O490</f>
        <v>383433</v>
      </c>
      <c r="Q490" s="13" t="n">
        <f aca="false">IF(I490=0,0,P490/I490)</f>
        <v>0.10024253258713</v>
      </c>
      <c r="R490" s="13" t="n">
        <v>0.0466</v>
      </c>
      <c r="S490" s="14" t="n">
        <v>2615879</v>
      </c>
      <c r="T490" s="14" t="n">
        <v>184115</v>
      </c>
      <c r="U490" s="14" t="n">
        <v>144473</v>
      </c>
      <c r="V490" s="14" t="n">
        <v>147225</v>
      </c>
      <c r="W490" s="14" t="n">
        <f aca="false">S490+T490+U490+V490</f>
        <v>3091692</v>
      </c>
      <c r="X490" s="15" t="n">
        <f aca="false">IF(P490=0,0,S490/P490)</f>
        <v>6.82225838673249</v>
      </c>
      <c r="Y490" s="15" t="n">
        <f aca="false">IF(J490=0,0,W490/J490)</f>
        <v>2.58892096054182</v>
      </c>
      <c r="Z490" s="14" t="n">
        <v>492366</v>
      </c>
      <c r="AA490" s="15" t="n">
        <f aca="false">IF(L490=0,0,Z490/L490)</f>
        <v>1.37283527906114</v>
      </c>
      <c r="AB490" s="12" t="n">
        <v>96286226</v>
      </c>
      <c r="AC490" s="16" t="n">
        <v>11.7</v>
      </c>
      <c r="AD490" s="16" t="n">
        <v>26.8</v>
      </c>
      <c r="AE490" s="13" t="n">
        <v>0.433</v>
      </c>
      <c r="AF490" s="13" t="n">
        <v>0.599</v>
      </c>
      <c r="AG490" s="13" t="n">
        <v>0.371</v>
      </c>
      <c r="AH490" s="13" t="n">
        <v>0.218</v>
      </c>
      <c r="AI490" s="17"/>
    </row>
    <row r="491" customFormat="false" ht="15" hidden="false" customHeight="false" outlineLevel="0" collapsed="false">
      <c r="A491" s="10" t="n">
        <v>45748</v>
      </c>
      <c r="B491" s="11" t="n">
        <f aca="false">YEAR(A491)</f>
        <v>2025</v>
      </c>
      <c r="C491" s="11" t="str">
        <f aca="false">"Q"&amp;ROUNDUP(MONTH(A491)/3,0)</f>
        <v>Q2</v>
      </c>
      <c r="D491" s="11" t="str">
        <f aca="false">B491&amp;"-"&amp;C491</f>
        <v>2025-Q2</v>
      </c>
      <c r="E491" s="11" t="n">
        <f aca="false">MONTH(A491)</f>
        <v>4</v>
      </c>
      <c r="F491" s="11" t="str">
        <f aca="false">TEXT(A491,"mmm")</f>
        <v>Apr</v>
      </c>
      <c r="G491" s="11" t="s">
        <v>206</v>
      </c>
      <c r="H491" s="11" t="s">
        <v>203</v>
      </c>
      <c r="I491" s="12" t="n">
        <v>10375939</v>
      </c>
      <c r="J491" s="12" t="n">
        <v>3924030</v>
      </c>
      <c r="K491" s="13" t="n">
        <f aca="false">IF(I491=0,0,J491/I491)</f>
        <v>0.378185530967366</v>
      </c>
      <c r="L491" s="12" t="n">
        <v>1168230</v>
      </c>
      <c r="M491" s="12" t="n">
        <v>1389042</v>
      </c>
      <c r="N491" s="12" t="n">
        <v>190403</v>
      </c>
      <c r="O491" s="12" t="n">
        <v>117689</v>
      </c>
      <c r="P491" s="12" t="n">
        <f aca="false">M491+N491+O491</f>
        <v>1697134</v>
      </c>
      <c r="Q491" s="13" t="n">
        <f aca="false">IF(I491=0,0,P491/I491)</f>
        <v>0.163564377161431</v>
      </c>
      <c r="R491" s="13" t="n">
        <v>0.0381</v>
      </c>
      <c r="S491" s="14" t="n">
        <v>10152199</v>
      </c>
      <c r="T491" s="14" t="n">
        <v>731788</v>
      </c>
      <c r="U491" s="14" t="n">
        <v>508456</v>
      </c>
      <c r="V491" s="14" t="n">
        <v>531741</v>
      </c>
      <c r="W491" s="14" t="n">
        <f aca="false">S491+T491+U491+V491</f>
        <v>11924184</v>
      </c>
      <c r="X491" s="15" t="n">
        <f aca="false">IF(P491=0,0,S491/P491)</f>
        <v>5.98196665672834</v>
      </c>
      <c r="Y491" s="15" t="n">
        <f aca="false">IF(J491=0,0,W491/J491)</f>
        <v>3.03875964251038</v>
      </c>
      <c r="Z491" s="14" t="n">
        <v>2035028</v>
      </c>
      <c r="AA491" s="15" t="n">
        <f aca="false">IF(L491=0,0,Z491/L491)</f>
        <v>1.74197546715972</v>
      </c>
      <c r="AB491" s="12" t="n">
        <v>326112344</v>
      </c>
      <c r="AC491" s="16" t="n">
        <v>13.2</v>
      </c>
      <c r="AD491" s="16" t="n">
        <v>24.4</v>
      </c>
      <c r="AE491" s="13" t="n">
        <v>0.438</v>
      </c>
      <c r="AF491" s="13" t="n">
        <v>0.604</v>
      </c>
      <c r="AG491" s="13" t="n">
        <v>0.36</v>
      </c>
      <c r="AH491" s="13" t="n">
        <v>0.227</v>
      </c>
      <c r="AI491" s="17" t="n">
        <v>4.76</v>
      </c>
    </row>
    <row r="492" customFormat="false" ht="15" hidden="false" customHeight="false" outlineLevel="0" collapsed="false">
      <c r="A492" s="10" t="n">
        <v>45748</v>
      </c>
      <c r="B492" s="11" t="n">
        <f aca="false">YEAR(A492)</f>
        <v>2025</v>
      </c>
      <c r="C492" s="11" t="str">
        <f aca="false">"Q"&amp;ROUNDUP(MONTH(A492)/3,0)</f>
        <v>Q2</v>
      </c>
      <c r="D492" s="11" t="str">
        <f aca="false">B492&amp;"-"&amp;C492</f>
        <v>2025-Q2</v>
      </c>
      <c r="E492" s="11" t="n">
        <f aca="false">MONTH(A492)</f>
        <v>4</v>
      </c>
      <c r="F492" s="11" t="str">
        <f aca="false">TEXT(A492,"mmm")</f>
        <v>Apr</v>
      </c>
      <c r="G492" s="11" t="s">
        <v>206</v>
      </c>
      <c r="H492" s="11" t="s">
        <v>204</v>
      </c>
      <c r="I492" s="12" t="n">
        <v>14620995</v>
      </c>
      <c r="J492" s="12" t="n">
        <v>5000984</v>
      </c>
      <c r="K492" s="13" t="n">
        <f aca="false">IF(I492=0,0,J492/I492)</f>
        <v>0.342041290623518</v>
      </c>
      <c r="L492" s="12" t="n">
        <v>1598235</v>
      </c>
      <c r="M492" s="12" t="n">
        <v>764732</v>
      </c>
      <c r="N492" s="12" t="n">
        <v>98180</v>
      </c>
      <c r="O492" s="12" t="n">
        <v>47341</v>
      </c>
      <c r="P492" s="12" t="n">
        <f aca="false">M492+N492+O492</f>
        <v>910253</v>
      </c>
      <c r="Q492" s="13" t="n">
        <f aca="false">IF(I492=0,0,P492/I492)</f>
        <v>0.0622565700897921</v>
      </c>
      <c r="R492" s="13" t="n">
        <v>0.0351</v>
      </c>
      <c r="S492" s="14" t="n">
        <v>6231707</v>
      </c>
      <c r="T492" s="14" t="n">
        <v>431049</v>
      </c>
      <c r="U492" s="14" t="n">
        <v>336636</v>
      </c>
      <c r="V492" s="14" t="n">
        <v>365109</v>
      </c>
      <c r="W492" s="14" t="n">
        <f aca="false">S492+T492+U492+V492</f>
        <v>7364501</v>
      </c>
      <c r="X492" s="15" t="n">
        <f aca="false">IF(P492=0,0,S492/P492)</f>
        <v>6.84612629675486</v>
      </c>
      <c r="Y492" s="15" t="n">
        <f aca="false">IF(J492=0,0,W492/J492)</f>
        <v>1.47261039027519</v>
      </c>
      <c r="Z492" s="14" t="n">
        <v>1312927</v>
      </c>
      <c r="AA492" s="15" t="n">
        <f aca="false">IF(L492=0,0,Z492/L492)</f>
        <v>0.82148557627633</v>
      </c>
      <c r="AB492" s="12" t="n">
        <v>419157706</v>
      </c>
      <c r="AC492" s="16" t="n">
        <v>13</v>
      </c>
      <c r="AD492" s="16" t="n">
        <v>26</v>
      </c>
      <c r="AE492" s="13" t="n">
        <v>0.433</v>
      </c>
      <c r="AF492" s="13" t="n">
        <v>0.601</v>
      </c>
      <c r="AG492" s="13" t="n">
        <v>0.363</v>
      </c>
      <c r="AH492" s="13" t="n">
        <v>0.227</v>
      </c>
      <c r="AI492" s="17" t="n">
        <v>4.69</v>
      </c>
    </row>
    <row r="493" customFormat="false" ht="15" hidden="false" customHeight="false" outlineLevel="0" collapsed="false">
      <c r="A493" s="10" t="n">
        <v>45748</v>
      </c>
      <c r="B493" s="11" t="n">
        <f aca="false">YEAR(A493)</f>
        <v>2025</v>
      </c>
      <c r="C493" s="11" t="str">
        <f aca="false">"Q"&amp;ROUNDUP(MONTH(A493)/3,0)</f>
        <v>Q2</v>
      </c>
      <c r="D493" s="11" t="str">
        <f aca="false">B493&amp;"-"&amp;C493</f>
        <v>2025-Q2</v>
      </c>
      <c r="E493" s="11" t="n">
        <f aca="false">MONTH(A493)</f>
        <v>4</v>
      </c>
      <c r="F493" s="11" t="str">
        <f aca="false">TEXT(A493,"mmm")</f>
        <v>Apr</v>
      </c>
      <c r="G493" s="11" t="s">
        <v>206</v>
      </c>
      <c r="H493" s="11" t="s">
        <v>205</v>
      </c>
      <c r="I493" s="12" t="n">
        <v>4360788</v>
      </c>
      <c r="J493" s="12" t="n">
        <v>1354378</v>
      </c>
      <c r="K493" s="13" t="n">
        <f aca="false">IF(I493=0,0,J493/I493)</f>
        <v>0.31058102342971</v>
      </c>
      <c r="L493" s="12" t="n">
        <v>410873</v>
      </c>
      <c r="M493" s="12" t="n">
        <v>213366</v>
      </c>
      <c r="N493" s="12" t="n">
        <v>24420</v>
      </c>
      <c r="O493" s="12" t="n">
        <v>8541</v>
      </c>
      <c r="P493" s="12" t="n">
        <f aca="false">M493+N493+O493</f>
        <v>246327</v>
      </c>
      <c r="Q493" s="13" t="n">
        <f aca="false">IF(I493=0,0,P493/I493)</f>
        <v>0.0564868092647476</v>
      </c>
      <c r="R493" s="13" t="n">
        <v>0.0446</v>
      </c>
      <c r="S493" s="14" t="n">
        <v>1457108</v>
      </c>
      <c r="T493" s="14" t="n">
        <v>105352</v>
      </c>
      <c r="U493" s="14" t="n">
        <v>73689</v>
      </c>
      <c r="V493" s="14" t="n">
        <v>85972</v>
      </c>
      <c r="W493" s="14" t="n">
        <f aca="false">S493+T493+U493+V493</f>
        <v>1722121</v>
      </c>
      <c r="X493" s="15" t="n">
        <f aca="false">IF(P493=0,0,S493/P493)</f>
        <v>5.91534017789361</v>
      </c>
      <c r="Y493" s="15" t="n">
        <f aca="false">IF(J493=0,0,W493/J493)</f>
        <v>1.27152168744619</v>
      </c>
      <c r="Z493" s="14" t="n">
        <v>279986</v>
      </c>
      <c r="AA493" s="15" t="n">
        <f aca="false">IF(L493=0,0,Z493/L493)</f>
        <v>0.681441710698927</v>
      </c>
      <c r="AB493" s="12" t="n">
        <v>113308607</v>
      </c>
      <c r="AC493" s="16" t="n">
        <v>12</v>
      </c>
      <c r="AD493" s="16" t="n">
        <v>25.4</v>
      </c>
      <c r="AE493" s="13" t="n">
        <v>0.43</v>
      </c>
      <c r="AF493" s="13" t="n">
        <v>0.603</v>
      </c>
      <c r="AG493" s="13" t="n">
        <v>0.352</v>
      </c>
      <c r="AH493" s="13" t="n">
        <v>0.222</v>
      </c>
      <c r="AI493" s="17"/>
    </row>
    <row r="494" customFormat="false" ht="15" hidden="false" customHeight="false" outlineLevel="0" collapsed="false">
      <c r="A494" s="10" t="n">
        <v>45748</v>
      </c>
      <c r="B494" s="11" t="n">
        <f aca="false">YEAR(A494)</f>
        <v>2025</v>
      </c>
      <c r="C494" s="11" t="str">
        <f aca="false">"Q"&amp;ROUNDUP(MONTH(A494)/3,0)</f>
        <v>Q2</v>
      </c>
      <c r="D494" s="11" t="str">
        <f aca="false">B494&amp;"-"&amp;C494</f>
        <v>2025-Q2</v>
      </c>
      <c r="E494" s="11" t="n">
        <f aca="false">MONTH(A494)</f>
        <v>4</v>
      </c>
      <c r="F494" s="11" t="str">
        <f aca="false">TEXT(A494,"mmm")</f>
        <v>Apr</v>
      </c>
      <c r="G494" s="11" t="s">
        <v>207</v>
      </c>
      <c r="H494" s="11" t="s">
        <v>203</v>
      </c>
      <c r="I494" s="12" t="n">
        <v>10622584</v>
      </c>
      <c r="J494" s="12" t="n">
        <v>3763502</v>
      </c>
      <c r="K494" s="13" t="n">
        <f aca="false">IF(I494=0,0,J494/I494)</f>
        <v>0.354292514890915</v>
      </c>
      <c r="L494" s="12" t="n">
        <v>1107483</v>
      </c>
      <c r="M494" s="12" t="n">
        <v>723098</v>
      </c>
      <c r="N494" s="12" t="n">
        <v>84300</v>
      </c>
      <c r="O494" s="12" t="n">
        <v>41192</v>
      </c>
      <c r="P494" s="12" t="n">
        <f aca="false">M494+N494+O494</f>
        <v>848590</v>
      </c>
      <c r="Q494" s="13" t="n">
        <f aca="false">IF(I494=0,0,P494/I494)</f>
        <v>0.0798854591312246</v>
      </c>
      <c r="R494" s="13" t="n">
        <v>0.0379</v>
      </c>
      <c r="S494" s="14" t="n">
        <v>5109470</v>
      </c>
      <c r="T494" s="14" t="n">
        <v>316413</v>
      </c>
      <c r="U494" s="14" t="n">
        <v>280410</v>
      </c>
      <c r="V494" s="14" t="n">
        <v>288616</v>
      </c>
      <c r="W494" s="14" t="n">
        <f aca="false">S494+T494+U494+V494</f>
        <v>5994909</v>
      </c>
      <c r="X494" s="15" t="n">
        <f aca="false">IF(P494=0,0,S494/P494)</f>
        <v>6.02112916720678</v>
      </c>
      <c r="Y494" s="15" t="n">
        <f aca="false">IF(J494=0,0,W494/J494)</f>
        <v>1.59290708494376</v>
      </c>
      <c r="Z494" s="14" t="n">
        <v>1047631</v>
      </c>
      <c r="AA494" s="15" t="n">
        <f aca="false">IF(L494=0,0,Z494/L494)</f>
        <v>0.945956732518693</v>
      </c>
      <c r="AB494" s="12" t="n">
        <v>320017729</v>
      </c>
      <c r="AC494" s="16" t="n">
        <v>13.3</v>
      </c>
      <c r="AD494" s="16" t="n">
        <v>26.1</v>
      </c>
      <c r="AE494" s="13" t="n">
        <v>0.448</v>
      </c>
      <c r="AF494" s="13" t="n">
        <v>0.615</v>
      </c>
      <c r="AG494" s="13" t="n">
        <v>0.368</v>
      </c>
      <c r="AH494" s="13" t="n">
        <v>0.212</v>
      </c>
      <c r="AI494" s="17" t="n">
        <v>4.73</v>
      </c>
    </row>
    <row r="495" customFormat="false" ht="15" hidden="false" customHeight="false" outlineLevel="0" collapsed="false">
      <c r="A495" s="10" t="n">
        <v>45748</v>
      </c>
      <c r="B495" s="11" t="n">
        <f aca="false">YEAR(A495)</f>
        <v>2025</v>
      </c>
      <c r="C495" s="11" t="str">
        <f aca="false">"Q"&amp;ROUNDUP(MONTH(A495)/3,0)</f>
        <v>Q2</v>
      </c>
      <c r="D495" s="11" t="str">
        <f aca="false">B495&amp;"-"&amp;C495</f>
        <v>2025-Q2</v>
      </c>
      <c r="E495" s="11" t="n">
        <f aca="false">MONTH(A495)</f>
        <v>4</v>
      </c>
      <c r="F495" s="11" t="str">
        <f aca="false">TEXT(A495,"mmm")</f>
        <v>Apr</v>
      </c>
      <c r="G495" s="11" t="s">
        <v>207</v>
      </c>
      <c r="H495" s="11" t="s">
        <v>204</v>
      </c>
      <c r="I495" s="12" t="n">
        <v>12914012</v>
      </c>
      <c r="J495" s="12" t="n">
        <v>4197543</v>
      </c>
      <c r="K495" s="13" t="n">
        <f aca="false">IF(I495=0,0,J495/I495)</f>
        <v>0.32503787359033</v>
      </c>
      <c r="L495" s="12" t="n">
        <v>1240006</v>
      </c>
      <c r="M495" s="12" t="n">
        <v>431050</v>
      </c>
      <c r="N495" s="12" t="n">
        <v>51413</v>
      </c>
      <c r="O495" s="12" t="n">
        <v>18228</v>
      </c>
      <c r="P495" s="12" t="n">
        <f aca="false">M495+N495+O495</f>
        <v>500691</v>
      </c>
      <c r="Q495" s="13" t="n">
        <f aca="false">IF(I495=0,0,P495/I495)</f>
        <v>0.0387711425388175</v>
      </c>
      <c r="R495" s="13" t="n">
        <v>0.037</v>
      </c>
      <c r="S495" s="14" t="n">
        <v>3158384</v>
      </c>
      <c r="T495" s="14" t="n">
        <v>208984</v>
      </c>
      <c r="U495" s="14" t="n">
        <v>155336</v>
      </c>
      <c r="V495" s="14" t="n">
        <v>172339</v>
      </c>
      <c r="W495" s="14" t="n">
        <f aca="false">S495+T495+U495+V495</f>
        <v>3695043</v>
      </c>
      <c r="X495" s="15" t="n">
        <f aca="false">IF(P495=0,0,S495/P495)</f>
        <v>6.30805027452061</v>
      </c>
      <c r="Y495" s="15" t="n">
        <f aca="false">IF(J495=0,0,W495/J495)</f>
        <v>0.880287110816971</v>
      </c>
      <c r="Z495" s="14" t="n">
        <v>607599</v>
      </c>
      <c r="AA495" s="15" t="n">
        <f aca="false">IF(L495=0,0,Z495/L495)</f>
        <v>0.48999682259602</v>
      </c>
      <c r="AB495" s="12" t="n">
        <v>353097750</v>
      </c>
      <c r="AC495" s="16" t="n">
        <v>13.2</v>
      </c>
      <c r="AD495" s="16" t="n">
        <v>25.6</v>
      </c>
      <c r="AE495" s="13" t="n">
        <v>0.439</v>
      </c>
      <c r="AF495" s="13" t="n">
        <v>0.603</v>
      </c>
      <c r="AG495" s="13" t="n">
        <v>0.363</v>
      </c>
      <c r="AH495" s="13" t="n">
        <v>0.217</v>
      </c>
      <c r="AI495" s="17" t="n">
        <v>4.7</v>
      </c>
    </row>
    <row r="496" customFormat="false" ht="15" hidden="false" customHeight="false" outlineLevel="0" collapsed="false">
      <c r="A496" s="10" t="n">
        <v>45748</v>
      </c>
      <c r="B496" s="11" t="n">
        <f aca="false">YEAR(A496)</f>
        <v>2025</v>
      </c>
      <c r="C496" s="11" t="str">
        <f aca="false">"Q"&amp;ROUNDUP(MONTH(A496)/3,0)</f>
        <v>Q2</v>
      </c>
      <c r="D496" s="11" t="str">
        <f aca="false">B496&amp;"-"&amp;C496</f>
        <v>2025-Q2</v>
      </c>
      <c r="E496" s="11" t="n">
        <f aca="false">MONTH(A496)</f>
        <v>4</v>
      </c>
      <c r="F496" s="11" t="str">
        <f aca="false">TEXT(A496,"mmm")</f>
        <v>Apr</v>
      </c>
      <c r="G496" s="11" t="s">
        <v>207</v>
      </c>
      <c r="H496" s="11" t="s">
        <v>205</v>
      </c>
      <c r="I496" s="12" t="n">
        <v>4123164</v>
      </c>
      <c r="J496" s="12" t="n">
        <v>1191228</v>
      </c>
      <c r="K496" s="13" t="n">
        <f aca="false">IF(I496=0,0,J496/I496)</f>
        <v>0.288911137175237</v>
      </c>
      <c r="L496" s="12" t="n">
        <v>358825</v>
      </c>
      <c r="M496" s="12" t="n">
        <v>123781</v>
      </c>
      <c r="N496" s="12" t="n">
        <v>14603</v>
      </c>
      <c r="O496" s="12" t="n">
        <v>3442</v>
      </c>
      <c r="P496" s="12" t="n">
        <f aca="false">M496+N496+O496</f>
        <v>141826</v>
      </c>
      <c r="Q496" s="13" t="n">
        <f aca="false">IF(I496=0,0,P496/I496)</f>
        <v>0.0343973705629948</v>
      </c>
      <c r="R496" s="13" t="n">
        <v>0.0418</v>
      </c>
      <c r="S496" s="14" t="n">
        <v>843392</v>
      </c>
      <c r="T496" s="14" t="n">
        <v>56799</v>
      </c>
      <c r="U496" s="14" t="n">
        <v>44905</v>
      </c>
      <c r="V496" s="14" t="n">
        <v>50242</v>
      </c>
      <c r="W496" s="14" t="n">
        <f aca="false">S496+T496+U496+V496</f>
        <v>995338</v>
      </c>
      <c r="X496" s="15" t="n">
        <f aca="false">IF(P496=0,0,S496/P496)</f>
        <v>5.94666704271431</v>
      </c>
      <c r="Y496" s="15" t="n">
        <f aca="false">IF(J496=0,0,W496/J496)</f>
        <v>0.835556249517305</v>
      </c>
      <c r="Z496" s="14" t="n">
        <v>163377</v>
      </c>
      <c r="AA496" s="15" t="n">
        <f aca="false">IF(L496=0,0,Z496/L496)</f>
        <v>0.455311084790636</v>
      </c>
      <c r="AB496" s="12" t="n">
        <v>98830635</v>
      </c>
      <c r="AC496" s="16" t="n">
        <v>11.8</v>
      </c>
      <c r="AD496" s="16" t="n">
        <v>26.3</v>
      </c>
      <c r="AE496" s="13" t="n">
        <v>0.416</v>
      </c>
      <c r="AF496" s="13" t="n">
        <v>0.592</v>
      </c>
      <c r="AG496" s="13" t="n">
        <v>0.377</v>
      </c>
      <c r="AH496" s="13" t="n">
        <v>0.221</v>
      </c>
      <c r="AI496" s="17"/>
    </row>
    <row r="497" customFormat="false" ht="15" hidden="false" customHeight="false" outlineLevel="0" collapsed="false">
      <c r="A497" s="10" t="n">
        <v>45748</v>
      </c>
      <c r="B497" s="11" t="n">
        <f aca="false">YEAR(A497)</f>
        <v>2025</v>
      </c>
      <c r="C497" s="11" t="str">
        <f aca="false">"Q"&amp;ROUNDUP(MONTH(A497)/3,0)</f>
        <v>Q2</v>
      </c>
      <c r="D497" s="11" t="str">
        <f aca="false">B497&amp;"-"&amp;C497</f>
        <v>2025-Q2</v>
      </c>
      <c r="E497" s="11" t="n">
        <f aca="false">MONTH(A497)</f>
        <v>4</v>
      </c>
      <c r="F497" s="11" t="str">
        <f aca="false">TEXT(A497,"mmm")</f>
        <v>Apr</v>
      </c>
      <c r="G497" s="11" t="s">
        <v>208</v>
      </c>
      <c r="H497" s="11" t="s">
        <v>203</v>
      </c>
      <c r="I497" s="12" t="n">
        <v>7589681</v>
      </c>
      <c r="J497" s="12" t="n">
        <v>2762724</v>
      </c>
      <c r="K497" s="13" t="n">
        <f aca="false">IF(I497=0,0,J497/I497)</f>
        <v>0.364010555911375</v>
      </c>
      <c r="L497" s="12" t="n">
        <v>880242</v>
      </c>
      <c r="M497" s="12" t="n">
        <v>356155</v>
      </c>
      <c r="N497" s="12" t="n">
        <v>41074</v>
      </c>
      <c r="O497" s="12" t="n">
        <v>14268</v>
      </c>
      <c r="P497" s="12" t="n">
        <f aca="false">M497+N497+O497</f>
        <v>411497</v>
      </c>
      <c r="Q497" s="13" t="n">
        <f aca="false">IF(I497=0,0,P497/I497)</f>
        <v>0.0542179572501137</v>
      </c>
      <c r="R497" s="13" t="n">
        <v>0.0388</v>
      </c>
      <c r="S497" s="14" t="n">
        <v>2570980</v>
      </c>
      <c r="T497" s="14" t="n">
        <v>169054</v>
      </c>
      <c r="U497" s="14" t="n">
        <v>127936</v>
      </c>
      <c r="V497" s="14" t="n">
        <v>135910</v>
      </c>
      <c r="W497" s="14" t="n">
        <f aca="false">S497+T497+U497+V497</f>
        <v>3003880</v>
      </c>
      <c r="X497" s="15" t="n">
        <f aca="false">IF(P497=0,0,S497/P497)</f>
        <v>6.24787057985842</v>
      </c>
      <c r="Y497" s="15" t="n">
        <f aca="false">IF(J497=0,0,W497/J497)</f>
        <v>1.08728921166211</v>
      </c>
      <c r="Z497" s="14" t="n">
        <v>466753</v>
      </c>
      <c r="AA497" s="15" t="n">
        <f aca="false">IF(L497=0,0,Z497/L497)</f>
        <v>0.530255316151695</v>
      </c>
      <c r="AB497" s="12" t="n">
        <v>232995597</v>
      </c>
      <c r="AC497" s="16" t="n">
        <v>13.5</v>
      </c>
      <c r="AD497" s="16" t="n">
        <v>26.1</v>
      </c>
      <c r="AE497" s="13" t="n">
        <v>0.452</v>
      </c>
      <c r="AF497" s="13" t="n">
        <v>0.606</v>
      </c>
      <c r="AG497" s="13" t="n">
        <v>0.37</v>
      </c>
      <c r="AH497" s="13" t="n">
        <v>0.222</v>
      </c>
      <c r="AI497" s="17" t="n">
        <v>4.73</v>
      </c>
    </row>
    <row r="498" customFormat="false" ht="15" hidden="false" customHeight="false" outlineLevel="0" collapsed="false">
      <c r="A498" s="10" t="n">
        <v>45748</v>
      </c>
      <c r="B498" s="11" t="n">
        <f aca="false">YEAR(A498)</f>
        <v>2025</v>
      </c>
      <c r="C498" s="11" t="str">
        <f aca="false">"Q"&amp;ROUNDUP(MONTH(A498)/3,0)</f>
        <v>Q2</v>
      </c>
      <c r="D498" s="11" t="str">
        <f aca="false">B498&amp;"-"&amp;C498</f>
        <v>2025-Q2</v>
      </c>
      <c r="E498" s="11" t="n">
        <f aca="false">MONTH(A498)</f>
        <v>4</v>
      </c>
      <c r="F498" s="11" t="str">
        <f aca="false">TEXT(A498,"mmm")</f>
        <v>Apr</v>
      </c>
      <c r="G498" s="11" t="s">
        <v>208</v>
      </c>
      <c r="H498" s="11" t="s">
        <v>204</v>
      </c>
      <c r="I498" s="12" t="n">
        <v>11214852</v>
      </c>
      <c r="J498" s="12" t="n">
        <v>3800847</v>
      </c>
      <c r="K498" s="13" t="n">
        <f aca="false">IF(I498=0,0,J498/I498)</f>
        <v>0.338911917874618</v>
      </c>
      <c r="L498" s="12" t="n">
        <v>1015693</v>
      </c>
      <c r="M498" s="12" t="n">
        <v>211685</v>
      </c>
      <c r="N498" s="12" t="n">
        <v>24764</v>
      </c>
      <c r="O498" s="12" t="n">
        <v>6313</v>
      </c>
      <c r="P498" s="12" t="n">
        <f aca="false">M498+N498+O498</f>
        <v>242762</v>
      </c>
      <c r="Q498" s="13" t="n">
        <f aca="false">IF(I498=0,0,P498/I498)</f>
        <v>0.0216464738009918</v>
      </c>
      <c r="R498" s="13" t="n">
        <v>0.0368</v>
      </c>
      <c r="S498" s="14" t="n">
        <v>1408371</v>
      </c>
      <c r="T498" s="14" t="n">
        <v>106101</v>
      </c>
      <c r="U498" s="14" t="n">
        <v>72251</v>
      </c>
      <c r="V498" s="14" t="n">
        <v>75426</v>
      </c>
      <c r="W498" s="14" t="n">
        <f aca="false">S498+T498+U498+V498</f>
        <v>1662149</v>
      </c>
      <c r="X498" s="15" t="n">
        <f aca="false">IF(P498=0,0,S498/P498)</f>
        <v>5.80144750825912</v>
      </c>
      <c r="Y498" s="15" t="n">
        <f aca="false">IF(J498=0,0,W498/J498)</f>
        <v>0.437310157446485</v>
      </c>
      <c r="Z498" s="14" t="n">
        <v>270759</v>
      </c>
      <c r="AA498" s="15" t="n">
        <f aca="false">IF(L498=0,0,Z498/L498)</f>
        <v>0.266575628659447</v>
      </c>
      <c r="AB498" s="12" t="n">
        <v>328373086</v>
      </c>
      <c r="AC498" s="16" t="n">
        <v>12.9</v>
      </c>
      <c r="AD498" s="16" t="n">
        <v>25.4</v>
      </c>
      <c r="AE498" s="13" t="n">
        <v>0.437</v>
      </c>
      <c r="AF498" s="13" t="n">
        <v>0.591</v>
      </c>
      <c r="AG498" s="13" t="n">
        <v>0.371</v>
      </c>
      <c r="AH498" s="13" t="n">
        <v>0.218</v>
      </c>
      <c r="AI498" s="17" t="n">
        <v>4.7</v>
      </c>
    </row>
    <row r="499" customFormat="false" ht="15" hidden="false" customHeight="false" outlineLevel="0" collapsed="false">
      <c r="A499" s="10" t="n">
        <v>45748</v>
      </c>
      <c r="B499" s="11" t="n">
        <f aca="false">YEAR(A499)</f>
        <v>2025</v>
      </c>
      <c r="C499" s="11" t="str">
        <f aca="false">"Q"&amp;ROUNDUP(MONTH(A499)/3,0)</f>
        <v>Q2</v>
      </c>
      <c r="D499" s="11" t="str">
        <f aca="false">B499&amp;"-"&amp;C499</f>
        <v>2025-Q2</v>
      </c>
      <c r="E499" s="11" t="n">
        <f aca="false">MONTH(A499)</f>
        <v>4</v>
      </c>
      <c r="F499" s="11" t="str">
        <f aca="false">TEXT(A499,"mmm")</f>
        <v>Apr</v>
      </c>
      <c r="G499" s="11" t="s">
        <v>208</v>
      </c>
      <c r="H499" s="11" t="s">
        <v>205</v>
      </c>
      <c r="I499" s="12" t="n">
        <v>2958902</v>
      </c>
      <c r="J499" s="12" t="n">
        <v>931259</v>
      </c>
      <c r="K499" s="13" t="n">
        <f aca="false">IF(I499=0,0,J499/I499)</f>
        <v>0.314731275317669</v>
      </c>
      <c r="L499" s="12" t="n">
        <v>289763</v>
      </c>
      <c r="M499" s="12" t="n">
        <v>56479</v>
      </c>
      <c r="N499" s="12" t="n">
        <v>6336</v>
      </c>
      <c r="O499" s="12" t="n">
        <v>1108</v>
      </c>
      <c r="P499" s="12" t="n">
        <f aca="false">M499+N499+O499</f>
        <v>63923</v>
      </c>
      <c r="Q499" s="13" t="n">
        <f aca="false">IF(I499=0,0,P499/I499)</f>
        <v>0.0216036218840638</v>
      </c>
      <c r="R499" s="13" t="n">
        <v>0.0422</v>
      </c>
      <c r="S499" s="14" t="n">
        <v>395924</v>
      </c>
      <c r="T499" s="14" t="n">
        <v>28073</v>
      </c>
      <c r="U499" s="14" t="n">
        <v>21581</v>
      </c>
      <c r="V499" s="14" t="n">
        <v>22130</v>
      </c>
      <c r="W499" s="14" t="n">
        <f aca="false">S499+T499+U499+V499</f>
        <v>467708</v>
      </c>
      <c r="X499" s="15" t="n">
        <f aca="false">IF(P499=0,0,S499/P499)</f>
        <v>6.19376437276098</v>
      </c>
      <c r="Y499" s="15" t="n">
        <f aca="false">IF(J499=0,0,W499/J499)</f>
        <v>0.502231924738446</v>
      </c>
      <c r="Z499" s="14" t="n">
        <v>75181</v>
      </c>
      <c r="AA499" s="15" t="n">
        <f aca="false">IF(L499=0,0,Z499/L499)</f>
        <v>0.259456866473635</v>
      </c>
      <c r="AB499" s="12" t="n">
        <v>80211637</v>
      </c>
      <c r="AC499" s="16" t="n">
        <v>11.8</v>
      </c>
      <c r="AD499" s="16" t="n">
        <v>25.7</v>
      </c>
      <c r="AE499" s="13" t="n">
        <v>0.44</v>
      </c>
      <c r="AF499" s="13" t="n">
        <v>0.601</v>
      </c>
      <c r="AG499" s="13" t="n">
        <v>0.36</v>
      </c>
      <c r="AH499" s="13" t="n">
        <v>0.22</v>
      </c>
      <c r="AI499" s="17"/>
    </row>
    <row r="500" customFormat="false" ht="15" hidden="false" customHeight="false" outlineLevel="0" collapsed="false">
      <c r="A500" s="10" t="n">
        <v>45748</v>
      </c>
      <c r="B500" s="11" t="n">
        <f aca="false">YEAR(A500)</f>
        <v>2025</v>
      </c>
      <c r="C500" s="11" t="str">
        <f aca="false">"Q"&amp;ROUNDUP(MONTH(A500)/3,0)</f>
        <v>Q2</v>
      </c>
      <c r="D500" s="11" t="str">
        <f aca="false">B500&amp;"-"&amp;C500</f>
        <v>2025-Q2</v>
      </c>
      <c r="E500" s="11" t="n">
        <f aca="false">MONTH(A500)</f>
        <v>4</v>
      </c>
      <c r="F500" s="11" t="str">
        <f aca="false">TEXT(A500,"mmm")</f>
        <v>Apr</v>
      </c>
      <c r="G500" s="11" t="s">
        <v>209</v>
      </c>
      <c r="H500" s="11" t="s">
        <v>203</v>
      </c>
      <c r="I500" s="12" t="n">
        <v>4334998</v>
      </c>
      <c r="J500" s="12" t="n">
        <v>1521861</v>
      </c>
      <c r="K500" s="13" t="n">
        <f aca="false">IF(I500=0,0,J500/I500)</f>
        <v>0.351063829787234</v>
      </c>
      <c r="L500" s="12" t="n">
        <v>542764</v>
      </c>
      <c r="M500" s="12" t="n">
        <v>140173</v>
      </c>
      <c r="N500" s="12" t="n">
        <v>17638</v>
      </c>
      <c r="O500" s="12" t="n">
        <v>4502</v>
      </c>
      <c r="P500" s="12" t="n">
        <f aca="false">M500+N500+O500</f>
        <v>162313</v>
      </c>
      <c r="Q500" s="13" t="n">
        <f aca="false">IF(I500=0,0,P500/I500)</f>
        <v>0.037442462487872</v>
      </c>
      <c r="R500" s="13" t="n">
        <v>0.0392</v>
      </c>
      <c r="S500" s="14" t="n">
        <v>1079409</v>
      </c>
      <c r="T500" s="14" t="n">
        <v>77174</v>
      </c>
      <c r="U500" s="14" t="n">
        <v>53942</v>
      </c>
      <c r="V500" s="14" t="n">
        <v>60598</v>
      </c>
      <c r="W500" s="14" t="n">
        <f aca="false">S500+T500+U500+V500</f>
        <v>1271123</v>
      </c>
      <c r="X500" s="15" t="n">
        <f aca="false">IF(P500=0,0,S500/P500)</f>
        <v>6.65016973378596</v>
      </c>
      <c r="Y500" s="15" t="n">
        <f aca="false">IF(J500=0,0,W500/J500)</f>
        <v>0.835242509007064</v>
      </c>
      <c r="Z500" s="14" t="n">
        <v>195969</v>
      </c>
      <c r="AA500" s="15" t="n">
        <f aca="false">IF(L500=0,0,Z500/L500)</f>
        <v>0.361057476177492</v>
      </c>
      <c r="AB500" s="12" t="n">
        <v>128011916</v>
      </c>
      <c r="AC500" s="16" t="n">
        <v>13.4</v>
      </c>
      <c r="AD500" s="16" t="n">
        <v>25.2</v>
      </c>
      <c r="AE500" s="13" t="n">
        <v>0.452</v>
      </c>
      <c r="AF500" s="13" t="n">
        <v>0.597</v>
      </c>
      <c r="AG500" s="13" t="n">
        <v>0.367</v>
      </c>
      <c r="AH500" s="13" t="n">
        <v>0.219</v>
      </c>
      <c r="AI500" s="17" t="n">
        <v>4.73</v>
      </c>
    </row>
    <row r="501" customFormat="false" ht="15" hidden="false" customHeight="false" outlineLevel="0" collapsed="false">
      <c r="A501" s="10" t="n">
        <v>45748</v>
      </c>
      <c r="B501" s="11" t="n">
        <f aca="false">YEAR(A501)</f>
        <v>2025</v>
      </c>
      <c r="C501" s="11" t="str">
        <f aca="false">"Q"&amp;ROUNDUP(MONTH(A501)/3,0)</f>
        <v>Q2</v>
      </c>
      <c r="D501" s="11" t="str">
        <f aca="false">B501&amp;"-"&amp;C501</f>
        <v>2025-Q2</v>
      </c>
      <c r="E501" s="11" t="n">
        <f aca="false">MONTH(A501)</f>
        <v>4</v>
      </c>
      <c r="F501" s="11" t="str">
        <f aca="false">TEXT(A501,"mmm")</f>
        <v>Apr</v>
      </c>
      <c r="G501" s="11" t="s">
        <v>209</v>
      </c>
      <c r="H501" s="11" t="s">
        <v>204</v>
      </c>
      <c r="I501" s="12" t="n">
        <v>5530278</v>
      </c>
      <c r="J501" s="12" t="n">
        <v>1748678</v>
      </c>
      <c r="K501" s="13" t="n">
        <f aca="false">IF(I501=0,0,J501/I501)</f>
        <v>0.316200740722257</v>
      </c>
      <c r="L501" s="12" t="n">
        <v>636308</v>
      </c>
      <c r="M501" s="12" t="n">
        <v>85823</v>
      </c>
      <c r="N501" s="12" t="n">
        <v>10253</v>
      </c>
      <c r="O501" s="12" t="n">
        <v>2041</v>
      </c>
      <c r="P501" s="12" t="n">
        <f aca="false">M501+N501+O501</f>
        <v>98117</v>
      </c>
      <c r="Q501" s="13" t="n">
        <f aca="false">IF(I501=0,0,P501/I501)</f>
        <v>0.0177417844093914</v>
      </c>
      <c r="R501" s="13" t="n">
        <v>0.0408</v>
      </c>
      <c r="S501" s="14" t="n">
        <v>645446</v>
      </c>
      <c r="T501" s="14" t="n">
        <v>46578</v>
      </c>
      <c r="U501" s="14" t="n">
        <v>33437</v>
      </c>
      <c r="V501" s="14" t="n">
        <v>36790</v>
      </c>
      <c r="W501" s="14" t="n">
        <f aca="false">S501+T501+U501+V501</f>
        <v>762251</v>
      </c>
      <c r="X501" s="15" t="n">
        <f aca="false">IF(P501=0,0,S501/P501)</f>
        <v>6.57832995301528</v>
      </c>
      <c r="Y501" s="15" t="n">
        <f aca="false">IF(J501=0,0,W501/J501)</f>
        <v>0.435901292290519</v>
      </c>
      <c r="Z501" s="14" t="n">
        <v>137447</v>
      </c>
      <c r="AA501" s="15" t="n">
        <f aca="false">IF(L501=0,0,Z501/L501)</f>
        <v>0.216007028043023</v>
      </c>
      <c r="AB501" s="12" t="n">
        <v>141756779</v>
      </c>
      <c r="AC501" s="16" t="n">
        <v>13.2</v>
      </c>
      <c r="AD501" s="16" t="n">
        <v>25.1</v>
      </c>
      <c r="AE501" s="13" t="n">
        <v>0.433</v>
      </c>
      <c r="AF501" s="13" t="n">
        <v>0.602</v>
      </c>
      <c r="AG501" s="13" t="n">
        <v>0.369</v>
      </c>
      <c r="AH501" s="13" t="n">
        <v>0.208</v>
      </c>
      <c r="AI501" s="17" t="n">
        <v>4.69</v>
      </c>
    </row>
    <row r="502" customFormat="false" ht="15" hidden="false" customHeight="false" outlineLevel="0" collapsed="false">
      <c r="A502" s="10" t="n">
        <v>45748</v>
      </c>
      <c r="B502" s="11" t="n">
        <f aca="false">YEAR(A502)</f>
        <v>2025</v>
      </c>
      <c r="C502" s="11" t="str">
        <f aca="false">"Q"&amp;ROUNDUP(MONTH(A502)/3,0)</f>
        <v>Q2</v>
      </c>
      <c r="D502" s="11" t="str">
        <f aca="false">B502&amp;"-"&amp;C502</f>
        <v>2025-Q2</v>
      </c>
      <c r="E502" s="11" t="n">
        <f aca="false">MONTH(A502)</f>
        <v>4</v>
      </c>
      <c r="F502" s="11" t="str">
        <f aca="false">TEXT(A502,"mmm")</f>
        <v>Apr</v>
      </c>
      <c r="G502" s="11" t="s">
        <v>209</v>
      </c>
      <c r="H502" s="11" t="s">
        <v>205</v>
      </c>
      <c r="I502" s="12" t="n">
        <v>1760215</v>
      </c>
      <c r="J502" s="12" t="n">
        <v>511242</v>
      </c>
      <c r="K502" s="13" t="n">
        <f aca="false">IF(I502=0,0,J502/I502)</f>
        <v>0.29044292884676</v>
      </c>
      <c r="L502" s="12" t="n">
        <v>148554</v>
      </c>
      <c r="M502" s="12" t="n">
        <v>24252</v>
      </c>
      <c r="N502" s="12" t="n">
        <v>2806</v>
      </c>
      <c r="O502" s="12" t="n">
        <v>381</v>
      </c>
      <c r="P502" s="12" t="n">
        <f aca="false">M502+N502+O502</f>
        <v>27439</v>
      </c>
      <c r="Q502" s="13" t="n">
        <f aca="false">IF(I502=0,0,P502/I502)</f>
        <v>0.0155884366398423</v>
      </c>
      <c r="R502" s="13" t="n">
        <v>0.0456</v>
      </c>
      <c r="S502" s="14" t="n">
        <v>154997</v>
      </c>
      <c r="T502" s="14" t="n">
        <v>10311</v>
      </c>
      <c r="U502" s="14" t="n">
        <v>8009</v>
      </c>
      <c r="V502" s="14" t="n">
        <v>8663</v>
      </c>
      <c r="W502" s="14" t="n">
        <f aca="false">S502+T502+U502+V502</f>
        <v>181980</v>
      </c>
      <c r="X502" s="15" t="n">
        <f aca="false">IF(P502=0,0,S502/P502)</f>
        <v>5.6487845766974</v>
      </c>
      <c r="Y502" s="15" t="n">
        <f aca="false">IF(J502=0,0,W502/J502)</f>
        <v>0.355956670226625</v>
      </c>
      <c r="Z502" s="14" t="n">
        <v>26532</v>
      </c>
      <c r="AA502" s="15" t="n">
        <f aca="false">IF(L502=0,0,Z502/L502)</f>
        <v>0.178601720586453</v>
      </c>
      <c r="AB502" s="12" t="n">
        <v>42871778</v>
      </c>
      <c r="AC502" s="16" t="n">
        <v>11.8</v>
      </c>
      <c r="AD502" s="16" t="n">
        <v>26.1</v>
      </c>
      <c r="AE502" s="13" t="n">
        <v>0.437</v>
      </c>
      <c r="AF502" s="13" t="n">
        <v>0.595</v>
      </c>
      <c r="AG502" s="13" t="n">
        <v>0.369</v>
      </c>
      <c r="AH502" s="13" t="n">
        <v>0.21</v>
      </c>
      <c r="AI502" s="17"/>
    </row>
    <row r="503" customFormat="false" ht="15" hidden="false" customHeight="false" outlineLevel="0" collapsed="false">
      <c r="A503" s="10" t="n">
        <v>45748</v>
      </c>
      <c r="B503" s="11" t="n">
        <f aca="false">YEAR(A503)</f>
        <v>2025</v>
      </c>
      <c r="C503" s="11" t="str">
        <f aca="false">"Q"&amp;ROUNDUP(MONTH(A503)/3,0)</f>
        <v>Q2</v>
      </c>
      <c r="D503" s="11" t="str">
        <f aca="false">B503&amp;"-"&amp;C503</f>
        <v>2025-Q2</v>
      </c>
      <c r="E503" s="11" t="n">
        <f aca="false">MONTH(A503)</f>
        <v>4</v>
      </c>
      <c r="F503" s="11" t="str">
        <f aca="false">TEXT(A503,"mmm")</f>
        <v>Apr</v>
      </c>
      <c r="G503" s="11" t="s">
        <v>210</v>
      </c>
      <c r="H503" s="11" t="s">
        <v>203</v>
      </c>
      <c r="I503" s="12" t="n">
        <v>8037273</v>
      </c>
      <c r="J503" s="12" t="n">
        <v>2782746</v>
      </c>
      <c r="K503" s="13" t="n">
        <f aca="false">IF(I503=0,0,J503/I503)</f>
        <v>0.346230120589409</v>
      </c>
      <c r="L503" s="12" t="n">
        <v>784780</v>
      </c>
      <c r="M503" s="12" t="n">
        <v>285582</v>
      </c>
      <c r="N503" s="12" t="n">
        <v>33263</v>
      </c>
      <c r="O503" s="12" t="n">
        <v>9097</v>
      </c>
      <c r="P503" s="12" t="n">
        <f aca="false">M503+N503+O503</f>
        <v>327942</v>
      </c>
      <c r="Q503" s="13" t="n">
        <f aca="false">IF(I503=0,0,P503/I503)</f>
        <v>0.0408026453748678</v>
      </c>
      <c r="R503" s="13" t="n">
        <v>0.0366</v>
      </c>
      <c r="S503" s="14" t="n">
        <v>2095682</v>
      </c>
      <c r="T503" s="14" t="n">
        <v>153821</v>
      </c>
      <c r="U503" s="14" t="n">
        <v>117338</v>
      </c>
      <c r="V503" s="14" t="n">
        <v>115216</v>
      </c>
      <c r="W503" s="14" t="n">
        <f aca="false">S503+T503+U503+V503</f>
        <v>2482057</v>
      </c>
      <c r="X503" s="15" t="n">
        <f aca="false">IF(P503=0,0,S503/P503)</f>
        <v>6.39040440077819</v>
      </c>
      <c r="Y503" s="15" t="n">
        <f aca="false">IF(J503=0,0,W503/J503)</f>
        <v>0.89194522245293</v>
      </c>
      <c r="Z503" s="14" t="n">
        <v>391977</v>
      </c>
      <c r="AA503" s="15" t="n">
        <f aca="false">IF(L503=0,0,Z503/L503)</f>
        <v>0.499473737862841</v>
      </c>
      <c r="AB503" s="12" t="n">
        <v>220984173</v>
      </c>
      <c r="AC503" s="16" t="n">
        <v>13.4</v>
      </c>
      <c r="AD503" s="16" t="n">
        <v>25.7</v>
      </c>
      <c r="AE503" s="13" t="n">
        <v>0.443</v>
      </c>
      <c r="AF503" s="13" t="n">
        <v>0.599</v>
      </c>
      <c r="AG503" s="13" t="n">
        <v>0.369</v>
      </c>
      <c r="AH503" s="13" t="n">
        <v>0.213</v>
      </c>
      <c r="AI503" s="17" t="n">
        <v>4.74</v>
      </c>
    </row>
    <row r="504" customFormat="false" ht="15" hidden="false" customHeight="false" outlineLevel="0" collapsed="false">
      <c r="A504" s="10" t="n">
        <v>45748</v>
      </c>
      <c r="B504" s="11" t="n">
        <f aca="false">YEAR(A504)</f>
        <v>2025</v>
      </c>
      <c r="C504" s="11" t="str">
        <f aca="false">"Q"&amp;ROUNDUP(MONTH(A504)/3,0)</f>
        <v>Q2</v>
      </c>
      <c r="D504" s="11" t="str">
        <f aca="false">B504&amp;"-"&amp;C504</f>
        <v>2025-Q2</v>
      </c>
      <c r="E504" s="11" t="n">
        <f aca="false">MONTH(A504)</f>
        <v>4</v>
      </c>
      <c r="F504" s="11" t="str">
        <f aca="false">TEXT(A504,"mmm")</f>
        <v>Apr</v>
      </c>
      <c r="G504" s="11" t="s">
        <v>210</v>
      </c>
      <c r="H504" s="11" t="s">
        <v>204</v>
      </c>
      <c r="I504" s="12" t="n">
        <v>10609935</v>
      </c>
      <c r="J504" s="12" t="n">
        <v>3403864</v>
      </c>
      <c r="K504" s="13" t="n">
        <f aca="false">IF(I504=0,0,J504/I504)</f>
        <v>0.320818553553815</v>
      </c>
      <c r="L504" s="12" t="n">
        <v>1079988</v>
      </c>
      <c r="M504" s="12" t="n">
        <v>166903</v>
      </c>
      <c r="N504" s="12" t="n">
        <v>22354</v>
      </c>
      <c r="O504" s="12" t="n">
        <v>4021</v>
      </c>
      <c r="P504" s="12" t="n">
        <f aca="false">M504+N504+O504</f>
        <v>193278</v>
      </c>
      <c r="Q504" s="13" t="n">
        <f aca="false">IF(I504=0,0,P504/I504)</f>
        <v>0.0182166997253046</v>
      </c>
      <c r="R504" s="13" t="n">
        <v>0.0405</v>
      </c>
      <c r="S504" s="14" t="n">
        <v>1193199</v>
      </c>
      <c r="T504" s="14" t="n">
        <v>82445</v>
      </c>
      <c r="U504" s="14" t="n">
        <v>63498</v>
      </c>
      <c r="V504" s="14" t="n">
        <v>61156</v>
      </c>
      <c r="W504" s="14" t="n">
        <f aca="false">S504+T504+U504+V504</f>
        <v>1400298</v>
      </c>
      <c r="X504" s="15" t="n">
        <f aca="false">IF(P504=0,0,S504/P504)</f>
        <v>6.17348585974607</v>
      </c>
      <c r="Y504" s="15" t="n">
        <f aca="false">IF(J504=0,0,W504/J504)</f>
        <v>0.41138482618577</v>
      </c>
      <c r="Z504" s="14" t="n">
        <v>226022</v>
      </c>
      <c r="AA504" s="15" t="n">
        <f aca="false">IF(L504=0,0,Z504/L504)</f>
        <v>0.209281954984685</v>
      </c>
      <c r="AB504" s="12" t="n">
        <v>283297625</v>
      </c>
      <c r="AC504" s="16" t="n">
        <v>13</v>
      </c>
      <c r="AD504" s="16" t="n">
        <v>26.1</v>
      </c>
      <c r="AE504" s="13" t="n">
        <v>0.445</v>
      </c>
      <c r="AF504" s="13" t="n">
        <v>0.606</v>
      </c>
      <c r="AG504" s="13" t="n">
        <v>0.366</v>
      </c>
      <c r="AH504" s="13" t="n">
        <v>0.212</v>
      </c>
      <c r="AI504" s="17" t="n">
        <v>4.69</v>
      </c>
    </row>
    <row r="505" customFormat="false" ht="15" hidden="false" customHeight="false" outlineLevel="0" collapsed="false">
      <c r="A505" s="10" t="n">
        <v>45748</v>
      </c>
      <c r="B505" s="11" t="n">
        <f aca="false">YEAR(A505)</f>
        <v>2025</v>
      </c>
      <c r="C505" s="11" t="str">
        <f aca="false">"Q"&amp;ROUNDUP(MONTH(A505)/3,0)</f>
        <v>Q2</v>
      </c>
      <c r="D505" s="11" t="str">
        <f aca="false">B505&amp;"-"&amp;C505</f>
        <v>2025-Q2</v>
      </c>
      <c r="E505" s="11" t="n">
        <f aca="false">MONTH(A505)</f>
        <v>4</v>
      </c>
      <c r="F505" s="11" t="str">
        <f aca="false">TEXT(A505,"mmm")</f>
        <v>Apr</v>
      </c>
      <c r="G505" s="11" t="s">
        <v>210</v>
      </c>
      <c r="H505" s="11" t="s">
        <v>205</v>
      </c>
      <c r="I505" s="12" t="n">
        <v>2968728</v>
      </c>
      <c r="J505" s="12" t="n">
        <v>858212</v>
      </c>
      <c r="K505" s="13" t="n">
        <f aca="false">IF(I505=0,0,J505/I505)</f>
        <v>0.289084079107281</v>
      </c>
      <c r="L505" s="12" t="n">
        <v>354315</v>
      </c>
      <c r="M505" s="12" t="n">
        <v>47999</v>
      </c>
      <c r="N505" s="12" t="n">
        <v>5965</v>
      </c>
      <c r="O505" s="12" t="n">
        <v>759</v>
      </c>
      <c r="P505" s="12" t="n">
        <f aca="false">M505+N505+O505</f>
        <v>54723</v>
      </c>
      <c r="Q505" s="13" t="n">
        <f aca="false">IF(I505=0,0,P505/I505)</f>
        <v>0.0184331471256376</v>
      </c>
      <c r="R505" s="13" t="n">
        <v>0.0453</v>
      </c>
      <c r="S505" s="14" t="n">
        <v>318826</v>
      </c>
      <c r="T505" s="14" t="n">
        <v>25939</v>
      </c>
      <c r="U505" s="14" t="n">
        <v>17544</v>
      </c>
      <c r="V505" s="14" t="n">
        <v>16573</v>
      </c>
      <c r="W505" s="14" t="n">
        <f aca="false">S505+T505+U505+V505</f>
        <v>378882</v>
      </c>
      <c r="X505" s="15" t="n">
        <f aca="false">IF(P505=0,0,S505/P505)</f>
        <v>5.82617912029677</v>
      </c>
      <c r="Y505" s="15" t="n">
        <f aca="false">IF(J505=0,0,W505/J505)</f>
        <v>0.44147832936384</v>
      </c>
      <c r="Z505" s="14" t="n">
        <v>59888</v>
      </c>
      <c r="AA505" s="15" t="n">
        <f aca="false">IF(L505=0,0,Z505/L505)</f>
        <v>0.16902473787449</v>
      </c>
      <c r="AB505" s="12" t="n">
        <v>68706670</v>
      </c>
      <c r="AC505" s="16" t="n">
        <v>11.5</v>
      </c>
      <c r="AD505" s="16" t="n">
        <v>25.2</v>
      </c>
      <c r="AE505" s="13" t="n">
        <v>0.446</v>
      </c>
      <c r="AF505" s="13" t="n">
        <v>0.594</v>
      </c>
      <c r="AG505" s="13" t="n">
        <v>0.364</v>
      </c>
      <c r="AH505" s="13" t="n">
        <v>0.222</v>
      </c>
      <c r="AI505" s="17"/>
    </row>
    <row r="506" customFormat="false" ht="15" hidden="false" customHeight="false" outlineLevel="0" collapsed="false">
      <c r="A506" s="10" t="n">
        <v>45778</v>
      </c>
      <c r="B506" s="11" t="n">
        <f aca="false">YEAR(A506)</f>
        <v>2025</v>
      </c>
      <c r="C506" s="11" t="str">
        <f aca="false">"Q"&amp;ROUNDUP(MONTH(A506)/3,0)</f>
        <v>Q2</v>
      </c>
      <c r="D506" s="11" t="str">
        <f aca="false">B506&amp;"-"&amp;C506</f>
        <v>2025-Q2</v>
      </c>
      <c r="E506" s="11" t="n">
        <f aca="false">MONTH(A506)</f>
        <v>5</v>
      </c>
      <c r="F506" s="11" t="str">
        <f aca="false">TEXT(A506,"mmm")</f>
        <v>May</v>
      </c>
      <c r="G506" s="11" t="s">
        <v>202</v>
      </c>
      <c r="H506" s="11" t="s">
        <v>203</v>
      </c>
      <c r="I506" s="12" t="n">
        <v>9645998</v>
      </c>
      <c r="J506" s="12" t="n">
        <v>3458919</v>
      </c>
      <c r="K506" s="13" t="n">
        <f aca="false">IF(I506=0,0,J506/I506)</f>
        <v>0.358585913038755</v>
      </c>
      <c r="L506" s="12" t="n">
        <v>1113402</v>
      </c>
      <c r="M506" s="12" t="n">
        <v>2133674</v>
      </c>
      <c r="N506" s="12" t="n">
        <v>278973</v>
      </c>
      <c r="O506" s="12" t="n">
        <v>313766</v>
      </c>
      <c r="P506" s="12" t="n">
        <f aca="false">M506+N506+O506</f>
        <v>2726413</v>
      </c>
      <c r="Q506" s="13" t="n">
        <f aca="false">IF(I506=0,0,P506/I506)</f>
        <v>0.282647062543451</v>
      </c>
      <c r="R506" s="13" t="n">
        <v>0.0384</v>
      </c>
      <c r="S506" s="14" t="n">
        <v>18638295</v>
      </c>
      <c r="T506" s="14" t="n">
        <v>1227473</v>
      </c>
      <c r="U506" s="14" t="n">
        <v>922354</v>
      </c>
      <c r="V506" s="14" t="n">
        <v>1036929</v>
      </c>
      <c r="W506" s="14" t="n">
        <f aca="false">S506+T506+U506+V506</f>
        <v>21825051</v>
      </c>
      <c r="X506" s="15" t="n">
        <f aca="false">IF(P506=0,0,S506/P506)</f>
        <v>6.83619649700907</v>
      </c>
      <c r="Y506" s="15" t="n">
        <f aca="false">IF(J506=0,0,W506/J506)</f>
        <v>6.30978956142078</v>
      </c>
      <c r="Z506" s="14" t="n">
        <v>3533594</v>
      </c>
      <c r="AA506" s="15" t="n">
        <f aca="false">IF(L506=0,0,Z506/L506)</f>
        <v>3.17369108372358</v>
      </c>
      <c r="AB506" s="12" t="n">
        <v>288809428</v>
      </c>
      <c r="AC506" s="16" t="n">
        <v>13.8</v>
      </c>
      <c r="AD506" s="16" t="n">
        <v>25.7</v>
      </c>
      <c r="AE506" s="13" t="n">
        <v>0.441</v>
      </c>
      <c r="AF506" s="13" t="n">
        <v>0.601</v>
      </c>
      <c r="AG506" s="13" t="n">
        <v>0.364</v>
      </c>
      <c r="AH506" s="13" t="n">
        <v>0.22</v>
      </c>
      <c r="AI506" s="17" t="n">
        <v>4.76</v>
      </c>
    </row>
    <row r="507" customFormat="false" ht="15" hidden="false" customHeight="false" outlineLevel="0" collapsed="false">
      <c r="A507" s="10" t="n">
        <v>45778</v>
      </c>
      <c r="B507" s="11" t="n">
        <f aca="false">YEAR(A507)</f>
        <v>2025</v>
      </c>
      <c r="C507" s="11" t="str">
        <f aca="false">"Q"&amp;ROUNDUP(MONTH(A507)/3,0)</f>
        <v>Q2</v>
      </c>
      <c r="D507" s="11" t="str">
        <f aca="false">B507&amp;"-"&amp;C507</f>
        <v>2025-Q2</v>
      </c>
      <c r="E507" s="11" t="n">
        <f aca="false">MONTH(A507)</f>
        <v>5</v>
      </c>
      <c r="F507" s="11" t="str">
        <f aca="false">TEXT(A507,"mmm")</f>
        <v>May</v>
      </c>
      <c r="G507" s="11" t="s">
        <v>202</v>
      </c>
      <c r="H507" s="11" t="s">
        <v>204</v>
      </c>
      <c r="I507" s="12" t="n">
        <v>13128019</v>
      </c>
      <c r="J507" s="12" t="n">
        <v>4427900</v>
      </c>
      <c r="K507" s="13" t="n">
        <f aca="false">IF(I507=0,0,J507/I507)</f>
        <v>0.337286227267039</v>
      </c>
      <c r="L507" s="12" t="n">
        <v>1187035</v>
      </c>
      <c r="M507" s="12" t="n">
        <v>1259274</v>
      </c>
      <c r="N507" s="12" t="n">
        <v>152703</v>
      </c>
      <c r="O507" s="12" t="n">
        <v>133384</v>
      </c>
      <c r="P507" s="12" t="n">
        <f aca="false">M507+N507+O507</f>
        <v>1545361</v>
      </c>
      <c r="Q507" s="13" t="n">
        <f aca="false">IF(I507=0,0,P507/I507)</f>
        <v>0.11771471384982</v>
      </c>
      <c r="R507" s="13" t="n">
        <v>0.0352</v>
      </c>
      <c r="S507" s="14" t="n">
        <v>10632669</v>
      </c>
      <c r="T507" s="14" t="n">
        <v>715912</v>
      </c>
      <c r="U507" s="14" t="n">
        <v>563365</v>
      </c>
      <c r="V507" s="14" t="n">
        <v>613857</v>
      </c>
      <c r="W507" s="14" t="n">
        <f aca="false">S507+T507+U507+V507</f>
        <v>12525803</v>
      </c>
      <c r="X507" s="15" t="n">
        <f aca="false">IF(P507=0,0,S507/P507)</f>
        <v>6.88037875939667</v>
      </c>
      <c r="Y507" s="15" t="n">
        <f aca="false">IF(J507=0,0,W507/J507)</f>
        <v>2.82883601707356</v>
      </c>
      <c r="Z507" s="14" t="n">
        <v>2040134</v>
      </c>
      <c r="AA507" s="15" t="n">
        <f aca="false">IF(L507=0,0,Z507/L507)</f>
        <v>1.718680578079</v>
      </c>
      <c r="AB507" s="12" t="n">
        <v>374032495</v>
      </c>
      <c r="AC507" s="16" t="n">
        <v>12.9</v>
      </c>
      <c r="AD507" s="16" t="n">
        <v>26.2</v>
      </c>
      <c r="AE507" s="13" t="n">
        <v>0.439</v>
      </c>
      <c r="AF507" s="13" t="n">
        <v>0.591</v>
      </c>
      <c r="AG507" s="13" t="n">
        <v>0.369</v>
      </c>
      <c r="AH507" s="13" t="n">
        <v>0.222</v>
      </c>
      <c r="AI507" s="17" t="n">
        <v>4.69</v>
      </c>
    </row>
    <row r="508" customFormat="false" ht="15" hidden="false" customHeight="false" outlineLevel="0" collapsed="false">
      <c r="A508" s="10" t="n">
        <v>45778</v>
      </c>
      <c r="B508" s="11" t="n">
        <f aca="false">YEAR(A508)</f>
        <v>2025</v>
      </c>
      <c r="C508" s="11" t="str">
        <f aca="false">"Q"&amp;ROUNDUP(MONTH(A508)/3,0)</f>
        <v>Q2</v>
      </c>
      <c r="D508" s="11" t="str">
        <f aca="false">B508&amp;"-"&amp;C508</f>
        <v>2025-Q2</v>
      </c>
      <c r="E508" s="11" t="n">
        <f aca="false">MONTH(A508)</f>
        <v>5</v>
      </c>
      <c r="F508" s="11" t="str">
        <f aca="false">TEXT(A508,"mmm")</f>
        <v>May</v>
      </c>
      <c r="G508" s="11" t="s">
        <v>202</v>
      </c>
      <c r="H508" s="11" t="s">
        <v>205</v>
      </c>
      <c r="I508" s="12" t="n">
        <v>3692803</v>
      </c>
      <c r="J508" s="12" t="n">
        <v>1158019</v>
      </c>
      <c r="K508" s="13" t="n">
        <f aca="false">IF(I508=0,0,J508/I508)</f>
        <v>0.313588079299112</v>
      </c>
      <c r="L508" s="12" t="n">
        <v>366543</v>
      </c>
      <c r="M508" s="12" t="n">
        <v>377469</v>
      </c>
      <c r="N508" s="12" t="n">
        <v>47128</v>
      </c>
      <c r="O508" s="12" t="n">
        <v>25924</v>
      </c>
      <c r="P508" s="12" t="n">
        <f aca="false">M508+N508+O508</f>
        <v>450521</v>
      </c>
      <c r="Q508" s="13" t="n">
        <f aca="false">IF(I508=0,0,P508/I508)</f>
        <v>0.121999738410091</v>
      </c>
      <c r="R508" s="13" t="n">
        <v>0.0436</v>
      </c>
      <c r="S508" s="14" t="n">
        <v>3021352</v>
      </c>
      <c r="T508" s="14" t="n">
        <v>193168</v>
      </c>
      <c r="U508" s="14" t="n">
        <v>158298</v>
      </c>
      <c r="V508" s="14" t="n">
        <v>173534</v>
      </c>
      <c r="W508" s="14" t="n">
        <f aca="false">S508+T508+U508+V508</f>
        <v>3546352</v>
      </c>
      <c r="X508" s="15" t="n">
        <f aca="false">IF(P508=0,0,S508/P508)</f>
        <v>6.70635109129208</v>
      </c>
      <c r="Y508" s="15" t="n">
        <f aca="false">IF(J508=0,0,W508/J508)</f>
        <v>3.06242989104669</v>
      </c>
      <c r="Z508" s="14" t="n">
        <v>563393</v>
      </c>
      <c r="AA508" s="15" t="n">
        <f aca="false">IF(L508=0,0,Z508/L508)</f>
        <v>1.53704476691684</v>
      </c>
      <c r="AB508" s="12" t="n">
        <v>98849014</v>
      </c>
      <c r="AC508" s="16" t="n">
        <v>11.8</v>
      </c>
      <c r="AD508" s="16" t="n">
        <v>25.8</v>
      </c>
      <c r="AE508" s="13" t="n">
        <v>0.448</v>
      </c>
      <c r="AF508" s="13" t="n">
        <v>0.578</v>
      </c>
      <c r="AG508" s="13" t="n">
        <v>0.362</v>
      </c>
      <c r="AH508" s="13" t="n">
        <v>0.222</v>
      </c>
      <c r="AI508" s="17"/>
    </row>
    <row r="509" customFormat="false" ht="15" hidden="false" customHeight="false" outlineLevel="0" collapsed="false">
      <c r="A509" s="10" t="n">
        <v>45778</v>
      </c>
      <c r="B509" s="11" t="n">
        <f aca="false">YEAR(A509)</f>
        <v>2025</v>
      </c>
      <c r="C509" s="11" t="str">
        <f aca="false">"Q"&amp;ROUNDUP(MONTH(A509)/3,0)</f>
        <v>Q2</v>
      </c>
      <c r="D509" s="11" t="str">
        <f aca="false">B509&amp;"-"&amp;C509</f>
        <v>2025-Q2</v>
      </c>
      <c r="E509" s="11" t="n">
        <f aca="false">MONTH(A509)</f>
        <v>5</v>
      </c>
      <c r="F509" s="11" t="str">
        <f aca="false">TEXT(A509,"mmm")</f>
        <v>May</v>
      </c>
      <c r="G509" s="11" t="s">
        <v>206</v>
      </c>
      <c r="H509" s="11" t="s">
        <v>203</v>
      </c>
      <c r="I509" s="12" t="n">
        <v>11837104</v>
      </c>
      <c r="J509" s="12" t="n">
        <v>4496602</v>
      </c>
      <c r="K509" s="13" t="n">
        <f aca="false">IF(I509=0,0,J509/I509)</f>
        <v>0.379873489326443</v>
      </c>
      <c r="L509" s="12" t="n">
        <v>1152352</v>
      </c>
      <c r="M509" s="12" t="n">
        <v>1380008</v>
      </c>
      <c r="N509" s="12" t="n">
        <v>170049</v>
      </c>
      <c r="O509" s="12" t="n">
        <v>120132</v>
      </c>
      <c r="P509" s="12" t="n">
        <f aca="false">M509+N509+O509</f>
        <v>1670189</v>
      </c>
      <c r="Q509" s="13" t="n">
        <f aca="false">IF(I509=0,0,P509/I509)</f>
        <v>0.141097771887448</v>
      </c>
      <c r="R509" s="13" t="n">
        <v>0.0368</v>
      </c>
      <c r="S509" s="14" t="n">
        <v>10955014</v>
      </c>
      <c r="T509" s="14" t="n">
        <v>732018</v>
      </c>
      <c r="U509" s="14" t="n">
        <v>549983</v>
      </c>
      <c r="V509" s="14" t="n">
        <v>558906</v>
      </c>
      <c r="W509" s="14" t="n">
        <f aca="false">S509+T509+U509+V509</f>
        <v>12795921</v>
      </c>
      <c r="X509" s="15" t="n">
        <f aca="false">IF(P509=0,0,S509/P509)</f>
        <v>6.55914630020914</v>
      </c>
      <c r="Y509" s="15" t="n">
        <f aca="false">IF(J509=0,0,W509/J509)</f>
        <v>2.84568680972877</v>
      </c>
      <c r="Z509" s="14" t="n">
        <v>1959238</v>
      </c>
      <c r="AA509" s="15" t="n">
        <f aca="false">IF(L509=0,0,Z509/L509)</f>
        <v>1.70020792257921</v>
      </c>
      <c r="AB509" s="12" t="n">
        <v>398542327</v>
      </c>
      <c r="AC509" s="16" t="n">
        <v>13.5</v>
      </c>
      <c r="AD509" s="16" t="n">
        <v>26</v>
      </c>
      <c r="AE509" s="13" t="n">
        <v>0.433</v>
      </c>
      <c r="AF509" s="13" t="n">
        <v>0.591</v>
      </c>
      <c r="AG509" s="13" t="n">
        <v>0.362</v>
      </c>
      <c r="AH509" s="13" t="n">
        <v>0.222</v>
      </c>
      <c r="AI509" s="17" t="n">
        <v>4.76</v>
      </c>
    </row>
    <row r="510" customFormat="false" ht="15" hidden="false" customHeight="false" outlineLevel="0" collapsed="false">
      <c r="A510" s="10" t="n">
        <v>45778</v>
      </c>
      <c r="B510" s="11" t="n">
        <f aca="false">YEAR(A510)</f>
        <v>2025</v>
      </c>
      <c r="C510" s="11" t="str">
        <f aca="false">"Q"&amp;ROUNDUP(MONTH(A510)/3,0)</f>
        <v>Q2</v>
      </c>
      <c r="D510" s="11" t="str">
        <f aca="false">B510&amp;"-"&amp;C510</f>
        <v>2025-Q2</v>
      </c>
      <c r="E510" s="11" t="n">
        <f aca="false">MONTH(A510)</f>
        <v>5</v>
      </c>
      <c r="F510" s="11" t="str">
        <f aca="false">TEXT(A510,"mmm")</f>
        <v>May</v>
      </c>
      <c r="G510" s="11" t="s">
        <v>206</v>
      </c>
      <c r="H510" s="11" t="s">
        <v>204</v>
      </c>
      <c r="I510" s="12" t="n">
        <v>13582653</v>
      </c>
      <c r="J510" s="12" t="n">
        <v>4604767</v>
      </c>
      <c r="K510" s="13" t="n">
        <f aca="false">IF(I510=0,0,J510/I510)</f>
        <v>0.339018231563451</v>
      </c>
      <c r="L510" s="12" t="n">
        <v>1190654</v>
      </c>
      <c r="M510" s="12" t="n">
        <v>766627</v>
      </c>
      <c r="N510" s="12" t="n">
        <v>98336</v>
      </c>
      <c r="O510" s="12" t="n">
        <v>49322</v>
      </c>
      <c r="P510" s="12" t="n">
        <f aca="false">M510+N510+O510</f>
        <v>914285</v>
      </c>
      <c r="Q510" s="13" t="n">
        <f aca="false">IF(I510=0,0,P510/I510)</f>
        <v>0.0673126965696613</v>
      </c>
      <c r="R510" s="13" t="n">
        <v>0.0404</v>
      </c>
      <c r="S510" s="14" t="n">
        <v>6563830</v>
      </c>
      <c r="T510" s="14" t="n">
        <v>402909</v>
      </c>
      <c r="U510" s="14" t="n">
        <v>339007</v>
      </c>
      <c r="V510" s="14" t="n">
        <v>310666</v>
      </c>
      <c r="W510" s="14" t="n">
        <f aca="false">S510+T510+U510+V510</f>
        <v>7616412</v>
      </c>
      <c r="X510" s="15" t="n">
        <f aca="false">IF(P510=0,0,S510/P510)</f>
        <v>7.17919467124584</v>
      </c>
      <c r="Y510" s="15" t="n">
        <f aca="false">IF(J510=0,0,W510/J510)</f>
        <v>1.65402766307177</v>
      </c>
      <c r="Z510" s="14" t="n">
        <v>1145516</v>
      </c>
      <c r="AA510" s="15" t="n">
        <f aca="false">IF(L510=0,0,Z510/L510)</f>
        <v>0.962089742276094</v>
      </c>
      <c r="AB510" s="12" t="n">
        <v>400351973</v>
      </c>
      <c r="AC510" s="16" t="n">
        <v>13</v>
      </c>
      <c r="AD510" s="16" t="n">
        <v>25.9</v>
      </c>
      <c r="AE510" s="13" t="n">
        <v>0.453</v>
      </c>
      <c r="AF510" s="13" t="n">
        <v>0.591</v>
      </c>
      <c r="AG510" s="13" t="n">
        <v>0.376</v>
      </c>
      <c r="AH510" s="13" t="n">
        <v>0.213</v>
      </c>
      <c r="AI510" s="17" t="n">
        <v>4.67</v>
      </c>
    </row>
    <row r="511" customFormat="false" ht="15" hidden="false" customHeight="false" outlineLevel="0" collapsed="false">
      <c r="A511" s="10" t="n">
        <v>45778</v>
      </c>
      <c r="B511" s="11" t="n">
        <f aca="false">YEAR(A511)</f>
        <v>2025</v>
      </c>
      <c r="C511" s="11" t="str">
        <f aca="false">"Q"&amp;ROUNDUP(MONTH(A511)/3,0)</f>
        <v>Q2</v>
      </c>
      <c r="D511" s="11" t="str">
        <f aca="false">B511&amp;"-"&amp;C511</f>
        <v>2025-Q2</v>
      </c>
      <c r="E511" s="11" t="n">
        <f aca="false">MONTH(A511)</f>
        <v>5</v>
      </c>
      <c r="F511" s="11" t="str">
        <f aca="false">TEXT(A511,"mmm")</f>
        <v>May</v>
      </c>
      <c r="G511" s="11" t="s">
        <v>206</v>
      </c>
      <c r="H511" s="11" t="s">
        <v>205</v>
      </c>
      <c r="I511" s="12" t="n">
        <v>4188861</v>
      </c>
      <c r="J511" s="12" t="n">
        <v>1327847</v>
      </c>
      <c r="K511" s="13" t="n">
        <f aca="false">IF(I511=0,0,J511/I511)</f>
        <v>0.316994763015531</v>
      </c>
      <c r="L511" s="12" t="n">
        <v>410972</v>
      </c>
      <c r="M511" s="12" t="n">
        <v>226918</v>
      </c>
      <c r="N511" s="12" t="n">
        <v>27101</v>
      </c>
      <c r="O511" s="12" t="n">
        <v>9476</v>
      </c>
      <c r="P511" s="12" t="n">
        <f aca="false">M511+N511+O511</f>
        <v>263495</v>
      </c>
      <c r="Q511" s="13" t="n">
        <f aca="false">IF(I511=0,0,P511/I511)</f>
        <v>0.062903734451919</v>
      </c>
      <c r="R511" s="13" t="n">
        <v>0.0416</v>
      </c>
      <c r="S511" s="14" t="n">
        <v>1716031</v>
      </c>
      <c r="T511" s="14" t="n">
        <v>116150</v>
      </c>
      <c r="U511" s="14" t="n">
        <v>81555</v>
      </c>
      <c r="V511" s="14" t="n">
        <v>90308</v>
      </c>
      <c r="W511" s="14" t="n">
        <f aca="false">S511+T511+U511+V511</f>
        <v>2004044</v>
      </c>
      <c r="X511" s="15" t="n">
        <f aca="false">IF(P511=0,0,S511/P511)</f>
        <v>6.5125751911801</v>
      </c>
      <c r="Y511" s="15" t="n">
        <f aca="false">IF(J511=0,0,W511/J511)</f>
        <v>1.50924315828556</v>
      </c>
      <c r="Z511" s="14" t="n">
        <v>297392</v>
      </c>
      <c r="AA511" s="15" t="n">
        <f aca="false">IF(L511=0,0,Z511/L511)</f>
        <v>0.723630806964951</v>
      </c>
      <c r="AB511" s="12" t="n">
        <v>107749239</v>
      </c>
      <c r="AC511" s="16" t="n">
        <v>11.6</v>
      </c>
      <c r="AD511" s="16" t="n">
        <v>26.6</v>
      </c>
      <c r="AE511" s="13" t="n">
        <v>0.433</v>
      </c>
      <c r="AF511" s="13" t="n">
        <v>0.6</v>
      </c>
      <c r="AG511" s="13" t="n">
        <v>0.367</v>
      </c>
      <c r="AH511" s="13" t="n">
        <v>0.211</v>
      </c>
      <c r="AI511" s="17"/>
    </row>
    <row r="512" customFormat="false" ht="15" hidden="false" customHeight="false" outlineLevel="0" collapsed="false">
      <c r="A512" s="10" t="n">
        <v>45778</v>
      </c>
      <c r="B512" s="11" t="n">
        <f aca="false">YEAR(A512)</f>
        <v>2025</v>
      </c>
      <c r="C512" s="11" t="str">
        <f aca="false">"Q"&amp;ROUNDUP(MONTH(A512)/3,0)</f>
        <v>Q2</v>
      </c>
      <c r="D512" s="11" t="str">
        <f aca="false">B512&amp;"-"&amp;C512</f>
        <v>2025-Q2</v>
      </c>
      <c r="E512" s="11" t="n">
        <f aca="false">MONTH(A512)</f>
        <v>5</v>
      </c>
      <c r="F512" s="11" t="str">
        <f aca="false">TEXT(A512,"mmm")</f>
        <v>May</v>
      </c>
      <c r="G512" s="11" t="s">
        <v>207</v>
      </c>
      <c r="H512" s="11" t="s">
        <v>203</v>
      </c>
      <c r="I512" s="12" t="n">
        <v>9780514</v>
      </c>
      <c r="J512" s="12" t="n">
        <v>3411973</v>
      </c>
      <c r="K512" s="13" t="n">
        <f aca="false">IF(I512=0,0,J512/I512)</f>
        <v>0.348854160425516</v>
      </c>
      <c r="L512" s="12" t="n">
        <v>943034</v>
      </c>
      <c r="M512" s="12" t="n">
        <v>716829</v>
      </c>
      <c r="N512" s="12" t="n">
        <v>88713</v>
      </c>
      <c r="O512" s="12" t="n">
        <v>42709</v>
      </c>
      <c r="P512" s="12" t="n">
        <f aca="false">M512+N512+O512</f>
        <v>848251</v>
      </c>
      <c r="Q512" s="13" t="n">
        <f aca="false">IF(I512=0,0,P512/I512)</f>
        <v>0.0867286729511353</v>
      </c>
      <c r="R512" s="13" t="n">
        <v>0.0381</v>
      </c>
      <c r="S512" s="14" t="n">
        <v>5834340</v>
      </c>
      <c r="T512" s="14" t="n">
        <v>358197</v>
      </c>
      <c r="U512" s="14" t="n">
        <v>324959</v>
      </c>
      <c r="V512" s="14" t="n">
        <v>304705</v>
      </c>
      <c r="W512" s="14" t="n">
        <f aca="false">S512+T512+U512+V512</f>
        <v>6822201</v>
      </c>
      <c r="X512" s="15" t="n">
        <f aca="false">IF(P512=0,0,S512/P512)</f>
        <v>6.87808207712104</v>
      </c>
      <c r="Y512" s="15" t="n">
        <f aca="false">IF(J512=0,0,W512/J512)</f>
        <v>1.9994885657067</v>
      </c>
      <c r="Z512" s="14" t="n">
        <v>1011772</v>
      </c>
      <c r="AA512" s="15" t="n">
        <f aca="false">IF(L512=0,0,Z512/L512)</f>
        <v>1.0728902669469</v>
      </c>
      <c r="AB512" s="12" t="n">
        <v>290029605</v>
      </c>
      <c r="AC512" s="16" t="n">
        <v>13.5</v>
      </c>
      <c r="AD512" s="16" t="n">
        <v>25.3</v>
      </c>
      <c r="AE512" s="13" t="n">
        <v>0.443</v>
      </c>
      <c r="AF512" s="13" t="n">
        <v>0.595</v>
      </c>
      <c r="AG512" s="13" t="n">
        <v>0.366</v>
      </c>
      <c r="AH512" s="13" t="n">
        <v>0.223</v>
      </c>
      <c r="AI512" s="17" t="n">
        <v>4.74</v>
      </c>
    </row>
    <row r="513" customFormat="false" ht="15" hidden="false" customHeight="false" outlineLevel="0" collapsed="false">
      <c r="A513" s="10" t="n">
        <v>45778</v>
      </c>
      <c r="B513" s="11" t="n">
        <f aca="false">YEAR(A513)</f>
        <v>2025</v>
      </c>
      <c r="C513" s="11" t="str">
        <f aca="false">"Q"&amp;ROUNDUP(MONTH(A513)/3,0)</f>
        <v>Q2</v>
      </c>
      <c r="D513" s="11" t="str">
        <f aca="false">B513&amp;"-"&amp;C513</f>
        <v>2025-Q2</v>
      </c>
      <c r="E513" s="11" t="n">
        <f aca="false">MONTH(A513)</f>
        <v>5</v>
      </c>
      <c r="F513" s="11" t="str">
        <f aca="false">TEXT(A513,"mmm")</f>
        <v>May</v>
      </c>
      <c r="G513" s="11" t="s">
        <v>207</v>
      </c>
      <c r="H513" s="11" t="s">
        <v>204</v>
      </c>
      <c r="I513" s="12" t="n">
        <v>12676783</v>
      </c>
      <c r="J513" s="12" t="n">
        <v>4051852</v>
      </c>
      <c r="K513" s="13" t="n">
        <f aca="false">IF(I513=0,0,J513/I513)</f>
        <v>0.319627779382198</v>
      </c>
      <c r="L513" s="12" t="n">
        <v>1138377</v>
      </c>
      <c r="M513" s="12" t="n">
        <v>458254</v>
      </c>
      <c r="N513" s="12" t="n">
        <v>50896</v>
      </c>
      <c r="O513" s="12" t="n">
        <v>19981</v>
      </c>
      <c r="P513" s="12" t="n">
        <f aca="false">M513+N513+O513</f>
        <v>529131</v>
      </c>
      <c r="Q513" s="13" t="n">
        <f aca="false">IF(I513=0,0,P513/I513)</f>
        <v>0.0417401638885828</v>
      </c>
      <c r="R513" s="13" t="n">
        <v>0.0344</v>
      </c>
      <c r="S513" s="14" t="n">
        <v>3626012</v>
      </c>
      <c r="T513" s="14" t="n">
        <v>242023</v>
      </c>
      <c r="U513" s="14" t="n">
        <v>191780</v>
      </c>
      <c r="V513" s="14" t="n">
        <v>193349</v>
      </c>
      <c r="W513" s="14" t="n">
        <f aca="false">S513+T513+U513+V513</f>
        <v>4253164</v>
      </c>
      <c r="X513" s="15" t="n">
        <f aca="false">IF(P513=0,0,S513/P513)</f>
        <v>6.85276802908921</v>
      </c>
      <c r="Y513" s="15" t="n">
        <f aca="false">IF(J513=0,0,W513/J513)</f>
        <v>1.0496839469951</v>
      </c>
      <c r="Z513" s="14" t="n">
        <v>632361</v>
      </c>
      <c r="AA513" s="15" t="n">
        <f aca="false">IF(L513=0,0,Z513/L513)</f>
        <v>0.555493478873871</v>
      </c>
      <c r="AB513" s="12" t="n">
        <v>344099602</v>
      </c>
      <c r="AC513" s="16" t="n">
        <v>13.1</v>
      </c>
      <c r="AD513" s="16" t="n">
        <v>26.1</v>
      </c>
      <c r="AE513" s="13" t="n">
        <v>0.438</v>
      </c>
      <c r="AF513" s="13" t="n">
        <v>0.605</v>
      </c>
      <c r="AG513" s="13" t="n">
        <v>0.36</v>
      </c>
      <c r="AH513" s="13" t="n">
        <v>0.22</v>
      </c>
      <c r="AI513" s="17" t="n">
        <v>4.72</v>
      </c>
    </row>
    <row r="514" customFormat="false" ht="15" hidden="false" customHeight="false" outlineLevel="0" collapsed="false">
      <c r="A514" s="10" t="n">
        <v>45778</v>
      </c>
      <c r="B514" s="11" t="n">
        <f aca="false">YEAR(A514)</f>
        <v>2025</v>
      </c>
      <c r="C514" s="11" t="str">
        <f aca="false">"Q"&amp;ROUNDUP(MONTH(A514)/3,0)</f>
        <v>Q2</v>
      </c>
      <c r="D514" s="11" t="str">
        <f aca="false">B514&amp;"-"&amp;C514</f>
        <v>2025-Q2</v>
      </c>
      <c r="E514" s="11" t="n">
        <f aca="false">MONTH(A514)</f>
        <v>5</v>
      </c>
      <c r="F514" s="11" t="str">
        <f aca="false">TEXT(A514,"mmm")</f>
        <v>May</v>
      </c>
      <c r="G514" s="11" t="s">
        <v>207</v>
      </c>
      <c r="H514" s="11" t="s">
        <v>205</v>
      </c>
      <c r="I514" s="12" t="n">
        <v>3922857</v>
      </c>
      <c r="J514" s="12" t="n">
        <v>1160793</v>
      </c>
      <c r="K514" s="13" t="n">
        <f aca="false">IF(I514=0,0,J514/I514)</f>
        <v>0.295904999850874</v>
      </c>
      <c r="L514" s="12" t="n">
        <v>381234</v>
      </c>
      <c r="M514" s="12" t="n">
        <v>117604</v>
      </c>
      <c r="N514" s="12" t="n">
        <v>13962</v>
      </c>
      <c r="O514" s="12" t="n">
        <v>3398</v>
      </c>
      <c r="P514" s="12" t="n">
        <f aca="false">M514+N514+O514</f>
        <v>134964</v>
      </c>
      <c r="Q514" s="13" t="n">
        <f aca="false">IF(I514=0,0,P514/I514)</f>
        <v>0.0344045169120363</v>
      </c>
      <c r="R514" s="13" t="n">
        <v>0.0415</v>
      </c>
      <c r="S514" s="14" t="n">
        <v>965158</v>
      </c>
      <c r="T514" s="14" t="n">
        <v>63262</v>
      </c>
      <c r="U514" s="14" t="n">
        <v>51083</v>
      </c>
      <c r="V514" s="14" t="n">
        <v>49860</v>
      </c>
      <c r="W514" s="14" t="n">
        <f aca="false">S514+T514+U514+V514</f>
        <v>1129363</v>
      </c>
      <c r="X514" s="15" t="n">
        <f aca="false">IF(P514=0,0,S514/P514)</f>
        <v>7.15122551198838</v>
      </c>
      <c r="Y514" s="15" t="n">
        <f aca="false">IF(J514=0,0,W514/J514)</f>
        <v>0.972923682344742</v>
      </c>
      <c r="Z514" s="14" t="n">
        <v>180891</v>
      </c>
      <c r="AA514" s="15" t="n">
        <f aca="false">IF(L514=0,0,Z514/L514)</f>
        <v>0.47448810966493</v>
      </c>
      <c r="AB514" s="12" t="n">
        <v>102545299</v>
      </c>
      <c r="AC514" s="16" t="n">
        <v>11.4</v>
      </c>
      <c r="AD514" s="16" t="n">
        <v>26</v>
      </c>
      <c r="AE514" s="13" t="n">
        <v>0.441</v>
      </c>
      <c r="AF514" s="13" t="n">
        <v>0.605</v>
      </c>
      <c r="AG514" s="13" t="n">
        <v>0.37</v>
      </c>
      <c r="AH514" s="13" t="n">
        <v>0.215</v>
      </c>
      <c r="AI514" s="17"/>
    </row>
    <row r="515" customFormat="false" ht="15" hidden="false" customHeight="false" outlineLevel="0" collapsed="false">
      <c r="A515" s="10" t="n">
        <v>45778</v>
      </c>
      <c r="B515" s="11" t="n">
        <f aca="false">YEAR(A515)</f>
        <v>2025</v>
      </c>
      <c r="C515" s="11" t="str">
        <f aca="false">"Q"&amp;ROUNDUP(MONTH(A515)/3,0)</f>
        <v>Q2</v>
      </c>
      <c r="D515" s="11" t="str">
        <f aca="false">B515&amp;"-"&amp;C515</f>
        <v>2025-Q2</v>
      </c>
      <c r="E515" s="11" t="n">
        <f aca="false">MONTH(A515)</f>
        <v>5</v>
      </c>
      <c r="F515" s="11" t="str">
        <f aca="false">TEXT(A515,"mmm")</f>
        <v>May</v>
      </c>
      <c r="G515" s="11" t="s">
        <v>208</v>
      </c>
      <c r="H515" s="11" t="s">
        <v>203</v>
      </c>
      <c r="I515" s="12" t="n">
        <v>7588211</v>
      </c>
      <c r="J515" s="12" t="n">
        <v>2863350</v>
      </c>
      <c r="K515" s="13" t="n">
        <f aca="false">IF(I515=0,0,J515/I515)</f>
        <v>0.377341905753543</v>
      </c>
      <c r="L515" s="12" t="n">
        <v>797596</v>
      </c>
      <c r="M515" s="12" t="n">
        <v>372340</v>
      </c>
      <c r="N515" s="12" t="n">
        <v>46264</v>
      </c>
      <c r="O515" s="12" t="n">
        <v>15616</v>
      </c>
      <c r="P515" s="12" t="n">
        <f aca="false">M515+N515+O515</f>
        <v>434220</v>
      </c>
      <c r="Q515" s="13" t="n">
        <f aca="false">IF(I515=0,0,P515/I515)</f>
        <v>0.0572229738999087</v>
      </c>
      <c r="R515" s="13" t="n">
        <v>0.0363</v>
      </c>
      <c r="S515" s="14" t="n">
        <v>2849343</v>
      </c>
      <c r="T515" s="14" t="n">
        <v>201130</v>
      </c>
      <c r="U515" s="14" t="n">
        <v>153208</v>
      </c>
      <c r="V515" s="14" t="n">
        <v>150815</v>
      </c>
      <c r="W515" s="14" t="n">
        <f aca="false">S515+T515+U515+V515</f>
        <v>3354496</v>
      </c>
      <c r="X515" s="15" t="n">
        <f aca="false">IF(P515=0,0,S515/P515)</f>
        <v>6.56198010225231</v>
      </c>
      <c r="Y515" s="15" t="n">
        <f aca="false">IF(J515=0,0,W515/J515)</f>
        <v>1.17152845443275</v>
      </c>
      <c r="Z515" s="14" t="n">
        <v>478797</v>
      </c>
      <c r="AA515" s="15" t="n">
        <f aca="false">IF(L515=0,0,Z515/L515)</f>
        <v>0.60030015195663</v>
      </c>
      <c r="AB515" s="12" t="n">
        <v>251346246</v>
      </c>
      <c r="AC515" s="16" t="n">
        <v>13.4</v>
      </c>
      <c r="AD515" s="16" t="n">
        <v>25.7</v>
      </c>
      <c r="AE515" s="13" t="n">
        <v>0.438</v>
      </c>
      <c r="AF515" s="13" t="n">
        <v>0.597</v>
      </c>
      <c r="AG515" s="13" t="n">
        <v>0.361</v>
      </c>
      <c r="AH515" s="13" t="n">
        <v>0.216</v>
      </c>
      <c r="AI515" s="17" t="n">
        <v>4.74</v>
      </c>
    </row>
    <row r="516" customFormat="false" ht="15" hidden="false" customHeight="false" outlineLevel="0" collapsed="false">
      <c r="A516" s="10" t="n">
        <v>45778</v>
      </c>
      <c r="B516" s="11" t="n">
        <f aca="false">YEAR(A516)</f>
        <v>2025</v>
      </c>
      <c r="C516" s="11" t="str">
        <f aca="false">"Q"&amp;ROUNDUP(MONTH(A516)/3,0)</f>
        <v>Q2</v>
      </c>
      <c r="D516" s="11" t="str">
        <f aca="false">B516&amp;"-"&amp;C516</f>
        <v>2025-Q2</v>
      </c>
      <c r="E516" s="11" t="n">
        <f aca="false">MONTH(A516)</f>
        <v>5</v>
      </c>
      <c r="F516" s="11" t="str">
        <f aca="false">TEXT(A516,"mmm")</f>
        <v>May</v>
      </c>
      <c r="G516" s="11" t="s">
        <v>208</v>
      </c>
      <c r="H516" s="11" t="s">
        <v>204</v>
      </c>
      <c r="I516" s="12" t="n">
        <v>12014037</v>
      </c>
      <c r="J516" s="12" t="n">
        <v>3967294</v>
      </c>
      <c r="K516" s="13" t="n">
        <f aca="false">IF(I516=0,0,J516/I516)</f>
        <v>0.330221556667422</v>
      </c>
      <c r="L516" s="12" t="n">
        <v>945838</v>
      </c>
      <c r="M516" s="12" t="n">
        <v>211040</v>
      </c>
      <c r="N516" s="12" t="n">
        <v>23122</v>
      </c>
      <c r="O516" s="12" t="n">
        <v>6491</v>
      </c>
      <c r="P516" s="12" t="n">
        <f aca="false">M516+N516+O516</f>
        <v>240653</v>
      </c>
      <c r="Q516" s="13" t="n">
        <f aca="false">IF(I516=0,0,P516/I516)</f>
        <v>0.0200309854214699</v>
      </c>
      <c r="R516" s="13" t="n">
        <v>0.0399</v>
      </c>
      <c r="S516" s="14" t="n">
        <v>1799815</v>
      </c>
      <c r="T516" s="14" t="n">
        <v>114970</v>
      </c>
      <c r="U516" s="14" t="n">
        <v>93000</v>
      </c>
      <c r="V516" s="14" t="n">
        <v>92127</v>
      </c>
      <c r="W516" s="14" t="n">
        <f aca="false">S516+T516+U516+V516</f>
        <v>2099912</v>
      </c>
      <c r="X516" s="15" t="n">
        <f aca="false">IF(P516=0,0,S516/P516)</f>
        <v>7.47888037963375</v>
      </c>
      <c r="Y516" s="15" t="n">
        <f aca="false">IF(J516=0,0,W516/J516)</f>
        <v>0.529305869441488</v>
      </c>
      <c r="Z516" s="14" t="n">
        <v>363309</v>
      </c>
      <c r="AA516" s="15" t="n">
        <f aca="false">IF(L516=0,0,Z516/L516)</f>
        <v>0.384113347105953</v>
      </c>
      <c r="AB516" s="12" t="n">
        <v>326309517</v>
      </c>
      <c r="AC516" s="16" t="n">
        <v>13.3</v>
      </c>
      <c r="AD516" s="16" t="n">
        <v>25.6</v>
      </c>
      <c r="AE516" s="13" t="n">
        <v>0.436</v>
      </c>
      <c r="AF516" s="13" t="n">
        <v>0.603</v>
      </c>
      <c r="AG516" s="13" t="n">
        <v>0.363</v>
      </c>
      <c r="AH516" s="13" t="n">
        <v>0.221</v>
      </c>
      <c r="AI516" s="17" t="n">
        <v>4.69</v>
      </c>
    </row>
    <row r="517" customFormat="false" ht="15" hidden="false" customHeight="false" outlineLevel="0" collapsed="false">
      <c r="A517" s="10" t="n">
        <v>45778</v>
      </c>
      <c r="B517" s="11" t="n">
        <f aca="false">YEAR(A517)</f>
        <v>2025</v>
      </c>
      <c r="C517" s="11" t="str">
        <f aca="false">"Q"&amp;ROUNDUP(MONTH(A517)/3,0)</f>
        <v>Q2</v>
      </c>
      <c r="D517" s="11" t="str">
        <f aca="false">B517&amp;"-"&amp;C517</f>
        <v>2025-Q2</v>
      </c>
      <c r="E517" s="11" t="n">
        <f aca="false">MONTH(A517)</f>
        <v>5</v>
      </c>
      <c r="F517" s="11" t="str">
        <f aca="false">TEXT(A517,"mmm")</f>
        <v>May</v>
      </c>
      <c r="G517" s="11" t="s">
        <v>208</v>
      </c>
      <c r="H517" s="11" t="s">
        <v>205</v>
      </c>
      <c r="I517" s="12" t="n">
        <v>2904667</v>
      </c>
      <c r="J517" s="12" t="n">
        <v>930013</v>
      </c>
      <c r="K517" s="13" t="n">
        <f aca="false">IF(I517=0,0,J517/I517)</f>
        <v>0.320178870762122</v>
      </c>
      <c r="L517" s="12" t="n">
        <v>275306</v>
      </c>
      <c r="M517" s="12" t="n">
        <v>56704</v>
      </c>
      <c r="N517" s="12" t="n">
        <v>6888</v>
      </c>
      <c r="O517" s="12" t="n">
        <v>1164</v>
      </c>
      <c r="P517" s="12" t="n">
        <f aca="false">M517+N517+O517</f>
        <v>64756</v>
      </c>
      <c r="Q517" s="13" t="n">
        <f aca="false">IF(I517=0,0,P517/I517)</f>
        <v>0.0222937775655523</v>
      </c>
      <c r="R517" s="13" t="n">
        <v>0.0433</v>
      </c>
      <c r="S517" s="14" t="n">
        <v>443677</v>
      </c>
      <c r="T517" s="14" t="n">
        <v>27743</v>
      </c>
      <c r="U517" s="14" t="n">
        <v>23768</v>
      </c>
      <c r="V517" s="14" t="n">
        <v>25449</v>
      </c>
      <c r="W517" s="14" t="n">
        <f aca="false">S517+T517+U517+V517</f>
        <v>520637</v>
      </c>
      <c r="X517" s="15" t="n">
        <f aca="false">IF(P517=0,0,S517/P517)</f>
        <v>6.85151955031194</v>
      </c>
      <c r="Y517" s="15" t="n">
        <f aca="false">IF(J517=0,0,W517/J517)</f>
        <v>0.559816905785188</v>
      </c>
      <c r="Z517" s="14" t="n">
        <v>95140</v>
      </c>
      <c r="AA517" s="15" t="n">
        <f aca="false">IF(L517=0,0,Z517/L517)</f>
        <v>0.345579101072988</v>
      </c>
      <c r="AB517" s="12" t="n">
        <v>78660098</v>
      </c>
      <c r="AC517" s="16" t="n">
        <v>11.7</v>
      </c>
      <c r="AD517" s="16" t="n">
        <v>26.3</v>
      </c>
      <c r="AE517" s="13" t="n">
        <v>0.44</v>
      </c>
      <c r="AF517" s="13" t="n">
        <v>0.608</v>
      </c>
      <c r="AG517" s="13" t="n">
        <v>0.355</v>
      </c>
      <c r="AH517" s="13" t="n">
        <v>0.215</v>
      </c>
      <c r="AI517" s="17"/>
    </row>
    <row r="518" customFormat="false" ht="15" hidden="false" customHeight="false" outlineLevel="0" collapsed="false">
      <c r="A518" s="10" t="n">
        <v>45778</v>
      </c>
      <c r="B518" s="11" t="n">
        <f aca="false">YEAR(A518)</f>
        <v>2025</v>
      </c>
      <c r="C518" s="11" t="str">
        <f aca="false">"Q"&amp;ROUNDUP(MONTH(A518)/3,0)</f>
        <v>Q2</v>
      </c>
      <c r="D518" s="11" t="str">
        <f aca="false">B518&amp;"-"&amp;C518</f>
        <v>2025-Q2</v>
      </c>
      <c r="E518" s="11" t="n">
        <f aca="false">MONTH(A518)</f>
        <v>5</v>
      </c>
      <c r="F518" s="11" t="str">
        <f aca="false">TEXT(A518,"mmm")</f>
        <v>May</v>
      </c>
      <c r="G518" s="11" t="s">
        <v>209</v>
      </c>
      <c r="H518" s="11" t="s">
        <v>203</v>
      </c>
      <c r="I518" s="12" t="n">
        <v>4467837</v>
      </c>
      <c r="J518" s="12" t="n">
        <v>1588544</v>
      </c>
      <c r="K518" s="13" t="n">
        <f aca="false">IF(I518=0,0,J518/I518)</f>
        <v>0.355551019430655</v>
      </c>
      <c r="L518" s="12" t="n">
        <v>511777</v>
      </c>
      <c r="M518" s="12" t="n">
        <v>149672</v>
      </c>
      <c r="N518" s="12" t="n">
        <v>16965</v>
      </c>
      <c r="O518" s="12" t="n">
        <v>4936</v>
      </c>
      <c r="P518" s="12" t="n">
        <f aca="false">M518+N518+O518</f>
        <v>171573</v>
      </c>
      <c r="Q518" s="13" t="n">
        <f aca="false">IF(I518=0,0,P518/I518)</f>
        <v>0.0384018038258782</v>
      </c>
      <c r="R518" s="13" t="n">
        <v>0.0408</v>
      </c>
      <c r="S518" s="14" t="n">
        <v>1185852</v>
      </c>
      <c r="T518" s="14" t="n">
        <v>88972</v>
      </c>
      <c r="U518" s="14" t="n">
        <v>68628</v>
      </c>
      <c r="V518" s="14" t="n">
        <v>67918</v>
      </c>
      <c r="W518" s="14" t="n">
        <f aca="false">S518+T518+U518+V518</f>
        <v>1411370</v>
      </c>
      <c r="X518" s="15" t="n">
        <f aca="false">IF(P518=0,0,S518/P518)</f>
        <v>6.91164693745519</v>
      </c>
      <c r="Y518" s="15" t="n">
        <f aca="false">IF(J518=0,0,W518/J518)</f>
        <v>0.888467678578623</v>
      </c>
      <c r="Z518" s="14" t="n">
        <v>223716</v>
      </c>
      <c r="AA518" s="15" t="n">
        <f aca="false">IF(L518=0,0,Z518/L518)</f>
        <v>0.437135705590521</v>
      </c>
      <c r="AB518" s="12" t="n">
        <v>131399134</v>
      </c>
      <c r="AC518" s="16" t="n">
        <v>13.6</v>
      </c>
      <c r="AD518" s="16" t="n">
        <v>25.7</v>
      </c>
      <c r="AE518" s="13" t="n">
        <v>0.447</v>
      </c>
      <c r="AF518" s="13" t="n">
        <v>0.593</v>
      </c>
      <c r="AG518" s="13" t="n">
        <v>0.365</v>
      </c>
      <c r="AH518" s="13" t="n">
        <v>0.215</v>
      </c>
      <c r="AI518" s="17" t="n">
        <v>4.72</v>
      </c>
    </row>
    <row r="519" customFormat="false" ht="15" hidden="false" customHeight="false" outlineLevel="0" collapsed="false">
      <c r="A519" s="10" t="n">
        <v>45778</v>
      </c>
      <c r="B519" s="11" t="n">
        <f aca="false">YEAR(A519)</f>
        <v>2025</v>
      </c>
      <c r="C519" s="11" t="str">
        <f aca="false">"Q"&amp;ROUNDUP(MONTH(A519)/3,0)</f>
        <v>Q2</v>
      </c>
      <c r="D519" s="11" t="str">
        <f aca="false">B519&amp;"-"&amp;C519</f>
        <v>2025-Q2</v>
      </c>
      <c r="E519" s="11" t="n">
        <f aca="false">MONTH(A519)</f>
        <v>5</v>
      </c>
      <c r="F519" s="11" t="str">
        <f aca="false">TEXT(A519,"mmm")</f>
        <v>May</v>
      </c>
      <c r="G519" s="11" t="s">
        <v>209</v>
      </c>
      <c r="H519" s="11" t="s">
        <v>204</v>
      </c>
      <c r="I519" s="12" t="n">
        <v>5984484</v>
      </c>
      <c r="J519" s="12" t="n">
        <v>2032095</v>
      </c>
      <c r="K519" s="13" t="n">
        <f aca="false">IF(I519=0,0,J519/I519)</f>
        <v>0.339560603721223</v>
      </c>
      <c r="L519" s="12" t="n">
        <v>646065</v>
      </c>
      <c r="M519" s="12" t="n">
        <v>86319</v>
      </c>
      <c r="N519" s="12" t="n">
        <v>10957</v>
      </c>
      <c r="O519" s="12" t="n">
        <v>2145</v>
      </c>
      <c r="P519" s="12" t="n">
        <f aca="false">M519+N519+O519</f>
        <v>99421</v>
      </c>
      <c r="Q519" s="13" t="n">
        <f aca="false">IF(I519=0,0,P519/I519)</f>
        <v>0.0166131282162338</v>
      </c>
      <c r="R519" s="13" t="n">
        <v>0.0399</v>
      </c>
      <c r="S519" s="14" t="n">
        <v>653908</v>
      </c>
      <c r="T519" s="14" t="n">
        <v>42941</v>
      </c>
      <c r="U519" s="14" t="n">
        <v>35820</v>
      </c>
      <c r="V519" s="14" t="n">
        <v>35791</v>
      </c>
      <c r="W519" s="14" t="n">
        <f aca="false">S519+T519+U519+V519</f>
        <v>768460</v>
      </c>
      <c r="X519" s="15" t="n">
        <f aca="false">IF(P519=0,0,S519/P519)</f>
        <v>6.57716176662878</v>
      </c>
      <c r="Y519" s="15" t="n">
        <f aca="false">IF(J519=0,0,W519/J519)</f>
        <v>0.378161454065878</v>
      </c>
      <c r="Z519" s="14" t="n">
        <v>123397</v>
      </c>
      <c r="AA519" s="15" t="n">
        <f aca="false">IF(L519=0,0,Z519/L519)</f>
        <v>0.190997809817898</v>
      </c>
      <c r="AB519" s="12" t="n">
        <v>177227700</v>
      </c>
      <c r="AC519" s="16" t="n">
        <v>13.3</v>
      </c>
      <c r="AD519" s="16" t="n">
        <v>25.8</v>
      </c>
      <c r="AE519" s="13" t="n">
        <v>0.441</v>
      </c>
      <c r="AF519" s="13" t="n">
        <v>0.605</v>
      </c>
      <c r="AG519" s="13" t="n">
        <v>0.376</v>
      </c>
      <c r="AH519" s="13" t="n">
        <v>0.21</v>
      </c>
      <c r="AI519" s="17" t="n">
        <v>4.68</v>
      </c>
    </row>
    <row r="520" customFormat="false" ht="15" hidden="false" customHeight="false" outlineLevel="0" collapsed="false">
      <c r="A520" s="10" t="n">
        <v>45778</v>
      </c>
      <c r="B520" s="11" t="n">
        <f aca="false">YEAR(A520)</f>
        <v>2025</v>
      </c>
      <c r="C520" s="11" t="str">
        <f aca="false">"Q"&amp;ROUNDUP(MONTH(A520)/3,0)</f>
        <v>Q2</v>
      </c>
      <c r="D520" s="11" t="str">
        <f aca="false">B520&amp;"-"&amp;C520</f>
        <v>2025-Q2</v>
      </c>
      <c r="E520" s="11" t="n">
        <f aca="false">MONTH(A520)</f>
        <v>5</v>
      </c>
      <c r="F520" s="11" t="str">
        <f aca="false">TEXT(A520,"mmm")</f>
        <v>May</v>
      </c>
      <c r="G520" s="11" t="s">
        <v>209</v>
      </c>
      <c r="H520" s="11" t="s">
        <v>205</v>
      </c>
      <c r="I520" s="12" t="n">
        <v>1753003</v>
      </c>
      <c r="J520" s="12" t="n">
        <v>504079</v>
      </c>
      <c r="K520" s="13" t="n">
        <f aca="false">IF(I520=0,0,J520/I520)</f>
        <v>0.287551704132851</v>
      </c>
      <c r="L520" s="12" t="n">
        <v>153877</v>
      </c>
      <c r="M520" s="12" t="n">
        <v>23567</v>
      </c>
      <c r="N520" s="12" t="n">
        <v>2636</v>
      </c>
      <c r="O520" s="12" t="n">
        <v>382</v>
      </c>
      <c r="P520" s="12" t="n">
        <f aca="false">M520+N520+O520</f>
        <v>26585</v>
      </c>
      <c r="Q520" s="13" t="n">
        <f aca="false">IF(I520=0,0,P520/I520)</f>
        <v>0.0151654047369001</v>
      </c>
      <c r="R520" s="13" t="n">
        <v>0.0435</v>
      </c>
      <c r="S520" s="14" t="n">
        <v>197313</v>
      </c>
      <c r="T520" s="14" t="n">
        <v>12898</v>
      </c>
      <c r="U520" s="14" t="n">
        <v>10525</v>
      </c>
      <c r="V520" s="14" t="n">
        <v>9618</v>
      </c>
      <c r="W520" s="14" t="n">
        <f aca="false">S520+T520+U520+V520</f>
        <v>230354</v>
      </c>
      <c r="X520" s="15" t="n">
        <f aca="false">IF(P520=0,0,S520/P520)</f>
        <v>7.42196727477901</v>
      </c>
      <c r="Y520" s="15" t="n">
        <f aca="false">IF(J520=0,0,W520/J520)</f>
        <v>0.456979957506661</v>
      </c>
      <c r="Z520" s="14" t="n">
        <v>34819</v>
      </c>
      <c r="AA520" s="15" t="n">
        <f aca="false">IF(L520=0,0,Z520/L520)</f>
        <v>0.226278131234687</v>
      </c>
      <c r="AB520" s="12" t="n">
        <v>42696830</v>
      </c>
      <c r="AC520" s="16" t="n">
        <v>11.8</v>
      </c>
      <c r="AD520" s="16" t="n">
        <v>25.1</v>
      </c>
      <c r="AE520" s="13" t="n">
        <v>0.45</v>
      </c>
      <c r="AF520" s="13" t="n">
        <v>0.604</v>
      </c>
      <c r="AG520" s="13" t="n">
        <v>0.366</v>
      </c>
      <c r="AH520" s="13" t="n">
        <v>0.22</v>
      </c>
      <c r="AI520" s="17"/>
    </row>
    <row r="521" customFormat="false" ht="15" hidden="false" customHeight="false" outlineLevel="0" collapsed="false">
      <c r="A521" s="10" t="n">
        <v>45778</v>
      </c>
      <c r="B521" s="11" t="n">
        <f aca="false">YEAR(A521)</f>
        <v>2025</v>
      </c>
      <c r="C521" s="11" t="str">
        <f aca="false">"Q"&amp;ROUNDUP(MONTH(A521)/3,0)</f>
        <v>Q2</v>
      </c>
      <c r="D521" s="11" t="str">
        <f aca="false">B521&amp;"-"&amp;C521</f>
        <v>2025-Q2</v>
      </c>
      <c r="E521" s="11" t="n">
        <f aca="false">MONTH(A521)</f>
        <v>5</v>
      </c>
      <c r="F521" s="11" t="str">
        <f aca="false">TEXT(A521,"mmm")</f>
        <v>May</v>
      </c>
      <c r="G521" s="11" t="s">
        <v>210</v>
      </c>
      <c r="H521" s="11" t="s">
        <v>203</v>
      </c>
      <c r="I521" s="12" t="n">
        <v>8781002</v>
      </c>
      <c r="J521" s="12" t="n">
        <v>3068443</v>
      </c>
      <c r="K521" s="13" t="n">
        <f aca="false">IF(I521=0,0,J521/I521)</f>
        <v>0.349441100229792</v>
      </c>
      <c r="L521" s="12" t="n">
        <v>842225</v>
      </c>
      <c r="M521" s="12" t="n">
        <v>288863</v>
      </c>
      <c r="N521" s="12" t="n">
        <v>36115</v>
      </c>
      <c r="O521" s="12" t="n">
        <v>9627</v>
      </c>
      <c r="P521" s="12" t="n">
        <f aca="false">M521+N521+O521</f>
        <v>334605</v>
      </c>
      <c r="Q521" s="13" t="n">
        <f aca="false">IF(I521=0,0,P521/I521)</f>
        <v>0.038105560162724</v>
      </c>
      <c r="R521" s="13" t="n">
        <v>0.0381</v>
      </c>
      <c r="S521" s="14" t="n">
        <v>2381109</v>
      </c>
      <c r="T521" s="14" t="n">
        <v>157572</v>
      </c>
      <c r="U521" s="14" t="n">
        <v>136138</v>
      </c>
      <c r="V521" s="14" t="n">
        <v>132753</v>
      </c>
      <c r="W521" s="14" t="n">
        <f aca="false">S521+T521+U521+V521</f>
        <v>2807572</v>
      </c>
      <c r="X521" s="15" t="n">
        <f aca="false">IF(P521=0,0,S521/P521)</f>
        <v>7.11617877796208</v>
      </c>
      <c r="Y521" s="15" t="n">
        <f aca="false">IF(J521=0,0,W521/J521)</f>
        <v>0.914982614961399</v>
      </c>
      <c r="Z521" s="14" t="n">
        <v>452270</v>
      </c>
      <c r="AA521" s="15" t="n">
        <f aca="false">IF(L521=0,0,Z521/L521)</f>
        <v>0.536994271127074</v>
      </c>
      <c r="AB521" s="12" t="n">
        <v>251888462</v>
      </c>
      <c r="AC521" s="16" t="n">
        <v>13.5</v>
      </c>
      <c r="AD521" s="16" t="n">
        <v>25.8</v>
      </c>
      <c r="AE521" s="13" t="n">
        <v>0.434</v>
      </c>
      <c r="AF521" s="13" t="n">
        <v>0.601</v>
      </c>
      <c r="AG521" s="13" t="n">
        <v>0.368</v>
      </c>
      <c r="AH521" s="13" t="n">
        <v>0.223</v>
      </c>
      <c r="AI521" s="17" t="n">
        <v>4.7</v>
      </c>
    </row>
    <row r="522" customFormat="false" ht="15" hidden="false" customHeight="false" outlineLevel="0" collapsed="false">
      <c r="A522" s="10" t="n">
        <v>45778</v>
      </c>
      <c r="B522" s="11" t="n">
        <f aca="false">YEAR(A522)</f>
        <v>2025</v>
      </c>
      <c r="C522" s="11" t="str">
        <f aca="false">"Q"&amp;ROUNDUP(MONTH(A522)/3,0)</f>
        <v>Q2</v>
      </c>
      <c r="D522" s="11" t="str">
        <f aca="false">B522&amp;"-"&amp;C522</f>
        <v>2025-Q2</v>
      </c>
      <c r="E522" s="11" t="n">
        <f aca="false">MONTH(A522)</f>
        <v>5</v>
      </c>
      <c r="F522" s="11" t="str">
        <f aca="false">TEXT(A522,"mmm")</f>
        <v>May</v>
      </c>
      <c r="G522" s="11" t="s">
        <v>210</v>
      </c>
      <c r="H522" s="11" t="s">
        <v>204</v>
      </c>
      <c r="I522" s="12" t="n">
        <v>10505164</v>
      </c>
      <c r="J522" s="12" t="n">
        <v>3176914</v>
      </c>
      <c r="K522" s="13" t="n">
        <f aca="false">IF(I522=0,0,J522/I522)</f>
        <v>0.302414507760183</v>
      </c>
      <c r="L522" s="12" t="n">
        <v>971451</v>
      </c>
      <c r="M522" s="12" t="n">
        <v>167056</v>
      </c>
      <c r="N522" s="12" t="n">
        <v>19888</v>
      </c>
      <c r="O522" s="12" t="n">
        <v>4123</v>
      </c>
      <c r="P522" s="12" t="n">
        <f aca="false">M522+N522+O522</f>
        <v>191067</v>
      </c>
      <c r="Q522" s="13" t="n">
        <f aca="false">IF(I522=0,0,P522/I522)</f>
        <v>0.0181879121544414</v>
      </c>
      <c r="R522" s="13" t="n">
        <v>0.0398</v>
      </c>
      <c r="S522" s="14" t="n">
        <v>1402105</v>
      </c>
      <c r="T522" s="14" t="n">
        <v>98926</v>
      </c>
      <c r="U522" s="14" t="n">
        <v>77465</v>
      </c>
      <c r="V522" s="14" t="n">
        <v>73486</v>
      </c>
      <c r="W522" s="14" t="n">
        <f aca="false">S522+T522+U522+V522</f>
        <v>1651982</v>
      </c>
      <c r="X522" s="15" t="n">
        <f aca="false">IF(P522=0,0,S522/P522)</f>
        <v>7.33828970989234</v>
      </c>
      <c r="Y522" s="15" t="n">
        <f aca="false">IF(J522=0,0,W522/J522)</f>
        <v>0.519995819842778</v>
      </c>
      <c r="Z522" s="14" t="n">
        <v>326569</v>
      </c>
      <c r="AA522" s="15" t="n">
        <f aca="false">IF(L522=0,0,Z522/L522)</f>
        <v>0.336166209103702</v>
      </c>
      <c r="AB522" s="12" t="n">
        <v>271409775</v>
      </c>
      <c r="AC522" s="16" t="n">
        <v>13</v>
      </c>
      <c r="AD522" s="16" t="n">
        <v>26.1</v>
      </c>
      <c r="AE522" s="13" t="n">
        <v>0.442</v>
      </c>
      <c r="AF522" s="13" t="n">
        <v>0.602</v>
      </c>
      <c r="AG522" s="13" t="n">
        <v>0.366</v>
      </c>
      <c r="AH522" s="13" t="n">
        <v>0.238</v>
      </c>
      <c r="AI522" s="17" t="n">
        <v>4.67</v>
      </c>
    </row>
    <row r="523" customFormat="false" ht="15" hidden="false" customHeight="false" outlineLevel="0" collapsed="false">
      <c r="A523" s="10" t="n">
        <v>45778</v>
      </c>
      <c r="B523" s="11" t="n">
        <f aca="false">YEAR(A523)</f>
        <v>2025</v>
      </c>
      <c r="C523" s="11" t="str">
        <f aca="false">"Q"&amp;ROUNDUP(MONTH(A523)/3,0)</f>
        <v>Q2</v>
      </c>
      <c r="D523" s="11" t="str">
        <f aca="false">B523&amp;"-"&amp;C523</f>
        <v>2025-Q2</v>
      </c>
      <c r="E523" s="11" t="n">
        <f aca="false">MONTH(A523)</f>
        <v>5</v>
      </c>
      <c r="F523" s="11" t="str">
        <f aca="false">TEXT(A523,"mmm")</f>
        <v>May</v>
      </c>
      <c r="G523" s="11" t="s">
        <v>210</v>
      </c>
      <c r="H523" s="11" t="s">
        <v>205</v>
      </c>
      <c r="I523" s="12" t="n">
        <v>3472362</v>
      </c>
      <c r="J523" s="12" t="n">
        <v>993595</v>
      </c>
      <c r="K523" s="13" t="n">
        <f aca="false">IF(I523=0,0,J523/I523)</f>
        <v>0.286143840993537</v>
      </c>
      <c r="L523" s="12" t="n">
        <v>271262</v>
      </c>
      <c r="M523" s="12" t="n">
        <v>47955</v>
      </c>
      <c r="N523" s="12" t="n">
        <v>5770</v>
      </c>
      <c r="O523" s="12" t="n">
        <v>784</v>
      </c>
      <c r="P523" s="12" t="n">
        <f aca="false">M523+N523+O523</f>
        <v>54509</v>
      </c>
      <c r="Q523" s="13" t="n">
        <f aca="false">IF(I523=0,0,P523/I523)</f>
        <v>0.0156979600629197</v>
      </c>
      <c r="R523" s="13" t="n">
        <v>0.0425</v>
      </c>
      <c r="S523" s="14" t="n">
        <v>403326</v>
      </c>
      <c r="T523" s="14" t="n">
        <v>26728</v>
      </c>
      <c r="U523" s="14" t="n">
        <v>20298</v>
      </c>
      <c r="V523" s="14" t="n">
        <v>22182</v>
      </c>
      <c r="W523" s="14" t="n">
        <f aca="false">S523+T523+U523+V523</f>
        <v>472534</v>
      </c>
      <c r="X523" s="15" t="n">
        <f aca="false">IF(P523=0,0,S523/P523)</f>
        <v>7.3992551688712</v>
      </c>
      <c r="Y523" s="15" t="n">
        <f aca="false">IF(J523=0,0,W523/J523)</f>
        <v>0.475580090479521</v>
      </c>
      <c r="Z523" s="14" t="n">
        <v>66422</v>
      </c>
      <c r="AA523" s="15" t="n">
        <f aca="false">IF(L523=0,0,Z523/L523)</f>
        <v>0.244862900074467</v>
      </c>
      <c r="AB523" s="12" t="n">
        <v>84233147</v>
      </c>
      <c r="AC523" s="16" t="n">
        <v>11.8</v>
      </c>
      <c r="AD523" s="16" t="n">
        <v>25.8</v>
      </c>
      <c r="AE523" s="13" t="n">
        <v>0.446</v>
      </c>
      <c r="AF523" s="13" t="n">
        <v>0.599</v>
      </c>
      <c r="AG523" s="13" t="n">
        <v>0.368</v>
      </c>
      <c r="AH523" s="13" t="n">
        <v>0.212</v>
      </c>
      <c r="AI523" s="17"/>
    </row>
    <row r="524" customFormat="false" ht="15" hidden="false" customHeight="false" outlineLevel="0" collapsed="false">
      <c r="A524" s="10" t="n">
        <v>45809</v>
      </c>
      <c r="B524" s="11" t="n">
        <f aca="false">YEAR(A524)</f>
        <v>2025</v>
      </c>
      <c r="C524" s="11" t="str">
        <f aca="false">"Q"&amp;ROUNDUP(MONTH(A524)/3,0)</f>
        <v>Q2</v>
      </c>
      <c r="D524" s="11" t="str">
        <f aca="false">B524&amp;"-"&amp;C524</f>
        <v>2025-Q2</v>
      </c>
      <c r="E524" s="11" t="n">
        <f aca="false">MONTH(A524)</f>
        <v>6</v>
      </c>
      <c r="F524" s="11" t="str">
        <f aca="false">TEXT(A524,"mmm")</f>
        <v>Jun</v>
      </c>
      <c r="G524" s="11" t="s">
        <v>202</v>
      </c>
      <c r="H524" s="11" t="s">
        <v>203</v>
      </c>
      <c r="I524" s="12" t="n">
        <v>9699401</v>
      </c>
      <c r="J524" s="12" t="n">
        <v>3593539</v>
      </c>
      <c r="K524" s="13" t="n">
        <f aca="false">IF(I524=0,0,J524/I524)</f>
        <v>0.370490816907147</v>
      </c>
      <c r="L524" s="12" t="n">
        <v>906763</v>
      </c>
      <c r="M524" s="12" t="n">
        <v>2121993</v>
      </c>
      <c r="N524" s="12" t="n">
        <v>311002</v>
      </c>
      <c r="O524" s="12" t="n">
        <v>329307</v>
      </c>
      <c r="P524" s="12" t="n">
        <f aca="false">M524+N524+O524</f>
        <v>2762302</v>
      </c>
      <c r="Q524" s="13" t="n">
        <f aca="false">IF(I524=0,0,P524/I524)</f>
        <v>0.284790988639402</v>
      </c>
      <c r="R524" s="13" t="n">
        <v>0.036</v>
      </c>
      <c r="S524" s="14" t="n">
        <v>18677071</v>
      </c>
      <c r="T524" s="14" t="n">
        <v>1233428</v>
      </c>
      <c r="U524" s="14" t="n">
        <v>1022532</v>
      </c>
      <c r="V524" s="14" t="n">
        <v>976689</v>
      </c>
      <c r="W524" s="14" t="n">
        <f aca="false">S524+T524+U524+V524</f>
        <v>21909720</v>
      </c>
      <c r="X524" s="15" t="n">
        <f aca="false">IF(P524=0,0,S524/P524)</f>
        <v>6.76141529782044</v>
      </c>
      <c r="Y524" s="15" t="n">
        <f aca="false">IF(J524=0,0,W524/J524)</f>
        <v>6.09697571113045</v>
      </c>
      <c r="Z524" s="14" t="n">
        <v>3280949</v>
      </c>
      <c r="AA524" s="15" t="n">
        <f aca="false">IF(L524=0,0,Z524/L524)</f>
        <v>3.61830930463638</v>
      </c>
      <c r="AB524" s="12" t="n">
        <v>308334220</v>
      </c>
      <c r="AC524" s="16" t="n">
        <v>13.8</v>
      </c>
      <c r="AD524" s="16" t="n">
        <v>25.8</v>
      </c>
      <c r="AE524" s="13" t="n">
        <v>0.437</v>
      </c>
      <c r="AF524" s="13" t="n">
        <v>0.597</v>
      </c>
      <c r="AG524" s="13" t="n">
        <v>0.367</v>
      </c>
      <c r="AH524" s="13" t="n">
        <v>0.211</v>
      </c>
      <c r="AI524" s="17" t="n">
        <v>4.73</v>
      </c>
    </row>
    <row r="525" customFormat="false" ht="15" hidden="false" customHeight="false" outlineLevel="0" collapsed="false">
      <c r="A525" s="10" t="n">
        <v>45809</v>
      </c>
      <c r="B525" s="11" t="n">
        <f aca="false">YEAR(A525)</f>
        <v>2025</v>
      </c>
      <c r="C525" s="11" t="str">
        <f aca="false">"Q"&amp;ROUNDUP(MONTH(A525)/3,0)</f>
        <v>Q2</v>
      </c>
      <c r="D525" s="11" t="str">
        <f aca="false">B525&amp;"-"&amp;C525</f>
        <v>2025-Q2</v>
      </c>
      <c r="E525" s="11" t="n">
        <f aca="false">MONTH(A525)</f>
        <v>6</v>
      </c>
      <c r="F525" s="11" t="str">
        <f aca="false">TEXT(A525,"mmm")</f>
        <v>Jun</v>
      </c>
      <c r="G525" s="11" t="s">
        <v>202</v>
      </c>
      <c r="H525" s="11" t="s">
        <v>204</v>
      </c>
      <c r="I525" s="12" t="n">
        <v>12703632</v>
      </c>
      <c r="J525" s="12" t="n">
        <v>4350105</v>
      </c>
      <c r="K525" s="13" t="n">
        <f aca="false">IF(I525=0,0,J525/I525)</f>
        <v>0.34243002316188</v>
      </c>
      <c r="L525" s="12" t="n">
        <v>1178903</v>
      </c>
      <c r="M525" s="12" t="n">
        <v>1363305</v>
      </c>
      <c r="N525" s="12" t="n">
        <v>175887</v>
      </c>
      <c r="O525" s="12" t="n">
        <v>151133</v>
      </c>
      <c r="P525" s="12" t="n">
        <f aca="false">M525+N525+O525</f>
        <v>1690325</v>
      </c>
      <c r="Q525" s="13" t="n">
        <f aca="false">IF(I525=0,0,P525/I525)</f>
        <v>0.133058404084753</v>
      </c>
      <c r="R525" s="13" t="n">
        <v>0.0377</v>
      </c>
      <c r="S525" s="14" t="n">
        <v>11381298</v>
      </c>
      <c r="T525" s="14" t="n">
        <v>745788</v>
      </c>
      <c r="U525" s="14" t="n">
        <v>599443</v>
      </c>
      <c r="V525" s="14" t="n">
        <v>582156</v>
      </c>
      <c r="W525" s="14" t="n">
        <f aca="false">S525+T525+U525+V525</f>
        <v>13308685</v>
      </c>
      <c r="X525" s="15" t="n">
        <f aca="false">IF(P525=0,0,S525/P525)</f>
        <v>6.73320101163977</v>
      </c>
      <c r="Y525" s="15" t="n">
        <f aca="false">IF(J525=0,0,W525/J525)</f>
        <v>3.05939396865133</v>
      </c>
      <c r="Z525" s="14" t="n">
        <v>2114532</v>
      </c>
      <c r="AA525" s="15" t="n">
        <f aca="false">IF(L525=0,0,Z525/L525)</f>
        <v>1.79364375186084</v>
      </c>
      <c r="AB525" s="12" t="n">
        <v>366206795</v>
      </c>
      <c r="AC525" s="16" t="n">
        <v>13.3</v>
      </c>
      <c r="AD525" s="16" t="n">
        <v>26.8</v>
      </c>
      <c r="AE525" s="13" t="n">
        <v>0.448</v>
      </c>
      <c r="AF525" s="13" t="n">
        <v>0.601</v>
      </c>
      <c r="AG525" s="13" t="n">
        <v>0.362</v>
      </c>
      <c r="AH525" s="13" t="n">
        <v>0.224</v>
      </c>
      <c r="AI525" s="17" t="n">
        <v>4.66</v>
      </c>
    </row>
    <row r="526" customFormat="false" ht="15" hidden="false" customHeight="false" outlineLevel="0" collapsed="false">
      <c r="A526" s="10" t="n">
        <v>45809</v>
      </c>
      <c r="B526" s="11" t="n">
        <f aca="false">YEAR(A526)</f>
        <v>2025</v>
      </c>
      <c r="C526" s="11" t="str">
        <f aca="false">"Q"&amp;ROUNDUP(MONTH(A526)/3,0)</f>
        <v>Q2</v>
      </c>
      <c r="D526" s="11" t="str">
        <f aca="false">B526&amp;"-"&amp;C526</f>
        <v>2025-Q2</v>
      </c>
      <c r="E526" s="11" t="n">
        <f aca="false">MONTH(A526)</f>
        <v>6</v>
      </c>
      <c r="F526" s="11" t="str">
        <f aca="false">TEXT(A526,"mmm")</f>
        <v>Jun</v>
      </c>
      <c r="G526" s="11" t="s">
        <v>202</v>
      </c>
      <c r="H526" s="11" t="s">
        <v>205</v>
      </c>
      <c r="I526" s="12" t="n">
        <v>3581447</v>
      </c>
      <c r="J526" s="12" t="n">
        <v>1087159</v>
      </c>
      <c r="K526" s="13" t="n">
        <f aca="false">IF(I526=0,0,J526/I526)</f>
        <v>0.303553005251788</v>
      </c>
      <c r="L526" s="12" t="n">
        <v>316344</v>
      </c>
      <c r="M526" s="12" t="n">
        <v>358349</v>
      </c>
      <c r="N526" s="12" t="n">
        <v>45285</v>
      </c>
      <c r="O526" s="12" t="n">
        <v>25585</v>
      </c>
      <c r="P526" s="12" t="n">
        <f aca="false">M526+N526+O526</f>
        <v>429219</v>
      </c>
      <c r="Q526" s="13" t="n">
        <f aca="false">IF(I526=0,0,P526/I526)</f>
        <v>0.119845135220485</v>
      </c>
      <c r="R526" s="13" t="n">
        <v>0.0424</v>
      </c>
      <c r="S526" s="14" t="n">
        <v>3378603</v>
      </c>
      <c r="T526" s="14" t="n">
        <v>217242</v>
      </c>
      <c r="U526" s="14" t="n">
        <v>180093</v>
      </c>
      <c r="V526" s="14" t="n">
        <v>179843</v>
      </c>
      <c r="W526" s="14" t="n">
        <f aca="false">S526+T526+U526+V526</f>
        <v>3955781</v>
      </c>
      <c r="X526" s="15" t="n">
        <f aca="false">IF(P526=0,0,S526/P526)</f>
        <v>7.87151314363996</v>
      </c>
      <c r="Y526" s="15" t="n">
        <f aca="false">IF(J526=0,0,W526/J526)</f>
        <v>3.63864071400779</v>
      </c>
      <c r="Z526" s="14" t="n">
        <v>598745</v>
      </c>
      <c r="AA526" s="15" t="n">
        <f aca="false">IF(L526=0,0,Z526/L526)</f>
        <v>1.89270224818552</v>
      </c>
      <c r="AB526" s="12" t="n">
        <v>91269548</v>
      </c>
      <c r="AC526" s="16" t="n">
        <v>12</v>
      </c>
      <c r="AD526" s="16" t="n">
        <v>25.9</v>
      </c>
      <c r="AE526" s="13" t="n">
        <v>0.443</v>
      </c>
      <c r="AF526" s="13" t="n">
        <v>0.59</v>
      </c>
      <c r="AG526" s="13" t="n">
        <v>0.368</v>
      </c>
      <c r="AH526" s="13" t="n">
        <v>0.223</v>
      </c>
      <c r="AI526" s="17"/>
    </row>
    <row r="527" customFormat="false" ht="15" hidden="false" customHeight="false" outlineLevel="0" collapsed="false">
      <c r="A527" s="10" t="n">
        <v>45809</v>
      </c>
      <c r="B527" s="11" t="n">
        <f aca="false">YEAR(A527)</f>
        <v>2025</v>
      </c>
      <c r="C527" s="11" t="str">
        <f aca="false">"Q"&amp;ROUNDUP(MONTH(A527)/3,0)</f>
        <v>Q2</v>
      </c>
      <c r="D527" s="11" t="str">
        <f aca="false">B527&amp;"-"&amp;C527</f>
        <v>2025-Q2</v>
      </c>
      <c r="E527" s="11" t="n">
        <f aca="false">MONTH(A527)</f>
        <v>6</v>
      </c>
      <c r="F527" s="11" t="str">
        <f aca="false">TEXT(A527,"mmm")</f>
        <v>Jun</v>
      </c>
      <c r="G527" s="11" t="s">
        <v>206</v>
      </c>
      <c r="H527" s="11" t="s">
        <v>203</v>
      </c>
      <c r="I527" s="12" t="n">
        <v>9592555</v>
      </c>
      <c r="J527" s="12" t="n">
        <v>3723451</v>
      </c>
      <c r="K527" s="13" t="n">
        <f aca="false">IF(I527=0,0,J527/I527)</f>
        <v>0.388160505725534</v>
      </c>
      <c r="L527" s="12" t="n">
        <v>1348420</v>
      </c>
      <c r="M527" s="12" t="n">
        <v>1349457</v>
      </c>
      <c r="N527" s="12" t="n">
        <v>166964</v>
      </c>
      <c r="O527" s="12" t="n">
        <v>122083</v>
      </c>
      <c r="P527" s="12" t="n">
        <f aca="false">M527+N527+O527</f>
        <v>1638504</v>
      </c>
      <c r="Q527" s="13" t="n">
        <f aca="false">IF(I527=0,0,P527/I527)</f>
        <v>0.170809966687707</v>
      </c>
      <c r="R527" s="13" t="n">
        <v>0.0393</v>
      </c>
      <c r="S527" s="14" t="n">
        <v>12289906</v>
      </c>
      <c r="T527" s="14" t="n">
        <v>750663</v>
      </c>
      <c r="U527" s="14" t="n">
        <v>675561</v>
      </c>
      <c r="V527" s="14" t="n">
        <v>617671</v>
      </c>
      <c r="W527" s="14" t="n">
        <f aca="false">S527+T527+U527+V527</f>
        <v>14333801</v>
      </c>
      <c r="X527" s="15" t="n">
        <f aca="false">IF(P527=0,0,S527/P527)</f>
        <v>7.5006872122375</v>
      </c>
      <c r="Y527" s="15" t="n">
        <f aca="false">IF(J527=0,0,W527/J527)</f>
        <v>3.8496010824367</v>
      </c>
      <c r="Z527" s="14" t="n">
        <v>2242191</v>
      </c>
      <c r="AA527" s="15" t="n">
        <f aca="false">IF(L527=0,0,Z527/L527)</f>
        <v>1.66282834725086</v>
      </c>
      <c r="AB527" s="12" t="n">
        <v>327266693</v>
      </c>
      <c r="AC527" s="16" t="n">
        <v>13.6</v>
      </c>
      <c r="AD527" s="16" t="n">
        <v>26.7</v>
      </c>
      <c r="AE527" s="13" t="n">
        <v>0.419</v>
      </c>
      <c r="AF527" s="13" t="n">
        <v>0.601</v>
      </c>
      <c r="AG527" s="13" t="n">
        <v>0.371</v>
      </c>
      <c r="AH527" s="13" t="n">
        <v>0.23</v>
      </c>
      <c r="AI527" s="17" t="n">
        <v>4.72</v>
      </c>
    </row>
    <row r="528" customFormat="false" ht="15" hidden="false" customHeight="false" outlineLevel="0" collapsed="false">
      <c r="A528" s="10" t="n">
        <v>45809</v>
      </c>
      <c r="B528" s="11" t="n">
        <f aca="false">YEAR(A528)</f>
        <v>2025</v>
      </c>
      <c r="C528" s="11" t="str">
        <f aca="false">"Q"&amp;ROUNDUP(MONTH(A528)/3,0)</f>
        <v>Q2</v>
      </c>
      <c r="D528" s="11" t="str">
        <f aca="false">B528&amp;"-"&amp;C528</f>
        <v>2025-Q2</v>
      </c>
      <c r="E528" s="11" t="n">
        <f aca="false">MONTH(A528)</f>
        <v>6</v>
      </c>
      <c r="F528" s="11" t="str">
        <f aca="false">TEXT(A528,"mmm")</f>
        <v>Jun</v>
      </c>
      <c r="G528" s="11" t="s">
        <v>206</v>
      </c>
      <c r="H528" s="11" t="s">
        <v>204</v>
      </c>
      <c r="I528" s="12" t="n">
        <v>14337057</v>
      </c>
      <c r="J528" s="12" t="n">
        <v>4980291</v>
      </c>
      <c r="K528" s="13" t="n">
        <f aca="false">IF(I528=0,0,J528/I528)</f>
        <v>0.347371918797561</v>
      </c>
      <c r="L528" s="12" t="n">
        <v>1445602</v>
      </c>
      <c r="M528" s="12" t="n">
        <v>800428</v>
      </c>
      <c r="N528" s="12" t="n">
        <v>104193</v>
      </c>
      <c r="O528" s="12" t="n">
        <v>53544</v>
      </c>
      <c r="P528" s="12" t="n">
        <f aca="false">M528+N528+O528</f>
        <v>958165</v>
      </c>
      <c r="Q528" s="13" t="n">
        <f aca="false">IF(I528=0,0,P528/I528)</f>
        <v>0.0668313587649125</v>
      </c>
      <c r="R528" s="13" t="n">
        <v>0.0376</v>
      </c>
      <c r="S528" s="14" t="n">
        <v>6503847</v>
      </c>
      <c r="T528" s="14" t="n">
        <v>424523</v>
      </c>
      <c r="U528" s="14" t="n">
        <v>355131</v>
      </c>
      <c r="V528" s="14" t="n">
        <v>343236</v>
      </c>
      <c r="W528" s="14" t="n">
        <f aca="false">S528+T528+U528+V528</f>
        <v>7626737</v>
      </c>
      <c r="X528" s="15" t="n">
        <f aca="false">IF(P528=0,0,S528/P528)</f>
        <v>6.7878152510267</v>
      </c>
      <c r="Y528" s="15" t="n">
        <f aca="false">IF(J528=0,0,W528/J528)</f>
        <v>1.53138380869712</v>
      </c>
      <c r="Z528" s="14" t="n">
        <v>1096255</v>
      </c>
      <c r="AA528" s="15" t="n">
        <f aca="false">IF(L528=0,0,Z528/L528)</f>
        <v>0.758338048785212</v>
      </c>
      <c r="AB528" s="12" t="n">
        <v>426059593</v>
      </c>
      <c r="AC528" s="16" t="n">
        <v>13.4</v>
      </c>
      <c r="AD528" s="16" t="n">
        <v>26.7</v>
      </c>
      <c r="AE528" s="13" t="n">
        <v>0.44</v>
      </c>
      <c r="AF528" s="13" t="n">
        <v>0.596</v>
      </c>
      <c r="AG528" s="13" t="n">
        <v>0.361</v>
      </c>
      <c r="AH528" s="13" t="n">
        <v>0.215</v>
      </c>
      <c r="AI528" s="17" t="n">
        <v>4.71</v>
      </c>
    </row>
    <row r="529" customFormat="false" ht="15" hidden="false" customHeight="false" outlineLevel="0" collapsed="false">
      <c r="A529" s="10" t="n">
        <v>45809</v>
      </c>
      <c r="B529" s="11" t="n">
        <f aca="false">YEAR(A529)</f>
        <v>2025</v>
      </c>
      <c r="C529" s="11" t="str">
        <f aca="false">"Q"&amp;ROUNDUP(MONTH(A529)/3,0)</f>
        <v>Q2</v>
      </c>
      <c r="D529" s="11" t="str">
        <f aca="false">B529&amp;"-"&amp;C529</f>
        <v>2025-Q2</v>
      </c>
      <c r="E529" s="11" t="n">
        <f aca="false">MONTH(A529)</f>
        <v>6</v>
      </c>
      <c r="F529" s="11" t="str">
        <f aca="false">TEXT(A529,"mmm")</f>
        <v>Jun</v>
      </c>
      <c r="G529" s="11" t="s">
        <v>206</v>
      </c>
      <c r="H529" s="11" t="s">
        <v>205</v>
      </c>
      <c r="I529" s="12" t="n">
        <v>4448558</v>
      </c>
      <c r="J529" s="12" t="n">
        <v>1376660</v>
      </c>
      <c r="K529" s="13" t="n">
        <f aca="false">IF(I529=0,0,J529/I529)</f>
        <v>0.309462077374286</v>
      </c>
      <c r="L529" s="12" t="n">
        <v>350556</v>
      </c>
      <c r="M529" s="12" t="n">
        <v>212766</v>
      </c>
      <c r="N529" s="12" t="n">
        <v>27334</v>
      </c>
      <c r="O529" s="12" t="n">
        <v>9291</v>
      </c>
      <c r="P529" s="12" t="n">
        <f aca="false">M529+N529+O529</f>
        <v>249391</v>
      </c>
      <c r="Q529" s="13" t="n">
        <f aca="false">IF(I529=0,0,P529/I529)</f>
        <v>0.056061087660316</v>
      </c>
      <c r="R529" s="13" t="n">
        <v>0.0366</v>
      </c>
      <c r="S529" s="14" t="n">
        <v>1937725</v>
      </c>
      <c r="T529" s="14" t="n">
        <v>120250</v>
      </c>
      <c r="U529" s="14" t="n">
        <v>100402</v>
      </c>
      <c r="V529" s="14" t="n">
        <v>104710</v>
      </c>
      <c r="W529" s="14" t="n">
        <f aca="false">S529+T529+U529+V529</f>
        <v>2263087</v>
      </c>
      <c r="X529" s="15" t="n">
        <f aca="false">IF(P529=0,0,S529/P529)</f>
        <v>7.7698272993011</v>
      </c>
      <c r="Y529" s="15" t="n">
        <f aca="false">IF(J529=0,0,W529/J529)</f>
        <v>1.6438968227449</v>
      </c>
      <c r="Z529" s="14" t="n">
        <v>396985</v>
      </c>
      <c r="AA529" s="15" t="n">
        <f aca="false">IF(L529=0,0,Z529/L529)</f>
        <v>1.13244388913612</v>
      </c>
      <c r="AB529" s="12" t="n">
        <v>113999795</v>
      </c>
      <c r="AC529" s="16" t="n">
        <v>11.7</v>
      </c>
      <c r="AD529" s="16" t="n">
        <v>26.8</v>
      </c>
      <c r="AE529" s="13" t="n">
        <v>0.43</v>
      </c>
      <c r="AF529" s="13" t="n">
        <v>0.601</v>
      </c>
      <c r="AG529" s="13" t="n">
        <v>0.371</v>
      </c>
      <c r="AH529" s="13" t="n">
        <v>0.208</v>
      </c>
      <c r="AI529" s="17"/>
    </row>
    <row r="530" customFormat="false" ht="15" hidden="false" customHeight="false" outlineLevel="0" collapsed="false">
      <c r="A530" s="10" t="n">
        <v>45809</v>
      </c>
      <c r="B530" s="11" t="n">
        <f aca="false">YEAR(A530)</f>
        <v>2025</v>
      </c>
      <c r="C530" s="11" t="str">
        <f aca="false">"Q"&amp;ROUNDUP(MONTH(A530)/3,0)</f>
        <v>Q2</v>
      </c>
      <c r="D530" s="11" t="str">
        <f aca="false">B530&amp;"-"&amp;C530</f>
        <v>2025-Q2</v>
      </c>
      <c r="E530" s="11" t="n">
        <f aca="false">MONTH(A530)</f>
        <v>6</v>
      </c>
      <c r="F530" s="11" t="str">
        <f aca="false">TEXT(A530,"mmm")</f>
        <v>Jun</v>
      </c>
      <c r="G530" s="11" t="s">
        <v>207</v>
      </c>
      <c r="H530" s="11" t="s">
        <v>203</v>
      </c>
      <c r="I530" s="12" t="n">
        <v>9718075</v>
      </c>
      <c r="J530" s="12" t="n">
        <v>3440370</v>
      </c>
      <c r="K530" s="13" t="n">
        <f aca="false">IF(I530=0,0,J530/I530)</f>
        <v>0.354017642382879</v>
      </c>
      <c r="L530" s="12" t="n">
        <v>1056171</v>
      </c>
      <c r="M530" s="12" t="n">
        <v>751085</v>
      </c>
      <c r="N530" s="12" t="n">
        <v>96900</v>
      </c>
      <c r="O530" s="12" t="n">
        <v>46661</v>
      </c>
      <c r="P530" s="12" t="n">
        <f aca="false">M530+N530+O530</f>
        <v>894646</v>
      </c>
      <c r="Q530" s="13" t="n">
        <f aca="false">IF(I530=0,0,P530/I530)</f>
        <v>0.0920600015949661</v>
      </c>
      <c r="R530" s="13" t="n">
        <v>0.0365</v>
      </c>
      <c r="S530" s="14" t="n">
        <v>6609723</v>
      </c>
      <c r="T530" s="14" t="n">
        <v>467738</v>
      </c>
      <c r="U530" s="14" t="n">
        <v>333705</v>
      </c>
      <c r="V530" s="14" t="n">
        <v>358815</v>
      </c>
      <c r="W530" s="14" t="n">
        <f aca="false">S530+T530+U530+V530</f>
        <v>7769981</v>
      </c>
      <c r="X530" s="15" t="n">
        <f aca="false">IF(P530=0,0,S530/P530)</f>
        <v>7.38808757877417</v>
      </c>
      <c r="Y530" s="15" t="n">
        <f aca="false">IF(J530=0,0,W530/J530)</f>
        <v>2.25847248987754</v>
      </c>
      <c r="Z530" s="14" t="n">
        <v>1341564</v>
      </c>
      <c r="AA530" s="15" t="n">
        <f aca="false">IF(L530=0,0,Z530/L530)</f>
        <v>1.27021476635886</v>
      </c>
      <c r="AB530" s="12" t="n">
        <v>270947285</v>
      </c>
      <c r="AC530" s="16" t="n">
        <v>13.7</v>
      </c>
      <c r="AD530" s="16" t="n">
        <v>26</v>
      </c>
      <c r="AE530" s="13" t="n">
        <v>0.448</v>
      </c>
      <c r="AF530" s="13" t="n">
        <v>0.591</v>
      </c>
      <c r="AG530" s="13" t="n">
        <v>0.358</v>
      </c>
      <c r="AH530" s="13" t="n">
        <v>0.216</v>
      </c>
      <c r="AI530" s="17" t="n">
        <v>4.75</v>
      </c>
    </row>
    <row r="531" customFormat="false" ht="15" hidden="false" customHeight="false" outlineLevel="0" collapsed="false">
      <c r="A531" s="10" t="n">
        <v>45809</v>
      </c>
      <c r="B531" s="11" t="n">
        <f aca="false">YEAR(A531)</f>
        <v>2025</v>
      </c>
      <c r="C531" s="11" t="str">
        <f aca="false">"Q"&amp;ROUNDUP(MONTH(A531)/3,0)</f>
        <v>Q2</v>
      </c>
      <c r="D531" s="11" t="str">
        <f aca="false">B531&amp;"-"&amp;C531</f>
        <v>2025-Q2</v>
      </c>
      <c r="E531" s="11" t="n">
        <f aca="false">MONTH(A531)</f>
        <v>6</v>
      </c>
      <c r="F531" s="11" t="str">
        <f aca="false">TEXT(A531,"mmm")</f>
        <v>Jun</v>
      </c>
      <c r="G531" s="11" t="s">
        <v>207</v>
      </c>
      <c r="H531" s="11" t="s">
        <v>204</v>
      </c>
      <c r="I531" s="12" t="n">
        <v>13810649</v>
      </c>
      <c r="J531" s="12" t="n">
        <v>4432211</v>
      </c>
      <c r="K531" s="13" t="n">
        <f aca="false">IF(I531=0,0,J531/I531)</f>
        <v>0.320927061429191</v>
      </c>
      <c r="L531" s="12" t="n">
        <v>1204152</v>
      </c>
      <c r="M531" s="12" t="n">
        <v>406222</v>
      </c>
      <c r="N531" s="12" t="n">
        <v>52542</v>
      </c>
      <c r="O531" s="12" t="n">
        <v>18676</v>
      </c>
      <c r="P531" s="12" t="n">
        <f aca="false">M531+N531+O531</f>
        <v>477440</v>
      </c>
      <c r="Q531" s="13" t="n">
        <f aca="false">IF(I531=0,0,P531/I531)</f>
        <v>0.0345704246049552</v>
      </c>
      <c r="R531" s="13" t="n">
        <v>0.0369</v>
      </c>
      <c r="S531" s="14" t="n">
        <v>3568047</v>
      </c>
      <c r="T531" s="14" t="n">
        <v>232846</v>
      </c>
      <c r="U531" s="14" t="n">
        <v>191714</v>
      </c>
      <c r="V531" s="14" t="n">
        <v>198909</v>
      </c>
      <c r="W531" s="14" t="n">
        <f aca="false">S531+T531+U531+V531</f>
        <v>4191516</v>
      </c>
      <c r="X531" s="15" t="n">
        <f aca="false">IF(P531=0,0,S531/P531)</f>
        <v>7.47328879021448</v>
      </c>
      <c r="Y531" s="15" t="n">
        <f aca="false">IF(J531=0,0,W531/J531)</f>
        <v>0.945694146781369</v>
      </c>
      <c r="Z531" s="14" t="n">
        <v>625144</v>
      </c>
      <c r="AA531" s="15" t="n">
        <f aca="false">IF(L531=0,0,Z531/L531)</f>
        <v>0.519157049940539</v>
      </c>
      <c r="AB531" s="12" t="n">
        <v>358786919</v>
      </c>
      <c r="AC531" s="16" t="n">
        <v>13.5</v>
      </c>
      <c r="AD531" s="16" t="n">
        <v>26.3</v>
      </c>
      <c r="AE531" s="13" t="n">
        <v>0.439</v>
      </c>
      <c r="AF531" s="13" t="n">
        <v>0.603</v>
      </c>
      <c r="AG531" s="13" t="n">
        <v>0.374</v>
      </c>
      <c r="AH531" s="13" t="n">
        <v>0.219</v>
      </c>
      <c r="AI531" s="17" t="n">
        <v>4.69</v>
      </c>
    </row>
    <row r="532" customFormat="false" ht="15" hidden="false" customHeight="false" outlineLevel="0" collapsed="false">
      <c r="A532" s="10" t="n">
        <v>45809</v>
      </c>
      <c r="B532" s="11" t="n">
        <f aca="false">YEAR(A532)</f>
        <v>2025</v>
      </c>
      <c r="C532" s="11" t="str">
        <f aca="false">"Q"&amp;ROUNDUP(MONTH(A532)/3,0)</f>
        <v>Q2</v>
      </c>
      <c r="D532" s="11" t="str">
        <f aca="false">B532&amp;"-"&amp;C532</f>
        <v>2025-Q2</v>
      </c>
      <c r="E532" s="11" t="n">
        <f aca="false">MONTH(A532)</f>
        <v>6</v>
      </c>
      <c r="F532" s="11" t="str">
        <f aca="false">TEXT(A532,"mmm")</f>
        <v>Jun</v>
      </c>
      <c r="G532" s="11" t="s">
        <v>207</v>
      </c>
      <c r="H532" s="11" t="s">
        <v>205</v>
      </c>
      <c r="I532" s="12" t="n">
        <v>3597501</v>
      </c>
      <c r="J532" s="12" t="n">
        <v>1072551</v>
      </c>
      <c r="K532" s="13" t="n">
        <f aca="false">IF(I532=0,0,J532/I532)</f>
        <v>0.298137790649676</v>
      </c>
      <c r="L532" s="12" t="n">
        <v>311517</v>
      </c>
      <c r="M532" s="12" t="n">
        <v>127925</v>
      </c>
      <c r="N532" s="12" t="n">
        <v>15655</v>
      </c>
      <c r="O532" s="12" t="n">
        <v>3845</v>
      </c>
      <c r="P532" s="12" t="n">
        <f aca="false">M532+N532+O532</f>
        <v>147425</v>
      </c>
      <c r="Q532" s="13" t="n">
        <f aca="false">IF(I532=0,0,P532/I532)</f>
        <v>0.0409798357248546</v>
      </c>
      <c r="R532" s="13" t="n">
        <v>0.0413</v>
      </c>
      <c r="S532" s="14" t="n">
        <v>1013510</v>
      </c>
      <c r="T532" s="14" t="n">
        <v>65187</v>
      </c>
      <c r="U532" s="14" t="n">
        <v>52766</v>
      </c>
      <c r="V532" s="14" t="n">
        <v>53758</v>
      </c>
      <c r="W532" s="14" t="n">
        <f aca="false">S532+T532+U532+V532</f>
        <v>1185221</v>
      </c>
      <c r="X532" s="15" t="n">
        <f aca="false">IF(P532=0,0,S532/P532)</f>
        <v>6.87474987281669</v>
      </c>
      <c r="Y532" s="15" t="n">
        <f aca="false">IF(J532=0,0,W532/J532)</f>
        <v>1.10504861773473</v>
      </c>
      <c r="Z532" s="14" t="n">
        <v>195828</v>
      </c>
      <c r="AA532" s="15" t="n">
        <f aca="false">IF(L532=0,0,Z532/L532)</f>
        <v>0.628627009119888</v>
      </c>
      <c r="AB532" s="12" t="n">
        <v>92748341</v>
      </c>
      <c r="AC532" s="16" t="n">
        <v>11.9</v>
      </c>
      <c r="AD532" s="16" t="n">
        <v>26.1</v>
      </c>
      <c r="AE532" s="13" t="n">
        <v>0.433</v>
      </c>
      <c r="AF532" s="13" t="n">
        <v>0.613</v>
      </c>
      <c r="AG532" s="13" t="n">
        <v>0.364</v>
      </c>
      <c r="AH532" s="13" t="n">
        <v>0.218</v>
      </c>
      <c r="AI532" s="17"/>
    </row>
    <row r="533" customFormat="false" ht="15" hidden="false" customHeight="false" outlineLevel="0" collapsed="false">
      <c r="A533" s="10" t="n">
        <v>45809</v>
      </c>
      <c r="B533" s="11" t="n">
        <f aca="false">YEAR(A533)</f>
        <v>2025</v>
      </c>
      <c r="C533" s="11" t="str">
        <f aca="false">"Q"&amp;ROUNDUP(MONTH(A533)/3,0)</f>
        <v>Q2</v>
      </c>
      <c r="D533" s="11" t="str">
        <f aca="false">B533&amp;"-"&amp;C533</f>
        <v>2025-Q2</v>
      </c>
      <c r="E533" s="11" t="n">
        <f aca="false">MONTH(A533)</f>
        <v>6</v>
      </c>
      <c r="F533" s="11" t="str">
        <f aca="false">TEXT(A533,"mmm")</f>
        <v>Jun</v>
      </c>
      <c r="G533" s="11" t="s">
        <v>208</v>
      </c>
      <c r="H533" s="11" t="s">
        <v>203</v>
      </c>
      <c r="I533" s="12" t="n">
        <v>7308989</v>
      </c>
      <c r="J533" s="12" t="n">
        <v>2870969</v>
      </c>
      <c r="K533" s="13" t="n">
        <f aca="false">IF(I533=0,0,J533/I533)</f>
        <v>0.392799742891938</v>
      </c>
      <c r="L533" s="12" t="n">
        <v>836565</v>
      </c>
      <c r="M533" s="12" t="n">
        <v>365569</v>
      </c>
      <c r="N533" s="12" t="n">
        <v>40867</v>
      </c>
      <c r="O533" s="12" t="n">
        <v>15727</v>
      </c>
      <c r="P533" s="12" t="n">
        <f aca="false">M533+N533+O533</f>
        <v>422163</v>
      </c>
      <c r="Q533" s="13" t="n">
        <f aca="false">IF(I533=0,0,P533/I533)</f>
        <v>0.0577594247302876</v>
      </c>
      <c r="R533" s="13" t="n">
        <v>0.0376</v>
      </c>
      <c r="S533" s="14" t="n">
        <v>3162371</v>
      </c>
      <c r="T533" s="14" t="n">
        <v>221963</v>
      </c>
      <c r="U533" s="14" t="n">
        <v>181894</v>
      </c>
      <c r="V533" s="14" t="n">
        <v>164160</v>
      </c>
      <c r="W533" s="14" t="n">
        <f aca="false">S533+T533+U533+V533</f>
        <v>3730388</v>
      </c>
      <c r="X533" s="15" t="n">
        <f aca="false">IF(P533=0,0,S533/P533)</f>
        <v>7.49087674665947</v>
      </c>
      <c r="Y533" s="15" t="n">
        <f aca="false">IF(J533=0,0,W533/J533)</f>
        <v>1.29934805983624</v>
      </c>
      <c r="Z533" s="14" t="n">
        <v>563015</v>
      </c>
      <c r="AA533" s="15" t="n">
        <f aca="false">IF(L533=0,0,Z533/L533)</f>
        <v>0.673008074686366</v>
      </c>
      <c r="AB533" s="12" t="n">
        <v>233406631</v>
      </c>
      <c r="AC533" s="16" t="n">
        <v>13.3</v>
      </c>
      <c r="AD533" s="16" t="n">
        <v>26.4</v>
      </c>
      <c r="AE533" s="13" t="n">
        <v>0.434</v>
      </c>
      <c r="AF533" s="13" t="n">
        <v>0.59</v>
      </c>
      <c r="AG533" s="13" t="n">
        <v>0.367</v>
      </c>
      <c r="AH533" s="13" t="n">
        <v>0.221</v>
      </c>
      <c r="AI533" s="17" t="n">
        <v>4.73</v>
      </c>
    </row>
    <row r="534" customFormat="false" ht="15" hidden="false" customHeight="false" outlineLevel="0" collapsed="false">
      <c r="A534" s="10" t="n">
        <v>45809</v>
      </c>
      <c r="B534" s="11" t="n">
        <f aca="false">YEAR(A534)</f>
        <v>2025</v>
      </c>
      <c r="C534" s="11" t="str">
        <f aca="false">"Q"&amp;ROUNDUP(MONTH(A534)/3,0)</f>
        <v>Q2</v>
      </c>
      <c r="D534" s="11" t="str">
        <f aca="false">B534&amp;"-"&amp;C534</f>
        <v>2025-Q2</v>
      </c>
      <c r="E534" s="11" t="n">
        <f aca="false">MONTH(A534)</f>
        <v>6</v>
      </c>
      <c r="F534" s="11" t="str">
        <f aca="false">TEXT(A534,"mmm")</f>
        <v>Jun</v>
      </c>
      <c r="G534" s="11" t="s">
        <v>208</v>
      </c>
      <c r="H534" s="11" t="s">
        <v>204</v>
      </c>
      <c r="I534" s="12" t="n">
        <v>10635534</v>
      </c>
      <c r="J534" s="12" t="n">
        <v>3673472</v>
      </c>
      <c r="K534" s="13" t="n">
        <f aca="false">IF(I534=0,0,J534/I534)</f>
        <v>0.345396103289219</v>
      </c>
      <c r="L534" s="12" t="n">
        <v>1089614</v>
      </c>
      <c r="M534" s="12" t="n">
        <v>218293</v>
      </c>
      <c r="N534" s="12" t="n">
        <v>25642</v>
      </c>
      <c r="O534" s="12" t="n">
        <v>7012</v>
      </c>
      <c r="P534" s="12" t="n">
        <f aca="false">M534+N534+O534</f>
        <v>250947</v>
      </c>
      <c r="Q534" s="13" t="n">
        <f aca="false">IF(I534=0,0,P534/I534)</f>
        <v>0.0235951481138606</v>
      </c>
      <c r="R534" s="13" t="n">
        <v>0.0363</v>
      </c>
      <c r="S534" s="14" t="n">
        <v>1809565</v>
      </c>
      <c r="T534" s="14" t="n">
        <v>107750</v>
      </c>
      <c r="U534" s="14" t="n">
        <v>100279</v>
      </c>
      <c r="V534" s="14" t="n">
        <v>100478</v>
      </c>
      <c r="W534" s="14" t="n">
        <f aca="false">S534+T534+U534+V534</f>
        <v>2118072</v>
      </c>
      <c r="X534" s="15" t="n">
        <f aca="false">IF(P534=0,0,S534/P534)</f>
        <v>7.21094494056514</v>
      </c>
      <c r="Y534" s="15" t="n">
        <f aca="false">IF(J534=0,0,W534/J534)</f>
        <v>0.576585856650058</v>
      </c>
      <c r="Z534" s="14" t="n">
        <v>360527</v>
      </c>
      <c r="AA534" s="15" t="n">
        <f aca="false">IF(L534=0,0,Z534/L534)</f>
        <v>0.330875888158559</v>
      </c>
      <c r="AB534" s="12" t="n">
        <v>311344396</v>
      </c>
      <c r="AC534" s="16" t="n">
        <v>12.8</v>
      </c>
      <c r="AD534" s="16" t="n">
        <v>26.7</v>
      </c>
      <c r="AE534" s="13" t="n">
        <v>0.446</v>
      </c>
      <c r="AF534" s="13" t="n">
        <v>0.599</v>
      </c>
      <c r="AG534" s="13" t="n">
        <v>0.362</v>
      </c>
      <c r="AH534" s="13" t="n">
        <v>0.222</v>
      </c>
      <c r="AI534" s="17" t="n">
        <v>4.66</v>
      </c>
    </row>
    <row r="535" customFormat="false" ht="15" hidden="false" customHeight="false" outlineLevel="0" collapsed="false">
      <c r="A535" s="10" t="n">
        <v>45809</v>
      </c>
      <c r="B535" s="11" t="n">
        <f aca="false">YEAR(A535)</f>
        <v>2025</v>
      </c>
      <c r="C535" s="11" t="str">
        <f aca="false">"Q"&amp;ROUNDUP(MONTH(A535)/3,0)</f>
        <v>Q2</v>
      </c>
      <c r="D535" s="11" t="str">
        <f aca="false">B535&amp;"-"&amp;C535</f>
        <v>2025-Q2</v>
      </c>
      <c r="E535" s="11" t="n">
        <f aca="false">MONTH(A535)</f>
        <v>6</v>
      </c>
      <c r="F535" s="11" t="str">
        <f aca="false">TEXT(A535,"mmm")</f>
        <v>Jun</v>
      </c>
      <c r="G535" s="11" t="s">
        <v>208</v>
      </c>
      <c r="H535" s="11" t="s">
        <v>205</v>
      </c>
      <c r="I535" s="12" t="n">
        <v>3075776</v>
      </c>
      <c r="J535" s="12" t="n">
        <v>944965</v>
      </c>
      <c r="K535" s="13" t="n">
        <f aca="false">IF(I535=0,0,J535/I535)</f>
        <v>0.307228159657921</v>
      </c>
      <c r="L535" s="12" t="n">
        <v>319459</v>
      </c>
      <c r="M535" s="12" t="n">
        <v>56898</v>
      </c>
      <c r="N535" s="12" t="n">
        <v>6242</v>
      </c>
      <c r="O535" s="12" t="n">
        <v>1198</v>
      </c>
      <c r="P535" s="12" t="n">
        <f aca="false">M535+N535+O535</f>
        <v>64338</v>
      </c>
      <c r="Q535" s="13" t="n">
        <f aca="false">IF(I535=0,0,P535/I535)</f>
        <v>0.0209176480992114</v>
      </c>
      <c r="R535" s="13" t="n">
        <v>0.0424</v>
      </c>
      <c r="S535" s="14" t="n">
        <v>483433</v>
      </c>
      <c r="T535" s="14" t="n">
        <v>33250</v>
      </c>
      <c r="U535" s="14" t="n">
        <v>24391</v>
      </c>
      <c r="V535" s="14" t="n">
        <v>26629</v>
      </c>
      <c r="W535" s="14" t="n">
        <f aca="false">S535+T535+U535+V535</f>
        <v>567703</v>
      </c>
      <c r="X535" s="15" t="n">
        <f aca="false">IF(P535=0,0,S535/P535)</f>
        <v>7.51395753675899</v>
      </c>
      <c r="Y535" s="15" t="n">
        <f aca="false">IF(J535=0,0,W535/J535)</f>
        <v>0.600766165942654</v>
      </c>
      <c r="Z535" s="14" t="n">
        <v>91925</v>
      </c>
      <c r="AA535" s="15" t="n">
        <f aca="false">IF(L535=0,0,Z535/L535)</f>
        <v>0.287752105904044</v>
      </c>
      <c r="AB535" s="12" t="n">
        <v>79354766</v>
      </c>
      <c r="AC535" s="16" t="n">
        <v>12.1</v>
      </c>
      <c r="AD535" s="16" t="n">
        <v>26.4</v>
      </c>
      <c r="AE535" s="13" t="n">
        <v>0.44</v>
      </c>
      <c r="AF535" s="13" t="n">
        <v>0.609</v>
      </c>
      <c r="AG535" s="13" t="n">
        <v>0.364</v>
      </c>
      <c r="AH535" s="13" t="n">
        <v>0.216</v>
      </c>
      <c r="AI535" s="17"/>
    </row>
    <row r="536" customFormat="false" ht="15" hidden="false" customHeight="false" outlineLevel="0" collapsed="false">
      <c r="A536" s="10" t="n">
        <v>45809</v>
      </c>
      <c r="B536" s="11" t="n">
        <f aca="false">YEAR(A536)</f>
        <v>2025</v>
      </c>
      <c r="C536" s="11" t="str">
        <f aca="false">"Q"&amp;ROUNDUP(MONTH(A536)/3,0)</f>
        <v>Q2</v>
      </c>
      <c r="D536" s="11" t="str">
        <f aca="false">B536&amp;"-"&amp;C536</f>
        <v>2025-Q2</v>
      </c>
      <c r="E536" s="11" t="n">
        <f aca="false">MONTH(A536)</f>
        <v>6</v>
      </c>
      <c r="F536" s="11" t="str">
        <f aca="false">TEXT(A536,"mmm")</f>
        <v>Jun</v>
      </c>
      <c r="G536" s="11" t="s">
        <v>209</v>
      </c>
      <c r="H536" s="11" t="s">
        <v>203</v>
      </c>
      <c r="I536" s="12" t="n">
        <v>4977297</v>
      </c>
      <c r="J536" s="12" t="n">
        <v>1875457</v>
      </c>
      <c r="K536" s="13" t="n">
        <f aca="false">IF(I536=0,0,J536/I536)</f>
        <v>0.376802308562258</v>
      </c>
      <c r="L536" s="12" t="n">
        <v>537546</v>
      </c>
      <c r="M536" s="12" t="n">
        <v>142489</v>
      </c>
      <c r="N536" s="12" t="n">
        <v>17848</v>
      </c>
      <c r="O536" s="12" t="n">
        <v>4925</v>
      </c>
      <c r="P536" s="12" t="n">
        <f aca="false">M536+N536+O536</f>
        <v>165262</v>
      </c>
      <c r="Q536" s="13" t="n">
        <f aca="false">IF(I536=0,0,P536/I536)</f>
        <v>0.0332031622786424</v>
      </c>
      <c r="R536" s="13" t="n">
        <v>0.0395</v>
      </c>
      <c r="S536" s="14" t="n">
        <v>1311311</v>
      </c>
      <c r="T536" s="14" t="n">
        <v>86078</v>
      </c>
      <c r="U536" s="14" t="n">
        <v>75649</v>
      </c>
      <c r="V536" s="14" t="n">
        <v>75115</v>
      </c>
      <c r="W536" s="14" t="n">
        <f aca="false">S536+T536+U536+V536</f>
        <v>1548153</v>
      </c>
      <c r="X536" s="15" t="n">
        <f aca="false">IF(P536=0,0,S536/P536)</f>
        <v>7.93473998862412</v>
      </c>
      <c r="Y536" s="15" t="n">
        <f aca="false">IF(J536=0,0,W536/J536)</f>
        <v>0.825480402909797</v>
      </c>
      <c r="Z536" s="14" t="n">
        <v>278814</v>
      </c>
      <c r="AA536" s="15" t="n">
        <f aca="false">IF(L536=0,0,Z536/L536)</f>
        <v>0.518679331629293</v>
      </c>
      <c r="AB536" s="12" t="n">
        <v>150231261</v>
      </c>
      <c r="AC536" s="16" t="n">
        <v>13.7</v>
      </c>
      <c r="AD536" s="16" t="n">
        <v>25.2</v>
      </c>
      <c r="AE536" s="13" t="n">
        <v>0.458</v>
      </c>
      <c r="AF536" s="13" t="n">
        <v>0.593</v>
      </c>
      <c r="AG536" s="13" t="n">
        <v>0.37</v>
      </c>
      <c r="AH536" s="13" t="n">
        <v>0.22</v>
      </c>
      <c r="AI536" s="17" t="n">
        <v>4.71</v>
      </c>
    </row>
    <row r="537" customFormat="false" ht="15" hidden="false" customHeight="false" outlineLevel="0" collapsed="false">
      <c r="A537" s="10" t="n">
        <v>45809</v>
      </c>
      <c r="B537" s="11" t="n">
        <f aca="false">YEAR(A537)</f>
        <v>2025</v>
      </c>
      <c r="C537" s="11" t="str">
        <f aca="false">"Q"&amp;ROUNDUP(MONTH(A537)/3,0)</f>
        <v>Q2</v>
      </c>
      <c r="D537" s="11" t="str">
        <f aca="false">B537&amp;"-"&amp;C537</f>
        <v>2025-Q2</v>
      </c>
      <c r="E537" s="11" t="n">
        <f aca="false">MONTH(A537)</f>
        <v>6</v>
      </c>
      <c r="F537" s="11" t="str">
        <f aca="false">TEXT(A537,"mmm")</f>
        <v>Jun</v>
      </c>
      <c r="G537" s="11" t="s">
        <v>209</v>
      </c>
      <c r="H537" s="11" t="s">
        <v>204</v>
      </c>
      <c r="I537" s="12" t="n">
        <v>6157861</v>
      </c>
      <c r="J537" s="12" t="n">
        <v>2042141</v>
      </c>
      <c r="K537" s="13" t="n">
        <f aca="false">IF(I537=0,0,J537/I537)</f>
        <v>0.331631551930126</v>
      </c>
      <c r="L537" s="12" t="n">
        <v>576599</v>
      </c>
      <c r="M537" s="12" t="n">
        <v>86654</v>
      </c>
      <c r="N537" s="12" t="n">
        <v>10098</v>
      </c>
      <c r="O537" s="12" t="n">
        <v>2212</v>
      </c>
      <c r="P537" s="12" t="n">
        <f aca="false">M537+N537+O537</f>
        <v>98964</v>
      </c>
      <c r="Q537" s="13" t="n">
        <f aca="false">IF(I537=0,0,P537/I537)</f>
        <v>0.0160711649710833</v>
      </c>
      <c r="R537" s="13" t="n">
        <v>0.0384</v>
      </c>
      <c r="S537" s="14" t="n">
        <v>773546</v>
      </c>
      <c r="T537" s="14" t="n">
        <v>47188</v>
      </c>
      <c r="U537" s="14" t="n">
        <v>40415</v>
      </c>
      <c r="V537" s="14" t="n">
        <v>39123</v>
      </c>
      <c r="W537" s="14" t="n">
        <f aca="false">S537+T537+U537+V537</f>
        <v>900272</v>
      </c>
      <c r="X537" s="15" t="n">
        <f aca="false">IF(P537=0,0,S537/P537)</f>
        <v>7.81643830079625</v>
      </c>
      <c r="Y537" s="15" t="n">
        <f aca="false">IF(J537=0,0,W537/J537)</f>
        <v>0.44084713053604</v>
      </c>
      <c r="Z537" s="14" t="n">
        <v>127191</v>
      </c>
      <c r="AA537" s="15" t="n">
        <f aca="false">IF(L537=0,0,Z537/L537)</f>
        <v>0.220588311807686</v>
      </c>
      <c r="AB537" s="12" t="n">
        <v>172036028</v>
      </c>
      <c r="AC537" s="16" t="n">
        <v>13.2</v>
      </c>
      <c r="AD537" s="16" t="n">
        <v>25.6</v>
      </c>
      <c r="AE537" s="13" t="n">
        <v>0.45</v>
      </c>
      <c r="AF537" s="13" t="n">
        <v>0.594</v>
      </c>
      <c r="AG537" s="13" t="n">
        <v>0.362</v>
      </c>
      <c r="AH537" s="13" t="n">
        <v>0.223</v>
      </c>
      <c r="AI537" s="17" t="n">
        <v>4.69</v>
      </c>
    </row>
    <row r="538" customFormat="false" ht="15" hidden="false" customHeight="false" outlineLevel="0" collapsed="false">
      <c r="A538" s="10" t="n">
        <v>45809</v>
      </c>
      <c r="B538" s="11" t="n">
        <f aca="false">YEAR(A538)</f>
        <v>2025</v>
      </c>
      <c r="C538" s="11" t="str">
        <f aca="false">"Q"&amp;ROUNDUP(MONTH(A538)/3,0)</f>
        <v>Q2</v>
      </c>
      <c r="D538" s="11" t="str">
        <f aca="false">B538&amp;"-"&amp;C538</f>
        <v>2025-Q2</v>
      </c>
      <c r="E538" s="11" t="n">
        <f aca="false">MONTH(A538)</f>
        <v>6</v>
      </c>
      <c r="F538" s="11" t="str">
        <f aca="false">TEXT(A538,"mmm")</f>
        <v>Jun</v>
      </c>
      <c r="G538" s="11" t="s">
        <v>209</v>
      </c>
      <c r="H538" s="11" t="s">
        <v>205</v>
      </c>
      <c r="I538" s="12" t="n">
        <v>1914454</v>
      </c>
      <c r="J538" s="12" t="n">
        <v>545747</v>
      </c>
      <c r="K538" s="13" t="n">
        <f aca="false">IF(I538=0,0,J538/I538)</f>
        <v>0.285066656080533</v>
      </c>
      <c r="L538" s="12" t="n">
        <v>163081</v>
      </c>
      <c r="M538" s="12" t="n">
        <v>23083</v>
      </c>
      <c r="N538" s="12" t="n">
        <v>2822</v>
      </c>
      <c r="O538" s="12" t="n">
        <v>392</v>
      </c>
      <c r="P538" s="12" t="n">
        <f aca="false">M538+N538+O538</f>
        <v>26297</v>
      </c>
      <c r="Q538" s="13" t="n">
        <f aca="false">IF(I538=0,0,P538/I538)</f>
        <v>0.0137360312653112</v>
      </c>
      <c r="R538" s="13" t="n">
        <v>0.0406</v>
      </c>
      <c r="S538" s="14" t="n">
        <v>209003</v>
      </c>
      <c r="T538" s="14" t="n">
        <v>14427</v>
      </c>
      <c r="U538" s="14" t="n">
        <v>11214</v>
      </c>
      <c r="V538" s="14" t="n">
        <v>11345</v>
      </c>
      <c r="W538" s="14" t="n">
        <f aca="false">S538+T538+U538+V538</f>
        <v>245989</v>
      </c>
      <c r="X538" s="15" t="n">
        <f aca="false">IF(P538=0,0,S538/P538)</f>
        <v>7.9477887211469</v>
      </c>
      <c r="Y538" s="15" t="n">
        <f aca="false">IF(J538=0,0,W538/J538)</f>
        <v>0.450738162555177</v>
      </c>
      <c r="Z538" s="14" t="n">
        <v>44734</v>
      </c>
      <c r="AA538" s="15" t="n">
        <f aca="false">IF(L538=0,0,Z538/L538)</f>
        <v>0.274305406515781</v>
      </c>
      <c r="AB538" s="12" t="n">
        <v>44439441</v>
      </c>
      <c r="AC538" s="16" t="n">
        <v>11.8</v>
      </c>
      <c r="AD538" s="16" t="n">
        <v>26</v>
      </c>
      <c r="AE538" s="13" t="n">
        <v>0.443</v>
      </c>
      <c r="AF538" s="13" t="n">
        <v>0.609</v>
      </c>
      <c r="AG538" s="13" t="n">
        <v>0.369</v>
      </c>
      <c r="AH538" s="13" t="n">
        <v>0.216</v>
      </c>
      <c r="AI538" s="17"/>
    </row>
    <row r="539" customFormat="false" ht="15" hidden="false" customHeight="false" outlineLevel="0" collapsed="false">
      <c r="A539" s="10" t="n">
        <v>45809</v>
      </c>
      <c r="B539" s="11" t="n">
        <f aca="false">YEAR(A539)</f>
        <v>2025</v>
      </c>
      <c r="C539" s="11" t="str">
        <f aca="false">"Q"&amp;ROUNDUP(MONTH(A539)/3,0)</f>
        <v>Q2</v>
      </c>
      <c r="D539" s="11" t="str">
        <f aca="false">B539&amp;"-"&amp;C539</f>
        <v>2025-Q2</v>
      </c>
      <c r="E539" s="11" t="n">
        <f aca="false">MONTH(A539)</f>
        <v>6</v>
      </c>
      <c r="F539" s="11" t="str">
        <f aca="false">TEXT(A539,"mmm")</f>
        <v>Jun</v>
      </c>
      <c r="G539" s="11" t="s">
        <v>210</v>
      </c>
      <c r="H539" s="11" t="s">
        <v>203</v>
      </c>
      <c r="I539" s="12" t="n">
        <v>8505482</v>
      </c>
      <c r="J539" s="12" t="n">
        <v>3102381</v>
      </c>
      <c r="K539" s="13" t="n">
        <f aca="false">IF(I539=0,0,J539/I539)</f>
        <v>0.364750757217522</v>
      </c>
      <c r="L539" s="12" t="n">
        <v>819225</v>
      </c>
      <c r="M539" s="12" t="n">
        <v>316166</v>
      </c>
      <c r="N539" s="12" t="n">
        <v>34992</v>
      </c>
      <c r="O539" s="12" t="n">
        <v>10787</v>
      </c>
      <c r="P539" s="12" t="n">
        <f aca="false">M539+N539+O539</f>
        <v>361945</v>
      </c>
      <c r="Q539" s="13" t="n">
        <f aca="false">IF(I539=0,0,P539/I539)</f>
        <v>0.0425543196728886</v>
      </c>
      <c r="R539" s="13" t="n">
        <v>0.04</v>
      </c>
      <c r="S539" s="14" t="n">
        <v>2609927</v>
      </c>
      <c r="T539" s="14" t="n">
        <v>170408</v>
      </c>
      <c r="U539" s="14" t="n">
        <v>136868</v>
      </c>
      <c r="V539" s="14" t="n">
        <v>139233</v>
      </c>
      <c r="W539" s="14" t="n">
        <f aca="false">S539+T539+U539+V539</f>
        <v>3056436</v>
      </c>
      <c r="X539" s="15" t="n">
        <f aca="false">IF(P539=0,0,S539/P539)</f>
        <v>7.21083866333283</v>
      </c>
      <c r="Y539" s="15" t="n">
        <f aca="false">IF(J539=0,0,W539/J539)</f>
        <v>0.985190406980961</v>
      </c>
      <c r="Z539" s="14" t="n">
        <v>457075</v>
      </c>
      <c r="AA539" s="15" t="n">
        <f aca="false">IF(L539=0,0,Z539/L539)</f>
        <v>0.557935854008362</v>
      </c>
      <c r="AB539" s="12" t="n">
        <v>266165376</v>
      </c>
      <c r="AC539" s="16" t="n">
        <v>13.3</v>
      </c>
      <c r="AD539" s="16" t="n">
        <v>25.7</v>
      </c>
      <c r="AE539" s="13" t="n">
        <v>0.447</v>
      </c>
      <c r="AF539" s="13" t="n">
        <v>0.605</v>
      </c>
      <c r="AG539" s="13" t="n">
        <v>0.368</v>
      </c>
      <c r="AH539" s="13" t="n">
        <v>0.216</v>
      </c>
      <c r="AI539" s="17" t="n">
        <v>4.69</v>
      </c>
    </row>
    <row r="540" customFormat="false" ht="15" hidden="false" customHeight="false" outlineLevel="0" collapsed="false">
      <c r="A540" s="10" t="n">
        <v>45809</v>
      </c>
      <c r="B540" s="11" t="n">
        <f aca="false">YEAR(A540)</f>
        <v>2025</v>
      </c>
      <c r="C540" s="11" t="str">
        <f aca="false">"Q"&amp;ROUNDUP(MONTH(A540)/3,0)</f>
        <v>Q2</v>
      </c>
      <c r="D540" s="11" t="str">
        <f aca="false">B540&amp;"-"&amp;C540</f>
        <v>2025-Q2</v>
      </c>
      <c r="E540" s="11" t="n">
        <f aca="false">MONTH(A540)</f>
        <v>6</v>
      </c>
      <c r="F540" s="11" t="str">
        <f aca="false">TEXT(A540,"mmm")</f>
        <v>Jun</v>
      </c>
      <c r="G540" s="11" t="s">
        <v>210</v>
      </c>
      <c r="H540" s="11" t="s">
        <v>204</v>
      </c>
      <c r="I540" s="12" t="n">
        <v>11760362</v>
      </c>
      <c r="J540" s="12" t="n">
        <v>3767726</v>
      </c>
      <c r="K540" s="13" t="n">
        <f aca="false">IF(I540=0,0,J540/I540)</f>
        <v>0.320375002062011</v>
      </c>
      <c r="L540" s="12" t="n">
        <v>988981</v>
      </c>
      <c r="M540" s="12" t="n">
        <v>182051</v>
      </c>
      <c r="N540" s="12" t="n">
        <v>22470</v>
      </c>
      <c r="O540" s="12" t="n">
        <v>4676</v>
      </c>
      <c r="P540" s="12" t="n">
        <f aca="false">M540+N540+O540</f>
        <v>209197</v>
      </c>
      <c r="Q540" s="13" t="n">
        <f aca="false">IF(I540=0,0,P540/I540)</f>
        <v>0.0177883129788012</v>
      </c>
      <c r="R540" s="13" t="n">
        <v>0.0385</v>
      </c>
      <c r="S540" s="14" t="n">
        <v>1487850</v>
      </c>
      <c r="T540" s="14" t="n">
        <v>102637</v>
      </c>
      <c r="U540" s="14" t="n">
        <v>83625</v>
      </c>
      <c r="V540" s="14" t="n">
        <v>88093</v>
      </c>
      <c r="W540" s="14" t="n">
        <f aca="false">S540+T540+U540+V540</f>
        <v>1762205</v>
      </c>
      <c r="X540" s="15" t="n">
        <f aca="false">IF(P540=0,0,S540/P540)</f>
        <v>7.11219568158243</v>
      </c>
      <c r="Y540" s="15" t="n">
        <f aca="false">IF(J540=0,0,W540/J540)</f>
        <v>0.467710496994739</v>
      </c>
      <c r="Z540" s="14" t="n">
        <v>240462</v>
      </c>
      <c r="AA540" s="15" t="n">
        <f aca="false">IF(L540=0,0,Z540/L540)</f>
        <v>0.243141172580666</v>
      </c>
      <c r="AB540" s="12" t="n">
        <v>320687269</v>
      </c>
      <c r="AC540" s="16" t="n">
        <v>13.4</v>
      </c>
      <c r="AD540" s="16" t="n">
        <v>26.8</v>
      </c>
      <c r="AE540" s="13" t="n">
        <v>0.437</v>
      </c>
      <c r="AF540" s="13" t="n">
        <v>0.595</v>
      </c>
      <c r="AG540" s="13" t="n">
        <v>0.369</v>
      </c>
      <c r="AH540" s="13" t="n">
        <v>0.218</v>
      </c>
      <c r="AI540" s="17" t="n">
        <v>4.64</v>
      </c>
    </row>
    <row r="541" customFormat="false" ht="15" hidden="false" customHeight="false" outlineLevel="0" collapsed="false">
      <c r="A541" s="10" t="n">
        <v>45809</v>
      </c>
      <c r="B541" s="11" t="n">
        <f aca="false">YEAR(A541)</f>
        <v>2025</v>
      </c>
      <c r="C541" s="11" t="str">
        <f aca="false">"Q"&amp;ROUNDUP(MONTH(A541)/3,0)</f>
        <v>Q2</v>
      </c>
      <c r="D541" s="11" t="str">
        <f aca="false">B541&amp;"-"&amp;C541</f>
        <v>2025-Q2</v>
      </c>
      <c r="E541" s="11" t="n">
        <f aca="false">MONTH(A541)</f>
        <v>6</v>
      </c>
      <c r="F541" s="11" t="str">
        <f aca="false">TEXT(A541,"mmm")</f>
        <v>Jun</v>
      </c>
      <c r="G541" s="11" t="s">
        <v>210</v>
      </c>
      <c r="H541" s="11" t="s">
        <v>205</v>
      </c>
      <c r="I541" s="12" t="n">
        <v>3597489</v>
      </c>
      <c r="J541" s="12" t="n">
        <v>1024640</v>
      </c>
      <c r="K541" s="13" t="n">
        <f aca="false">IF(I541=0,0,J541/I541)</f>
        <v>0.284820884789363</v>
      </c>
      <c r="L541" s="12" t="n">
        <v>298358</v>
      </c>
      <c r="M541" s="12" t="n">
        <v>47071</v>
      </c>
      <c r="N541" s="12" t="n">
        <v>5602</v>
      </c>
      <c r="O541" s="12" t="n">
        <v>797</v>
      </c>
      <c r="P541" s="12" t="n">
        <f aca="false">M541+N541+O541</f>
        <v>53470</v>
      </c>
      <c r="Q541" s="13" t="n">
        <f aca="false">IF(I541=0,0,P541/I541)</f>
        <v>0.0148631448212906</v>
      </c>
      <c r="R541" s="13" t="n">
        <v>0.0425</v>
      </c>
      <c r="S541" s="14" t="n">
        <v>423373</v>
      </c>
      <c r="T541" s="14" t="n">
        <v>27149</v>
      </c>
      <c r="U541" s="14" t="n">
        <v>22198</v>
      </c>
      <c r="V541" s="14" t="n">
        <v>22539</v>
      </c>
      <c r="W541" s="14" t="n">
        <f aca="false">S541+T541+U541+V541</f>
        <v>495259</v>
      </c>
      <c r="X541" s="15" t="n">
        <f aca="false">IF(P541=0,0,S541/P541)</f>
        <v>7.91795399289321</v>
      </c>
      <c r="Y541" s="15" t="n">
        <f aca="false">IF(J541=0,0,W541/J541)</f>
        <v>0.483349273891318</v>
      </c>
      <c r="Z541" s="14" t="n">
        <v>80421</v>
      </c>
      <c r="AA541" s="15" t="n">
        <f aca="false">IF(L541=0,0,Z541/L541)</f>
        <v>0.269545311337387</v>
      </c>
      <c r="AB541" s="12" t="n">
        <v>84306434</v>
      </c>
      <c r="AC541" s="16" t="n">
        <v>11.9</v>
      </c>
      <c r="AD541" s="16" t="n">
        <v>26.2</v>
      </c>
      <c r="AE541" s="13" t="n">
        <v>0.435</v>
      </c>
      <c r="AF541" s="13" t="n">
        <v>0.612</v>
      </c>
      <c r="AG541" s="13" t="n">
        <v>0.359</v>
      </c>
      <c r="AH541" s="13" t="n">
        <v>0.214</v>
      </c>
      <c r="AI541" s="17"/>
    </row>
    <row r="542" customFormat="false" ht="15" hidden="false" customHeight="false" outlineLevel="0" collapsed="false">
      <c r="A542" s="10" t="n">
        <v>45839</v>
      </c>
      <c r="B542" s="11" t="n">
        <f aca="false">YEAR(A542)</f>
        <v>2025</v>
      </c>
      <c r="C542" s="11" t="str">
        <f aca="false">"Q"&amp;ROUNDUP(MONTH(A542)/3,0)</f>
        <v>Q3</v>
      </c>
      <c r="D542" s="11" t="str">
        <f aca="false">B542&amp;"-"&amp;C542</f>
        <v>2025-Q3</v>
      </c>
      <c r="E542" s="11" t="n">
        <f aca="false">MONTH(A542)</f>
        <v>7</v>
      </c>
      <c r="F542" s="11" t="str">
        <f aca="false">TEXT(A542,"mmm")</f>
        <v>Jul</v>
      </c>
      <c r="G542" s="11" t="s">
        <v>202</v>
      </c>
      <c r="H542" s="11" t="s">
        <v>203</v>
      </c>
      <c r="I542" s="12" t="n">
        <v>9344244</v>
      </c>
      <c r="J542" s="12" t="n">
        <v>3606042</v>
      </c>
      <c r="K542" s="13" t="n">
        <f aca="false">IF(I542=0,0,J542/I542)</f>
        <v>0.3859105134669</v>
      </c>
      <c r="L542" s="12" t="n">
        <v>1008473</v>
      </c>
      <c r="M542" s="12" t="n">
        <v>2229086</v>
      </c>
      <c r="N542" s="12" t="n">
        <v>287593</v>
      </c>
      <c r="O542" s="12" t="n">
        <v>354097</v>
      </c>
      <c r="P542" s="12" t="n">
        <f aca="false">M542+N542+O542</f>
        <v>2870776</v>
      </c>
      <c r="Q542" s="13" t="n">
        <f aca="false">IF(I542=0,0,P542/I542)</f>
        <v>0.307223998003477</v>
      </c>
      <c r="R542" s="13" t="n">
        <v>0.0364</v>
      </c>
      <c r="S542" s="14" t="n">
        <v>18945264</v>
      </c>
      <c r="T542" s="14" t="n">
        <v>1173947</v>
      </c>
      <c r="U542" s="14" t="n">
        <v>1068641</v>
      </c>
      <c r="V542" s="14" t="n">
        <v>966404</v>
      </c>
      <c r="W542" s="14" t="n">
        <f aca="false">S542+T542+U542+V542</f>
        <v>22154256</v>
      </c>
      <c r="X542" s="15" t="n">
        <f aca="false">IF(P542=0,0,S542/P542)</f>
        <v>6.5993529275708</v>
      </c>
      <c r="Y542" s="15" t="n">
        <f aca="false">IF(J542=0,0,W542/J542)</f>
        <v>6.14364890924731</v>
      </c>
      <c r="Z542" s="14" t="n">
        <v>3352149</v>
      </c>
      <c r="AA542" s="15" t="n">
        <f aca="false">IF(L542=0,0,Z542/L542)</f>
        <v>3.32398487614443</v>
      </c>
      <c r="AB542" s="12" t="n">
        <v>309023116</v>
      </c>
      <c r="AC542" s="16" t="n">
        <v>13.8</v>
      </c>
      <c r="AD542" s="16" t="n">
        <v>26.5</v>
      </c>
      <c r="AE542" s="13" t="n">
        <v>0.441</v>
      </c>
      <c r="AF542" s="13" t="n">
        <v>0.604</v>
      </c>
      <c r="AG542" s="13" t="n">
        <v>0.361</v>
      </c>
      <c r="AH542" s="13" t="n">
        <v>0.206</v>
      </c>
      <c r="AI542" s="17" t="n">
        <v>4.73</v>
      </c>
    </row>
    <row r="543" customFormat="false" ht="15" hidden="false" customHeight="false" outlineLevel="0" collapsed="false">
      <c r="A543" s="10" t="n">
        <v>45839</v>
      </c>
      <c r="B543" s="11" t="n">
        <f aca="false">YEAR(A543)</f>
        <v>2025</v>
      </c>
      <c r="C543" s="11" t="str">
        <f aca="false">"Q"&amp;ROUNDUP(MONTH(A543)/3,0)</f>
        <v>Q3</v>
      </c>
      <c r="D543" s="11" t="str">
        <f aca="false">B543&amp;"-"&amp;C543</f>
        <v>2025-Q3</v>
      </c>
      <c r="E543" s="11" t="n">
        <f aca="false">MONTH(A543)</f>
        <v>7</v>
      </c>
      <c r="F543" s="11" t="str">
        <f aca="false">TEXT(A543,"mmm")</f>
        <v>Jul</v>
      </c>
      <c r="G543" s="11" t="s">
        <v>202</v>
      </c>
      <c r="H543" s="11" t="s">
        <v>204</v>
      </c>
      <c r="I543" s="12" t="n">
        <v>11766726</v>
      </c>
      <c r="J543" s="12" t="n">
        <v>4147718</v>
      </c>
      <c r="K543" s="13" t="n">
        <f aca="false">IF(I543=0,0,J543/I543)</f>
        <v>0.35249550299718</v>
      </c>
      <c r="L543" s="12" t="n">
        <v>1281262</v>
      </c>
      <c r="M543" s="12" t="n">
        <v>1314595</v>
      </c>
      <c r="N543" s="12" t="n">
        <v>189651</v>
      </c>
      <c r="O543" s="12" t="n">
        <v>153342</v>
      </c>
      <c r="P543" s="12" t="n">
        <f aca="false">M543+N543+O543</f>
        <v>1657588</v>
      </c>
      <c r="Q543" s="13" t="n">
        <f aca="false">IF(I543=0,0,P543/I543)</f>
        <v>0.140870791076464</v>
      </c>
      <c r="R543" s="13" t="n">
        <v>0.0394</v>
      </c>
      <c r="S543" s="14" t="n">
        <v>11077993</v>
      </c>
      <c r="T543" s="14" t="n">
        <v>764398</v>
      </c>
      <c r="U543" s="14" t="n">
        <v>603060</v>
      </c>
      <c r="V543" s="14" t="n">
        <v>567944</v>
      </c>
      <c r="W543" s="14" t="n">
        <f aca="false">S543+T543+U543+V543</f>
        <v>13013395</v>
      </c>
      <c r="X543" s="15" t="n">
        <f aca="false">IF(P543=0,0,S543/P543)</f>
        <v>6.68320052992662</v>
      </c>
      <c r="Y543" s="15" t="n">
        <f aca="false">IF(J543=0,0,W543/J543)</f>
        <v>3.13748306900324</v>
      </c>
      <c r="Z543" s="14" t="n">
        <v>1924040</v>
      </c>
      <c r="AA543" s="15" t="n">
        <f aca="false">IF(L543=0,0,Z543/L543)</f>
        <v>1.50167569162279</v>
      </c>
      <c r="AB543" s="12" t="n">
        <v>342042901</v>
      </c>
      <c r="AC543" s="16" t="n">
        <v>13.4</v>
      </c>
      <c r="AD543" s="16" t="n">
        <v>25.9</v>
      </c>
      <c r="AE543" s="13" t="n">
        <v>0.441</v>
      </c>
      <c r="AF543" s="13" t="n">
        <v>0.604</v>
      </c>
      <c r="AG543" s="13" t="n">
        <v>0.377</v>
      </c>
      <c r="AH543" s="13" t="n">
        <v>0.217</v>
      </c>
      <c r="AI543" s="17" t="n">
        <v>4.67</v>
      </c>
    </row>
    <row r="544" customFormat="false" ht="15" hidden="false" customHeight="false" outlineLevel="0" collapsed="false">
      <c r="A544" s="10" t="n">
        <v>45839</v>
      </c>
      <c r="B544" s="11" t="n">
        <f aca="false">YEAR(A544)</f>
        <v>2025</v>
      </c>
      <c r="C544" s="11" t="str">
        <f aca="false">"Q"&amp;ROUNDUP(MONTH(A544)/3,0)</f>
        <v>Q3</v>
      </c>
      <c r="D544" s="11" t="str">
        <f aca="false">B544&amp;"-"&amp;C544</f>
        <v>2025-Q3</v>
      </c>
      <c r="E544" s="11" t="n">
        <f aca="false">MONTH(A544)</f>
        <v>7</v>
      </c>
      <c r="F544" s="11" t="str">
        <f aca="false">TEXT(A544,"mmm")</f>
        <v>Jul</v>
      </c>
      <c r="G544" s="11" t="s">
        <v>202</v>
      </c>
      <c r="H544" s="11" t="s">
        <v>205</v>
      </c>
      <c r="I544" s="12" t="n">
        <v>4204437</v>
      </c>
      <c r="J544" s="12" t="n">
        <v>1259778</v>
      </c>
      <c r="K544" s="13" t="n">
        <f aca="false">IF(I544=0,0,J544/I544)</f>
        <v>0.299630604525648</v>
      </c>
      <c r="L544" s="12" t="n">
        <v>371355</v>
      </c>
      <c r="M544" s="12" t="n">
        <v>382279</v>
      </c>
      <c r="N544" s="12" t="n">
        <v>48413</v>
      </c>
      <c r="O544" s="12" t="n">
        <v>28308</v>
      </c>
      <c r="P544" s="12" t="n">
        <f aca="false">M544+N544+O544</f>
        <v>459000</v>
      </c>
      <c r="Q544" s="13" t="n">
        <f aca="false">IF(I544=0,0,P544/I544)</f>
        <v>0.109170383573354</v>
      </c>
      <c r="R544" s="13" t="n">
        <v>0.0432</v>
      </c>
      <c r="S544" s="14" t="n">
        <v>2875522</v>
      </c>
      <c r="T544" s="14" t="n">
        <v>194566</v>
      </c>
      <c r="U544" s="14" t="n">
        <v>156015</v>
      </c>
      <c r="V544" s="14" t="n">
        <v>151452</v>
      </c>
      <c r="W544" s="14" t="n">
        <f aca="false">S544+T544+U544+V544</f>
        <v>3377555</v>
      </c>
      <c r="X544" s="15" t="n">
        <f aca="false">IF(P544=0,0,S544/P544)</f>
        <v>6.26475381263617</v>
      </c>
      <c r="Y544" s="15" t="n">
        <f aca="false">IF(J544=0,0,W544/J544)</f>
        <v>2.68107158562858</v>
      </c>
      <c r="Z544" s="14" t="n">
        <v>502285</v>
      </c>
      <c r="AA544" s="15" t="n">
        <f aca="false">IF(L544=0,0,Z544/L544)</f>
        <v>1.35257368286411</v>
      </c>
      <c r="AB544" s="12" t="n">
        <v>107739146</v>
      </c>
      <c r="AC544" s="16" t="n">
        <v>11.9</v>
      </c>
      <c r="AD544" s="16" t="n">
        <v>26.3</v>
      </c>
      <c r="AE544" s="13" t="n">
        <v>0.439</v>
      </c>
      <c r="AF544" s="13" t="n">
        <v>0.598</v>
      </c>
      <c r="AG544" s="13" t="n">
        <v>0.372</v>
      </c>
      <c r="AH544" s="13" t="n">
        <v>0.213</v>
      </c>
      <c r="AI544" s="17"/>
    </row>
    <row r="545" customFormat="false" ht="15" hidden="false" customHeight="false" outlineLevel="0" collapsed="false">
      <c r="A545" s="10" t="n">
        <v>45839</v>
      </c>
      <c r="B545" s="11" t="n">
        <f aca="false">YEAR(A545)</f>
        <v>2025</v>
      </c>
      <c r="C545" s="11" t="str">
        <f aca="false">"Q"&amp;ROUNDUP(MONTH(A545)/3,0)</f>
        <v>Q3</v>
      </c>
      <c r="D545" s="11" t="str">
        <f aca="false">B545&amp;"-"&amp;C545</f>
        <v>2025-Q3</v>
      </c>
      <c r="E545" s="11" t="n">
        <f aca="false">MONTH(A545)</f>
        <v>7</v>
      </c>
      <c r="F545" s="11" t="str">
        <f aca="false">TEXT(A545,"mmm")</f>
        <v>Jul</v>
      </c>
      <c r="G545" s="11" t="s">
        <v>206</v>
      </c>
      <c r="H545" s="11" t="s">
        <v>203</v>
      </c>
      <c r="I545" s="12" t="n">
        <v>10424049</v>
      </c>
      <c r="J545" s="12" t="n">
        <v>4192117</v>
      </c>
      <c r="K545" s="13" t="n">
        <f aca="false">IF(I545=0,0,J545/I545)</f>
        <v>0.402158220860243</v>
      </c>
      <c r="L545" s="12" t="n">
        <v>1267434</v>
      </c>
      <c r="M545" s="12" t="n">
        <v>1298004</v>
      </c>
      <c r="N545" s="12" t="n">
        <v>174533</v>
      </c>
      <c r="O545" s="12" t="n">
        <v>123002</v>
      </c>
      <c r="P545" s="12" t="n">
        <f aca="false">M545+N545+O545</f>
        <v>1595539</v>
      </c>
      <c r="Q545" s="13" t="n">
        <f aca="false">IF(I545=0,0,P545/I545)</f>
        <v>0.153063267450105</v>
      </c>
      <c r="R545" s="13" t="n">
        <v>0.0362</v>
      </c>
      <c r="S545" s="14" t="n">
        <v>10242103</v>
      </c>
      <c r="T545" s="14" t="n">
        <v>686303</v>
      </c>
      <c r="U545" s="14" t="n">
        <v>546425</v>
      </c>
      <c r="V545" s="14" t="n">
        <v>589696</v>
      </c>
      <c r="W545" s="14" t="n">
        <f aca="false">S545+T545+U545+V545</f>
        <v>12064527</v>
      </c>
      <c r="X545" s="15" t="n">
        <f aca="false">IF(P545=0,0,S545/P545)</f>
        <v>6.41921194029102</v>
      </c>
      <c r="Y545" s="15" t="n">
        <f aca="false">IF(J545=0,0,W545/J545)</f>
        <v>2.87790798777801</v>
      </c>
      <c r="Z545" s="14" t="n">
        <v>1860702</v>
      </c>
      <c r="AA545" s="15" t="n">
        <f aca="false">IF(L545=0,0,Z545/L545)</f>
        <v>1.46808591216584</v>
      </c>
      <c r="AB545" s="12" t="n">
        <v>346067674</v>
      </c>
      <c r="AC545" s="16" t="n">
        <v>13.8</v>
      </c>
      <c r="AD545" s="16" t="n">
        <v>26.1</v>
      </c>
      <c r="AE545" s="13" t="n">
        <v>0.44</v>
      </c>
      <c r="AF545" s="13" t="n">
        <v>0.601</v>
      </c>
      <c r="AG545" s="13" t="n">
        <v>0.363</v>
      </c>
      <c r="AH545" s="13" t="n">
        <v>0.215</v>
      </c>
      <c r="AI545" s="17" t="n">
        <v>4.73</v>
      </c>
    </row>
    <row r="546" customFormat="false" ht="15" hidden="false" customHeight="false" outlineLevel="0" collapsed="false">
      <c r="A546" s="10" t="n">
        <v>45839</v>
      </c>
      <c r="B546" s="11" t="n">
        <f aca="false">YEAR(A546)</f>
        <v>2025</v>
      </c>
      <c r="C546" s="11" t="str">
        <f aca="false">"Q"&amp;ROUNDUP(MONTH(A546)/3,0)</f>
        <v>Q3</v>
      </c>
      <c r="D546" s="11" t="str">
        <f aca="false">B546&amp;"-"&amp;C546</f>
        <v>2025-Q3</v>
      </c>
      <c r="E546" s="11" t="n">
        <f aca="false">MONTH(A546)</f>
        <v>7</v>
      </c>
      <c r="F546" s="11" t="str">
        <f aca="false">TEXT(A546,"mmm")</f>
        <v>Jul</v>
      </c>
      <c r="G546" s="11" t="s">
        <v>206</v>
      </c>
      <c r="H546" s="11" t="s">
        <v>204</v>
      </c>
      <c r="I546" s="12" t="n">
        <v>14134046</v>
      </c>
      <c r="J546" s="12" t="n">
        <v>5051623</v>
      </c>
      <c r="K546" s="13" t="n">
        <f aca="false">IF(I546=0,0,J546/I546)</f>
        <v>0.357408133523833</v>
      </c>
      <c r="L546" s="12" t="n">
        <v>1289186</v>
      </c>
      <c r="M546" s="12" t="n">
        <v>773599</v>
      </c>
      <c r="N546" s="12" t="n">
        <v>95218</v>
      </c>
      <c r="O546" s="12" t="n">
        <v>53316</v>
      </c>
      <c r="P546" s="12" t="n">
        <f aca="false">M546+N546+O546</f>
        <v>922133</v>
      </c>
      <c r="Q546" s="13" t="n">
        <f aca="false">IF(I546=0,0,P546/I546)</f>
        <v>0.0652419696384178</v>
      </c>
      <c r="R546" s="13" t="n">
        <v>0.036</v>
      </c>
      <c r="S546" s="14" t="n">
        <v>6041971</v>
      </c>
      <c r="T546" s="14" t="n">
        <v>402131</v>
      </c>
      <c r="U546" s="14" t="n">
        <v>349120</v>
      </c>
      <c r="V546" s="14" t="n">
        <v>293203</v>
      </c>
      <c r="W546" s="14" t="n">
        <f aca="false">S546+T546+U546+V546</f>
        <v>7086425</v>
      </c>
      <c r="X546" s="15" t="n">
        <f aca="false">IF(P546=0,0,S546/P546)</f>
        <v>6.5521687218655</v>
      </c>
      <c r="Y546" s="15" t="n">
        <f aca="false">IF(J546=0,0,W546/J546)</f>
        <v>1.40280163424705</v>
      </c>
      <c r="Z546" s="14" t="n">
        <v>1068166</v>
      </c>
      <c r="AA546" s="15" t="n">
        <f aca="false">IF(L546=0,0,Z546/L546)</f>
        <v>0.828558485742166</v>
      </c>
      <c r="AB546" s="12" t="n">
        <v>416643895</v>
      </c>
      <c r="AC546" s="16" t="n">
        <v>13.4</v>
      </c>
      <c r="AD546" s="16" t="n">
        <v>26.1</v>
      </c>
      <c r="AE546" s="13" t="n">
        <v>0.446</v>
      </c>
      <c r="AF546" s="13" t="n">
        <v>0.594</v>
      </c>
      <c r="AG546" s="13" t="n">
        <v>0.358</v>
      </c>
      <c r="AH546" s="13" t="n">
        <v>0.221</v>
      </c>
      <c r="AI546" s="17" t="n">
        <v>4.71</v>
      </c>
    </row>
    <row r="547" customFormat="false" ht="15" hidden="false" customHeight="false" outlineLevel="0" collapsed="false">
      <c r="A547" s="10" t="n">
        <v>45839</v>
      </c>
      <c r="B547" s="11" t="n">
        <f aca="false">YEAR(A547)</f>
        <v>2025</v>
      </c>
      <c r="C547" s="11" t="str">
        <f aca="false">"Q"&amp;ROUNDUP(MONTH(A547)/3,0)</f>
        <v>Q3</v>
      </c>
      <c r="D547" s="11" t="str">
        <f aca="false">B547&amp;"-"&amp;C547</f>
        <v>2025-Q3</v>
      </c>
      <c r="E547" s="11" t="n">
        <f aca="false">MONTH(A547)</f>
        <v>7</v>
      </c>
      <c r="F547" s="11" t="str">
        <f aca="false">TEXT(A547,"mmm")</f>
        <v>Jul</v>
      </c>
      <c r="G547" s="11" t="s">
        <v>206</v>
      </c>
      <c r="H547" s="11" t="s">
        <v>205</v>
      </c>
      <c r="I547" s="12" t="n">
        <v>4109922</v>
      </c>
      <c r="J547" s="12" t="n">
        <v>1286288</v>
      </c>
      <c r="K547" s="13" t="n">
        <f aca="false">IF(I547=0,0,J547/I547)</f>
        <v>0.312971389724671</v>
      </c>
      <c r="L547" s="12" t="n">
        <v>357195</v>
      </c>
      <c r="M547" s="12" t="n">
        <v>218688</v>
      </c>
      <c r="N547" s="12" t="n">
        <v>26498</v>
      </c>
      <c r="O547" s="12" t="n">
        <v>9830</v>
      </c>
      <c r="P547" s="12" t="n">
        <f aca="false">M547+N547+O547</f>
        <v>255016</v>
      </c>
      <c r="Q547" s="13" t="n">
        <f aca="false">IF(I547=0,0,P547/I547)</f>
        <v>0.0620488661341991</v>
      </c>
      <c r="R547" s="13" t="n">
        <v>0.0408</v>
      </c>
      <c r="S547" s="14" t="n">
        <v>1675209</v>
      </c>
      <c r="T547" s="14" t="n">
        <v>114643</v>
      </c>
      <c r="U547" s="14" t="n">
        <v>88871</v>
      </c>
      <c r="V547" s="14" t="n">
        <v>89078</v>
      </c>
      <c r="W547" s="14" t="n">
        <f aca="false">S547+T547+U547+V547</f>
        <v>1967801</v>
      </c>
      <c r="X547" s="15" t="n">
        <f aca="false">IF(P547=0,0,S547/P547)</f>
        <v>6.5690348840857</v>
      </c>
      <c r="Y547" s="15" t="n">
        <f aca="false">IF(J547=0,0,W547/J547)</f>
        <v>1.52982924508353</v>
      </c>
      <c r="Z547" s="14" t="n">
        <v>350037</v>
      </c>
      <c r="AA547" s="15" t="n">
        <f aca="false">IF(L547=0,0,Z547/L547)</f>
        <v>0.979960525763239</v>
      </c>
      <c r="AB547" s="12" t="n">
        <v>110883722</v>
      </c>
      <c r="AC547" s="16" t="n">
        <v>11.9</v>
      </c>
      <c r="AD547" s="16" t="n">
        <v>26</v>
      </c>
      <c r="AE547" s="13" t="n">
        <v>0.451</v>
      </c>
      <c r="AF547" s="13" t="n">
        <v>0.591</v>
      </c>
      <c r="AG547" s="13" t="n">
        <v>0.375</v>
      </c>
      <c r="AH547" s="13" t="n">
        <v>0.211</v>
      </c>
      <c r="AI547" s="17"/>
    </row>
    <row r="548" customFormat="false" ht="15" hidden="false" customHeight="false" outlineLevel="0" collapsed="false">
      <c r="A548" s="10" t="n">
        <v>45839</v>
      </c>
      <c r="B548" s="11" t="n">
        <f aca="false">YEAR(A548)</f>
        <v>2025</v>
      </c>
      <c r="C548" s="11" t="str">
        <f aca="false">"Q"&amp;ROUNDUP(MONTH(A548)/3,0)</f>
        <v>Q3</v>
      </c>
      <c r="D548" s="11" t="str">
        <f aca="false">B548&amp;"-"&amp;C548</f>
        <v>2025-Q3</v>
      </c>
      <c r="E548" s="11" t="n">
        <f aca="false">MONTH(A548)</f>
        <v>7</v>
      </c>
      <c r="F548" s="11" t="str">
        <f aca="false">TEXT(A548,"mmm")</f>
        <v>Jul</v>
      </c>
      <c r="G548" s="11" t="s">
        <v>207</v>
      </c>
      <c r="H548" s="11" t="s">
        <v>203</v>
      </c>
      <c r="I548" s="12" t="n">
        <v>10620170</v>
      </c>
      <c r="J548" s="12" t="n">
        <v>3778794</v>
      </c>
      <c r="K548" s="13" t="n">
        <f aca="false">IF(I548=0,0,J548/I548)</f>
        <v>0.355812948380299</v>
      </c>
      <c r="L548" s="12" t="n">
        <v>1010149</v>
      </c>
      <c r="M548" s="12" t="n">
        <v>791913</v>
      </c>
      <c r="N548" s="12" t="n">
        <v>101251</v>
      </c>
      <c r="O548" s="12" t="n">
        <v>50948</v>
      </c>
      <c r="P548" s="12" t="n">
        <f aca="false">M548+N548+O548</f>
        <v>944112</v>
      </c>
      <c r="Q548" s="13" t="n">
        <f aca="false">IF(I548=0,0,P548/I548)</f>
        <v>0.0888980119903919</v>
      </c>
      <c r="R548" s="13" t="n">
        <v>0.0377</v>
      </c>
      <c r="S548" s="14" t="n">
        <v>6117530</v>
      </c>
      <c r="T548" s="14" t="n">
        <v>417219</v>
      </c>
      <c r="U548" s="14" t="n">
        <v>313352</v>
      </c>
      <c r="V548" s="14" t="n">
        <v>316493</v>
      </c>
      <c r="W548" s="14" t="n">
        <f aca="false">S548+T548+U548+V548</f>
        <v>7164594</v>
      </c>
      <c r="X548" s="15" t="n">
        <f aca="false">IF(P548=0,0,S548/P548)</f>
        <v>6.4796655481553</v>
      </c>
      <c r="Y548" s="15" t="n">
        <f aca="false">IF(J548=0,0,W548/J548)</f>
        <v>1.89600015242958</v>
      </c>
      <c r="Z548" s="14" t="n">
        <v>1275000</v>
      </c>
      <c r="AA548" s="15" t="n">
        <f aca="false">IF(L548=0,0,Z548/L548)</f>
        <v>1.26219003335152</v>
      </c>
      <c r="AB548" s="12" t="n">
        <v>334051951</v>
      </c>
      <c r="AC548" s="16" t="n">
        <v>13.9</v>
      </c>
      <c r="AD548" s="16" t="n">
        <v>26.9</v>
      </c>
      <c r="AE548" s="13" t="n">
        <v>0.446</v>
      </c>
      <c r="AF548" s="13" t="n">
        <v>0.609</v>
      </c>
      <c r="AG548" s="13" t="n">
        <v>0.365</v>
      </c>
      <c r="AH548" s="13" t="n">
        <v>0.231</v>
      </c>
      <c r="AI548" s="17" t="n">
        <v>4.73</v>
      </c>
    </row>
    <row r="549" customFormat="false" ht="15" hidden="false" customHeight="false" outlineLevel="0" collapsed="false">
      <c r="A549" s="10" t="n">
        <v>45839</v>
      </c>
      <c r="B549" s="11" t="n">
        <f aca="false">YEAR(A549)</f>
        <v>2025</v>
      </c>
      <c r="C549" s="11" t="str">
        <f aca="false">"Q"&amp;ROUNDUP(MONTH(A549)/3,0)</f>
        <v>Q3</v>
      </c>
      <c r="D549" s="11" t="str">
        <f aca="false">B549&amp;"-"&amp;C549</f>
        <v>2025-Q3</v>
      </c>
      <c r="E549" s="11" t="n">
        <f aca="false">MONTH(A549)</f>
        <v>7</v>
      </c>
      <c r="F549" s="11" t="str">
        <f aca="false">TEXT(A549,"mmm")</f>
        <v>Jul</v>
      </c>
      <c r="G549" s="11" t="s">
        <v>207</v>
      </c>
      <c r="H549" s="11" t="s">
        <v>204</v>
      </c>
      <c r="I549" s="12" t="n">
        <v>14298264</v>
      </c>
      <c r="J549" s="12" t="n">
        <v>4609254</v>
      </c>
      <c r="K549" s="13" t="n">
        <f aca="false">IF(I549=0,0,J549/I549)</f>
        <v>0.322364589155719</v>
      </c>
      <c r="L549" s="12" t="n">
        <v>1336904</v>
      </c>
      <c r="M549" s="12" t="n">
        <v>448218</v>
      </c>
      <c r="N549" s="12" t="n">
        <v>63863</v>
      </c>
      <c r="O549" s="12" t="n">
        <v>21600</v>
      </c>
      <c r="P549" s="12" t="n">
        <f aca="false">M549+N549+O549</f>
        <v>533681</v>
      </c>
      <c r="Q549" s="13" t="n">
        <f aca="false">IF(I549=0,0,P549/I549)</f>
        <v>0.0373248808386808</v>
      </c>
      <c r="R549" s="13" t="n">
        <v>0.0421</v>
      </c>
      <c r="S549" s="14" t="n">
        <v>3302361</v>
      </c>
      <c r="T549" s="14" t="n">
        <v>204255</v>
      </c>
      <c r="U549" s="14" t="n">
        <v>186149</v>
      </c>
      <c r="V549" s="14" t="n">
        <v>176559</v>
      </c>
      <c r="W549" s="14" t="n">
        <f aca="false">S549+T549+U549+V549</f>
        <v>3869324</v>
      </c>
      <c r="X549" s="15" t="n">
        <f aca="false">IF(P549=0,0,S549/P549)</f>
        <v>6.18789314215796</v>
      </c>
      <c r="Y549" s="15" t="n">
        <f aca="false">IF(J549=0,0,W549/J549)</f>
        <v>0.839468599474015</v>
      </c>
      <c r="Z549" s="14" t="n">
        <v>738067</v>
      </c>
      <c r="AA549" s="15" t="n">
        <f aca="false">IF(L549=0,0,Z549/L549)</f>
        <v>0.552071801715007</v>
      </c>
      <c r="AB549" s="12" t="n">
        <v>382886749</v>
      </c>
      <c r="AC549" s="16" t="n">
        <v>13.3</v>
      </c>
      <c r="AD549" s="16" t="n">
        <v>26</v>
      </c>
      <c r="AE549" s="13" t="n">
        <v>0.443</v>
      </c>
      <c r="AF549" s="13" t="n">
        <v>0.611</v>
      </c>
      <c r="AG549" s="13" t="n">
        <v>0.373</v>
      </c>
      <c r="AH549" s="13" t="n">
        <v>0.227</v>
      </c>
      <c r="AI549" s="17" t="n">
        <v>4.65</v>
      </c>
    </row>
    <row r="550" customFormat="false" ht="15" hidden="false" customHeight="false" outlineLevel="0" collapsed="false">
      <c r="A550" s="10" t="n">
        <v>45839</v>
      </c>
      <c r="B550" s="11" t="n">
        <f aca="false">YEAR(A550)</f>
        <v>2025</v>
      </c>
      <c r="C550" s="11" t="str">
        <f aca="false">"Q"&amp;ROUNDUP(MONTH(A550)/3,0)</f>
        <v>Q3</v>
      </c>
      <c r="D550" s="11" t="str">
        <f aca="false">B550&amp;"-"&amp;C550</f>
        <v>2025-Q3</v>
      </c>
      <c r="E550" s="11" t="n">
        <f aca="false">MONTH(A550)</f>
        <v>7</v>
      </c>
      <c r="F550" s="11" t="str">
        <f aca="false">TEXT(A550,"mmm")</f>
        <v>Jul</v>
      </c>
      <c r="G550" s="11" t="s">
        <v>207</v>
      </c>
      <c r="H550" s="11" t="s">
        <v>205</v>
      </c>
      <c r="I550" s="12" t="n">
        <v>4247791</v>
      </c>
      <c r="J550" s="12" t="n">
        <v>1313761</v>
      </c>
      <c r="K550" s="13" t="n">
        <f aca="false">IF(I550=0,0,J550/I550)</f>
        <v>0.309280988636211</v>
      </c>
      <c r="L550" s="12" t="n">
        <v>347598</v>
      </c>
      <c r="M550" s="12" t="n">
        <v>137259</v>
      </c>
      <c r="N550" s="12" t="n">
        <v>18349</v>
      </c>
      <c r="O550" s="12" t="n">
        <v>4315</v>
      </c>
      <c r="P550" s="12" t="n">
        <f aca="false">M550+N550+O550</f>
        <v>159923</v>
      </c>
      <c r="Q550" s="13" t="n">
        <f aca="false">IF(I550=0,0,P550/I550)</f>
        <v>0.0376485095429601</v>
      </c>
      <c r="R550" s="13" t="n">
        <v>0.0394</v>
      </c>
      <c r="S550" s="14" t="n">
        <v>977320</v>
      </c>
      <c r="T550" s="14" t="n">
        <v>58842</v>
      </c>
      <c r="U550" s="14" t="n">
        <v>56652</v>
      </c>
      <c r="V550" s="14" t="n">
        <v>48074</v>
      </c>
      <c r="W550" s="14" t="n">
        <f aca="false">S550+T550+U550+V550</f>
        <v>1140888</v>
      </c>
      <c r="X550" s="15" t="n">
        <f aca="false">IF(P550=0,0,S550/P550)</f>
        <v>6.11119101067389</v>
      </c>
      <c r="Y550" s="15" t="n">
        <f aca="false">IF(J550=0,0,W550/J550)</f>
        <v>0.868413661236709</v>
      </c>
      <c r="Z550" s="14" t="n">
        <v>178708</v>
      </c>
      <c r="AA550" s="15" t="n">
        <f aca="false">IF(L550=0,0,Z550/L550)</f>
        <v>0.514122635918504</v>
      </c>
      <c r="AB550" s="12" t="n">
        <v>111127652</v>
      </c>
      <c r="AC550" s="16" t="n">
        <v>12.1</v>
      </c>
      <c r="AD550" s="16" t="n">
        <v>26.9</v>
      </c>
      <c r="AE550" s="13" t="n">
        <v>0.45</v>
      </c>
      <c r="AF550" s="13" t="n">
        <v>0.606</v>
      </c>
      <c r="AG550" s="13" t="n">
        <v>0.358</v>
      </c>
      <c r="AH550" s="13" t="n">
        <v>0.221</v>
      </c>
      <c r="AI550" s="17"/>
    </row>
    <row r="551" customFormat="false" ht="15" hidden="false" customHeight="false" outlineLevel="0" collapsed="false">
      <c r="A551" s="10" t="n">
        <v>45839</v>
      </c>
      <c r="B551" s="11" t="n">
        <f aca="false">YEAR(A551)</f>
        <v>2025</v>
      </c>
      <c r="C551" s="11" t="str">
        <f aca="false">"Q"&amp;ROUNDUP(MONTH(A551)/3,0)</f>
        <v>Q3</v>
      </c>
      <c r="D551" s="11" t="str">
        <f aca="false">B551&amp;"-"&amp;C551</f>
        <v>2025-Q3</v>
      </c>
      <c r="E551" s="11" t="n">
        <f aca="false">MONTH(A551)</f>
        <v>7</v>
      </c>
      <c r="F551" s="11" t="str">
        <f aca="false">TEXT(A551,"mmm")</f>
        <v>Jul</v>
      </c>
      <c r="G551" s="11" t="s">
        <v>208</v>
      </c>
      <c r="H551" s="11" t="s">
        <v>203</v>
      </c>
      <c r="I551" s="12" t="n">
        <v>7927721</v>
      </c>
      <c r="J551" s="12" t="n">
        <v>2944909</v>
      </c>
      <c r="K551" s="13" t="n">
        <f aca="false">IF(I551=0,0,J551/I551)</f>
        <v>0.371469808284121</v>
      </c>
      <c r="L551" s="12" t="n">
        <v>1052131</v>
      </c>
      <c r="M551" s="12" t="n">
        <v>379248</v>
      </c>
      <c r="N551" s="12" t="n">
        <v>48110</v>
      </c>
      <c r="O551" s="12" t="n">
        <v>17133</v>
      </c>
      <c r="P551" s="12" t="n">
        <f aca="false">M551+N551+O551</f>
        <v>444491</v>
      </c>
      <c r="Q551" s="13" t="n">
        <f aca="false">IF(I551=0,0,P551/I551)</f>
        <v>0.0560679418460867</v>
      </c>
      <c r="R551" s="13" t="n">
        <v>0.0398</v>
      </c>
      <c r="S551" s="14" t="n">
        <v>3115151</v>
      </c>
      <c r="T551" s="14" t="n">
        <v>191129</v>
      </c>
      <c r="U551" s="14" t="n">
        <v>176375</v>
      </c>
      <c r="V551" s="14" t="n">
        <v>160011</v>
      </c>
      <c r="W551" s="14" t="n">
        <f aca="false">S551+T551+U551+V551</f>
        <v>3642666</v>
      </c>
      <c r="X551" s="15" t="n">
        <f aca="false">IF(P551=0,0,S551/P551)</f>
        <v>7.00835562474831</v>
      </c>
      <c r="Y551" s="15" t="n">
        <f aca="false">IF(J551=0,0,W551/J551)</f>
        <v>1.23693669312023</v>
      </c>
      <c r="Z551" s="14" t="n">
        <v>587648</v>
      </c>
      <c r="AA551" s="15" t="n">
        <f aca="false">IF(L551=0,0,Z551/L551)</f>
        <v>0.558531209516686</v>
      </c>
      <c r="AB551" s="12" t="n">
        <v>240810005</v>
      </c>
      <c r="AC551" s="16" t="n">
        <v>13.7</v>
      </c>
      <c r="AD551" s="16" t="n">
        <v>26.6</v>
      </c>
      <c r="AE551" s="13" t="n">
        <v>0.449</v>
      </c>
      <c r="AF551" s="13" t="n">
        <v>0.6</v>
      </c>
      <c r="AG551" s="13" t="n">
        <v>0.361</v>
      </c>
      <c r="AH551" s="13" t="n">
        <v>0.216</v>
      </c>
      <c r="AI551" s="17" t="n">
        <v>4.75</v>
      </c>
    </row>
    <row r="552" customFormat="false" ht="15" hidden="false" customHeight="false" outlineLevel="0" collapsed="false">
      <c r="A552" s="10" t="n">
        <v>45839</v>
      </c>
      <c r="B552" s="11" t="n">
        <f aca="false">YEAR(A552)</f>
        <v>2025</v>
      </c>
      <c r="C552" s="11" t="str">
        <f aca="false">"Q"&amp;ROUNDUP(MONTH(A552)/3,0)</f>
        <v>Q3</v>
      </c>
      <c r="D552" s="11" t="str">
        <f aca="false">B552&amp;"-"&amp;C552</f>
        <v>2025-Q3</v>
      </c>
      <c r="E552" s="11" t="n">
        <f aca="false">MONTH(A552)</f>
        <v>7</v>
      </c>
      <c r="F552" s="11" t="str">
        <f aca="false">TEXT(A552,"mmm")</f>
        <v>Jul</v>
      </c>
      <c r="G552" s="11" t="s">
        <v>208</v>
      </c>
      <c r="H552" s="11" t="s">
        <v>204</v>
      </c>
      <c r="I552" s="12" t="n">
        <v>11331719</v>
      </c>
      <c r="J552" s="12" t="n">
        <v>3821700</v>
      </c>
      <c r="K552" s="13" t="n">
        <f aca="false">IF(I552=0,0,J552/I552)</f>
        <v>0.337256862793721</v>
      </c>
      <c r="L552" s="12" t="n">
        <v>994416</v>
      </c>
      <c r="M552" s="12" t="n">
        <v>213047</v>
      </c>
      <c r="N552" s="12" t="n">
        <v>27992</v>
      </c>
      <c r="O552" s="12" t="n">
        <v>7176</v>
      </c>
      <c r="P552" s="12" t="n">
        <f aca="false">M552+N552+O552</f>
        <v>248215</v>
      </c>
      <c r="Q552" s="13" t="n">
        <f aca="false">IF(I552=0,0,P552/I552)</f>
        <v>0.0219044436241315</v>
      </c>
      <c r="R552" s="13" t="n">
        <v>0.0395</v>
      </c>
      <c r="S552" s="14" t="n">
        <v>1734349</v>
      </c>
      <c r="T552" s="14" t="n">
        <v>102395</v>
      </c>
      <c r="U552" s="14" t="n">
        <v>93301</v>
      </c>
      <c r="V552" s="14" t="n">
        <v>87131</v>
      </c>
      <c r="W552" s="14" t="n">
        <f aca="false">S552+T552+U552+V552</f>
        <v>2017176</v>
      </c>
      <c r="X552" s="15" t="n">
        <f aca="false">IF(P552=0,0,S552/P552)</f>
        <v>6.98728521644542</v>
      </c>
      <c r="Y552" s="15" t="n">
        <f aca="false">IF(J552=0,0,W552/J552)</f>
        <v>0.527821650051024</v>
      </c>
      <c r="Z552" s="14" t="n">
        <v>287785</v>
      </c>
      <c r="AA552" s="15" t="n">
        <f aca="false">IF(L552=0,0,Z552/L552)</f>
        <v>0.289401015269264</v>
      </c>
      <c r="AB552" s="12" t="n">
        <v>332392748</v>
      </c>
      <c r="AC552" s="16" t="n">
        <v>13.4</v>
      </c>
      <c r="AD552" s="16" t="n">
        <v>26</v>
      </c>
      <c r="AE552" s="13" t="n">
        <v>0.437</v>
      </c>
      <c r="AF552" s="13" t="n">
        <v>0.587</v>
      </c>
      <c r="AG552" s="13" t="n">
        <v>0.368</v>
      </c>
      <c r="AH552" s="13" t="n">
        <v>0.225</v>
      </c>
      <c r="AI552" s="17" t="n">
        <v>4.68</v>
      </c>
    </row>
    <row r="553" customFormat="false" ht="15" hidden="false" customHeight="false" outlineLevel="0" collapsed="false">
      <c r="A553" s="10" t="n">
        <v>45839</v>
      </c>
      <c r="B553" s="11" t="n">
        <f aca="false">YEAR(A553)</f>
        <v>2025</v>
      </c>
      <c r="C553" s="11" t="str">
        <f aca="false">"Q"&amp;ROUNDUP(MONTH(A553)/3,0)</f>
        <v>Q3</v>
      </c>
      <c r="D553" s="11" t="str">
        <f aca="false">B553&amp;"-"&amp;C553</f>
        <v>2025-Q3</v>
      </c>
      <c r="E553" s="11" t="n">
        <f aca="false">MONTH(A553)</f>
        <v>7</v>
      </c>
      <c r="F553" s="11" t="str">
        <f aca="false">TEXT(A553,"mmm")</f>
        <v>Jul</v>
      </c>
      <c r="G553" s="11" t="s">
        <v>208</v>
      </c>
      <c r="H553" s="11" t="s">
        <v>205</v>
      </c>
      <c r="I553" s="12" t="n">
        <v>3204022</v>
      </c>
      <c r="J553" s="12" t="n">
        <v>1024769</v>
      </c>
      <c r="K553" s="13" t="n">
        <f aca="false">IF(I553=0,0,J553/I553)</f>
        <v>0.319838315716933</v>
      </c>
      <c r="L553" s="12" t="n">
        <v>320705</v>
      </c>
      <c r="M553" s="12" t="n">
        <v>61701</v>
      </c>
      <c r="N553" s="12" t="n">
        <v>7135</v>
      </c>
      <c r="O553" s="12" t="n">
        <v>1353</v>
      </c>
      <c r="P553" s="12" t="n">
        <f aca="false">M553+N553+O553</f>
        <v>70189</v>
      </c>
      <c r="Q553" s="13" t="n">
        <f aca="false">IF(I553=0,0,P553/I553)</f>
        <v>0.0219065287317003</v>
      </c>
      <c r="R553" s="13" t="n">
        <v>0.044</v>
      </c>
      <c r="S553" s="14" t="n">
        <v>458247</v>
      </c>
      <c r="T553" s="14" t="n">
        <v>29550</v>
      </c>
      <c r="U553" s="14" t="n">
        <v>24573</v>
      </c>
      <c r="V553" s="14" t="n">
        <v>23100</v>
      </c>
      <c r="W553" s="14" t="n">
        <f aca="false">S553+T553+U553+V553</f>
        <v>535470</v>
      </c>
      <c r="X553" s="15" t="n">
        <f aca="false">IF(P553=0,0,S553/P553)</f>
        <v>6.52875806750346</v>
      </c>
      <c r="Y553" s="15" t="n">
        <f aca="false">IF(J553=0,0,W553/J553)</f>
        <v>0.522527515957255</v>
      </c>
      <c r="Z553" s="14" t="n">
        <v>98770</v>
      </c>
      <c r="AA553" s="15" t="n">
        <f aca="false">IF(L553=0,0,Z553/L553)</f>
        <v>0.307977736549165</v>
      </c>
      <c r="AB553" s="12" t="n">
        <v>87441127</v>
      </c>
      <c r="AC553" s="16" t="n">
        <v>12</v>
      </c>
      <c r="AD553" s="16" t="n">
        <v>26.6</v>
      </c>
      <c r="AE553" s="13" t="n">
        <v>0.463</v>
      </c>
      <c r="AF553" s="13" t="n">
        <v>0.585</v>
      </c>
      <c r="AG553" s="13" t="n">
        <v>0.361</v>
      </c>
      <c r="AH553" s="13" t="n">
        <v>0.221</v>
      </c>
      <c r="AI553" s="17"/>
    </row>
    <row r="554" customFormat="false" ht="15" hidden="false" customHeight="false" outlineLevel="0" collapsed="false">
      <c r="A554" s="10" t="n">
        <v>45839</v>
      </c>
      <c r="B554" s="11" t="n">
        <f aca="false">YEAR(A554)</f>
        <v>2025</v>
      </c>
      <c r="C554" s="11" t="str">
        <f aca="false">"Q"&amp;ROUNDUP(MONTH(A554)/3,0)</f>
        <v>Q3</v>
      </c>
      <c r="D554" s="11" t="str">
        <f aca="false">B554&amp;"-"&amp;C554</f>
        <v>2025-Q3</v>
      </c>
      <c r="E554" s="11" t="n">
        <f aca="false">MONTH(A554)</f>
        <v>7</v>
      </c>
      <c r="F554" s="11" t="str">
        <f aca="false">TEXT(A554,"mmm")</f>
        <v>Jul</v>
      </c>
      <c r="G554" s="11" t="s">
        <v>209</v>
      </c>
      <c r="H554" s="11" t="s">
        <v>203</v>
      </c>
      <c r="I554" s="12" t="n">
        <v>4901819</v>
      </c>
      <c r="J554" s="12" t="n">
        <v>1758857</v>
      </c>
      <c r="K554" s="13" t="n">
        <f aca="false">IF(I554=0,0,J554/I554)</f>
        <v>0.358817206428879</v>
      </c>
      <c r="L554" s="12" t="n">
        <v>600734</v>
      </c>
      <c r="M554" s="12" t="n">
        <v>164276</v>
      </c>
      <c r="N554" s="12" t="n">
        <v>19986</v>
      </c>
      <c r="O554" s="12" t="n">
        <v>5863</v>
      </c>
      <c r="P554" s="12" t="n">
        <f aca="false">M554+N554+O554</f>
        <v>190125</v>
      </c>
      <c r="Q554" s="13" t="n">
        <f aca="false">IF(I554=0,0,P554/I554)</f>
        <v>0.0387866218642508</v>
      </c>
      <c r="R554" s="13" t="n">
        <v>0.0368</v>
      </c>
      <c r="S554" s="14" t="n">
        <v>1237369</v>
      </c>
      <c r="T554" s="14" t="n">
        <v>82956</v>
      </c>
      <c r="U554" s="14" t="n">
        <v>65932</v>
      </c>
      <c r="V554" s="14" t="n">
        <v>61770</v>
      </c>
      <c r="W554" s="14" t="n">
        <f aca="false">S554+T554+U554+V554</f>
        <v>1448027</v>
      </c>
      <c r="X554" s="15" t="n">
        <f aca="false">IF(P554=0,0,S554/P554)</f>
        <v>6.50818671926364</v>
      </c>
      <c r="Y554" s="15" t="n">
        <f aca="false">IF(J554=0,0,W554/J554)</f>
        <v>0.823277276094646</v>
      </c>
      <c r="Z554" s="14" t="n">
        <v>210082</v>
      </c>
      <c r="AA554" s="15" t="n">
        <f aca="false">IF(L554=0,0,Z554/L554)</f>
        <v>0.349708856165957</v>
      </c>
      <c r="AB554" s="12" t="n">
        <v>147530130</v>
      </c>
      <c r="AC554" s="16" t="n">
        <v>13.6</v>
      </c>
      <c r="AD554" s="16" t="n">
        <v>26.2</v>
      </c>
      <c r="AE554" s="13" t="n">
        <v>0.462</v>
      </c>
      <c r="AF554" s="13" t="n">
        <v>0.597</v>
      </c>
      <c r="AG554" s="13" t="n">
        <v>0.382</v>
      </c>
      <c r="AH554" s="13" t="n">
        <v>0.215</v>
      </c>
      <c r="AI554" s="17" t="n">
        <v>4.73</v>
      </c>
    </row>
    <row r="555" customFormat="false" ht="15" hidden="false" customHeight="false" outlineLevel="0" collapsed="false">
      <c r="A555" s="10" t="n">
        <v>45839</v>
      </c>
      <c r="B555" s="11" t="n">
        <f aca="false">YEAR(A555)</f>
        <v>2025</v>
      </c>
      <c r="C555" s="11" t="str">
        <f aca="false">"Q"&amp;ROUNDUP(MONTH(A555)/3,0)</f>
        <v>Q3</v>
      </c>
      <c r="D555" s="11" t="str">
        <f aca="false">B555&amp;"-"&amp;C555</f>
        <v>2025-Q3</v>
      </c>
      <c r="E555" s="11" t="n">
        <f aca="false">MONTH(A555)</f>
        <v>7</v>
      </c>
      <c r="F555" s="11" t="str">
        <f aca="false">TEXT(A555,"mmm")</f>
        <v>Jul</v>
      </c>
      <c r="G555" s="11" t="s">
        <v>209</v>
      </c>
      <c r="H555" s="11" t="s">
        <v>204</v>
      </c>
      <c r="I555" s="12" t="n">
        <v>6468947</v>
      </c>
      <c r="J555" s="12" t="n">
        <v>2074288</v>
      </c>
      <c r="K555" s="13" t="n">
        <f aca="false">IF(I555=0,0,J555/I555)</f>
        <v>0.32065311402304</v>
      </c>
      <c r="L555" s="12" t="n">
        <v>685472</v>
      </c>
      <c r="M555" s="12" t="n">
        <v>93945</v>
      </c>
      <c r="N555" s="12" t="n">
        <v>12237</v>
      </c>
      <c r="O555" s="12" t="n">
        <v>2514</v>
      </c>
      <c r="P555" s="12" t="n">
        <f aca="false">M555+N555+O555</f>
        <v>108696</v>
      </c>
      <c r="Q555" s="13" t="n">
        <f aca="false">IF(I555=0,0,P555/I555)</f>
        <v>0.0168027346645443</v>
      </c>
      <c r="R555" s="13" t="n">
        <v>0.0422</v>
      </c>
      <c r="S555" s="14" t="n">
        <v>700857</v>
      </c>
      <c r="T555" s="14" t="n">
        <v>41121</v>
      </c>
      <c r="U555" s="14" t="n">
        <v>35980</v>
      </c>
      <c r="V555" s="14" t="n">
        <v>36784</v>
      </c>
      <c r="W555" s="14" t="n">
        <f aca="false">S555+T555+U555+V555</f>
        <v>814742</v>
      </c>
      <c r="X555" s="15" t="n">
        <f aca="false">IF(P555=0,0,S555/P555)</f>
        <v>6.44786376683595</v>
      </c>
      <c r="Y555" s="15" t="n">
        <f aca="false">IF(J555=0,0,W555/J555)</f>
        <v>0.39278152310576</v>
      </c>
      <c r="Z555" s="14" t="n">
        <v>122002</v>
      </c>
      <c r="AA555" s="15" t="n">
        <f aca="false">IF(L555=0,0,Z555/L555)</f>
        <v>0.1779824704729</v>
      </c>
      <c r="AB555" s="12" t="n">
        <v>175964822</v>
      </c>
      <c r="AC555" s="16" t="n">
        <v>13.5</v>
      </c>
      <c r="AD555" s="16" t="n">
        <v>25.6</v>
      </c>
      <c r="AE555" s="13" t="n">
        <v>0.452</v>
      </c>
      <c r="AF555" s="13" t="n">
        <v>0.608</v>
      </c>
      <c r="AG555" s="13" t="n">
        <v>0.363</v>
      </c>
      <c r="AH555" s="13" t="n">
        <v>0.221</v>
      </c>
      <c r="AI555" s="17" t="n">
        <v>4.7</v>
      </c>
    </row>
    <row r="556" customFormat="false" ht="15" hidden="false" customHeight="false" outlineLevel="0" collapsed="false">
      <c r="A556" s="10" t="n">
        <v>45839</v>
      </c>
      <c r="B556" s="11" t="n">
        <f aca="false">YEAR(A556)</f>
        <v>2025</v>
      </c>
      <c r="C556" s="11" t="str">
        <f aca="false">"Q"&amp;ROUNDUP(MONTH(A556)/3,0)</f>
        <v>Q3</v>
      </c>
      <c r="D556" s="11" t="str">
        <f aca="false">B556&amp;"-"&amp;C556</f>
        <v>2025-Q3</v>
      </c>
      <c r="E556" s="11" t="n">
        <f aca="false">MONTH(A556)</f>
        <v>7</v>
      </c>
      <c r="F556" s="11" t="str">
        <f aca="false">TEXT(A556,"mmm")</f>
        <v>Jul</v>
      </c>
      <c r="G556" s="11" t="s">
        <v>209</v>
      </c>
      <c r="H556" s="11" t="s">
        <v>205</v>
      </c>
      <c r="I556" s="12" t="n">
        <v>1783731</v>
      </c>
      <c r="J556" s="12" t="n">
        <v>537364</v>
      </c>
      <c r="K556" s="13" t="n">
        <f aca="false">IF(I556=0,0,J556/I556)</f>
        <v>0.30125842966232</v>
      </c>
      <c r="L556" s="12" t="n">
        <v>168778</v>
      </c>
      <c r="M556" s="12" t="n">
        <v>24441</v>
      </c>
      <c r="N556" s="12" t="n">
        <v>2843</v>
      </c>
      <c r="O556" s="12" t="n">
        <v>427</v>
      </c>
      <c r="P556" s="12" t="n">
        <f aca="false">M556+N556+O556</f>
        <v>27711</v>
      </c>
      <c r="Q556" s="13" t="n">
        <f aca="false">IF(I556=0,0,P556/I556)</f>
        <v>0.0155354142524854</v>
      </c>
      <c r="R556" s="13" t="n">
        <v>0.0417</v>
      </c>
      <c r="S556" s="14" t="n">
        <v>180385</v>
      </c>
      <c r="T556" s="14" t="n">
        <v>11543</v>
      </c>
      <c r="U556" s="14" t="n">
        <v>8765</v>
      </c>
      <c r="V556" s="14" t="n">
        <v>9701</v>
      </c>
      <c r="W556" s="14" t="n">
        <f aca="false">S556+T556+U556+V556</f>
        <v>210394</v>
      </c>
      <c r="X556" s="15" t="n">
        <f aca="false">IF(P556=0,0,S556/P556)</f>
        <v>6.50950885929775</v>
      </c>
      <c r="Y556" s="15" t="n">
        <f aca="false">IF(J556=0,0,W556/J556)</f>
        <v>0.391529763810006</v>
      </c>
      <c r="Z556" s="14" t="n">
        <v>31992</v>
      </c>
      <c r="AA556" s="15" t="n">
        <f aca="false">IF(L556=0,0,Z556/L556)</f>
        <v>0.189550770835061</v>
      </c>
      <c r="AB556" s="12" t="n">
        <v>43439210</v>
      </c>
      <c r="AC556" s="16" t="n">
        <v>11.9</v>
      </c>
      <c r="AD556" s="16" t="n">
        <v>26.7</v>
      </c>
      <c r="AE556" s="13" t="n">
        <v>0.445</v>
      </c>
      <c r="AF556" s="13" t="n">
        <v>0.604</v>
      </c>
      <c r="AG556" s="13" t="n">
        <v>0.368</v>
      </c>
      <c r="AH556" s="13" t="n">
        <v>0.208</v>
      </c>
      <c r="AI556" s="17"/>
    </row>
    <row r="557" customFormat="false" ht="15" hidden="false" customHeight="false" outlineLevel="0" collapsed="false">
      <c r="A557" s="10" t="n">
        <v>45839</v>
      </c>
      <c r="B557" s="11" t="n">
        <f aca="false">YEAR(A557)</f>
        <v>2025</v>
      </c>
      <c r="C557" s="11" t="str">
        <f aca="false">"Q"&amp;ROUNDUP(MONTH(A557)/3,0)</f>
        <v>Q3</v>
      </c>
      <c r="D557" s="11" t="str">
        <f aca="false">B557&amp;"-"&amp;C557</f>
        <v>2025-Q3</v>
      </c>
      <c r="E557" s="11" t="n">
        <f aca="false">MONTH(A557)</f>
        <v>7</v>
      </c>
      <c r="F557" s="11" t="str">
        <f aca="false">TEXT(A557,"mmm")</f>
        <v>Jul</v>
      </c>
      <c r="G557" s="11" t="s">
        <v>210</v>
      </c>
      <c r="H557" s="11" t="s">
        <v>203</v>
      </c>
      <c r="I557" s="12" t="n">
        <v>8581221</v>
      </c>
      <c r="J557" s="12" t="n">
        <v>3007419</v>
      </c>
      <c r="K557" s="13" t="n">
        <f aca="false">IF(I557=0,0,J557/I557)</f>
        <v>0.350465161076728</v>
      </c>
      <c r="L557" s="12" t="n">
        <v>876941</v>
      </c>
      <c r="M557" s="12" t="n">
        <v>298632</v>
      </c>
      <c r="N557" s="12" t="n">
        <v>39928</v>
      </c>
      <c r="O557" s="12" t="n">
        <v>10772</v>
      </c>
      <c r="P557" s="12" t="n">
        <f aca="false">M557+N557+O557</f>
        <v>349332</v>
      </c>
      <c r="Q557" s="13" t="n">
        <f aca="false">IF(I557=0,0,P557/I557)</f>
        <v>0.0407088921261904</v>
      </c>
      <c r="R557" s="13" t="n">
        <v>0.0373</v>
      </c>
      <c r="S557" s="14" t="n">
        <v>2699007</v>
      </c>
      <c r="T557" s="14" t="n">
        <v>173167</v>
      </c>
      <c r="U557" s="14" t="n">
        <v>151495</v>
      </c>
      <c r="V557" s="14" t="n">
        <v>142926</v>
      </c>
      <c r="W557" s="14" t="n">
        <f aca="false">S557+T557+U557+V557</f>
        <v>3166595</v>
      </c>
      <c r="X557" s="15" t="n">
        <f aca="false">IF(P557=0,0,S557/P557)</f>
        <v>7.72619456562811</v>
      </c>
      <c r="Y557" s="15" t="n">
        <f aca="false">IF(J557=0,0,W557/J557)</f>
        <v>1.05292777627594</v>
      </c>
      <c r="Z557" s="14" t="n">
        <v>505302</v>
      </c>
      <c r="AA557" s="15" t="n">
        <f aca="false">IF(L557=0,0,Z557/L557)</f>
        <v>0.576209802027731</v>
      </c>
      <c r="AB557" s="12" t="n">
        <v>265268870</v>
      </c>
      <c r="AC557" s="16" t="n">
        <v>13.6</v>
      </c>
      <c r="AD557" s="16" t="n">
        <v>26.2</v>
      </c>
      <c r="AE557" s="13" t="n">
        <v>0.438</v>
      </c>
      <c r="AF557" s="13" t="n">
        <v>0.606</v>
      </c>
      <c r="AG557" s="13" t="n">
        <v>0.358</v>
      </c>
      <c r="AH557" s="13" t="n">
        <v>0.228</v>
      </c>
      <c r="AI557" s="17" t="n">
        <v>4.74</v>
      </c>
    </row>
    <row r="558" customFormat="false" ht="15" hidden="false" customHeight="false" outlineLevel="0" collapsed="false">
      <c r="A558" s="10" t="n">
        <v>45839</v>
      </c>
      <c r="B558" s="11" t="n">
        <f aca="false">YEAR(A558)</f>
        <v>2025</v>
      </c>
      <c r="C558" s="11" t="str">
        <f aca="false">"Q"&amp;ROUNDUP(MONTH(A558)/3,0)</f>
        <v>Q3</v>
      </c>
      <c r="D558" s="11" t="str">
        <f aca="false">B558&amp;"-"&amp;C558</f>
        <v>2025-Q3</v>
      </c>
      <c r="E558" s="11" t="n">
        <f aca="false">MONTH(A558)</f>
        <v>7</v>
      </c>
      <c r="F558" s="11" t="str">
        <f aca="false">TEXT(A558,"mmm")</f>
        <v>Jul</v>
      </c>
      <c r="G558" s="11" t="s">
        <v>210</v>
      </c>
      <c r="H558" s="11" t="s">
        <v>204</v>
      </c>
      <c r="I558" s="12" t="n">
        <v>10557295</v>
      </c>
      <c r="J558" s="12" t="n">
        <v>3434131</v>
      </c>
      <c r="K558" s="13" t="n">
        <f aca="false">IF(I558=0,0,J558/I558)</f>
        <v>0.325285122751614</v>
      </c>
      <c r="L558" s="12" t="n">
        <v>936533</v>
      </c>
      <c r="M558" s="12" t="n">
        <v>181397</v>
      </c>
      <c r="N558" s="12" t="n">
        <v>21277</v>
      </c>
      <c r="O558" s="12" t="n">
        <v>4798</v>
      </c>
      <c r="P558" s="12" t="n">
        <f aca="false">M558+N558+O558</f>
        <v>207472</v>
      </c>
      <c r="Q558" s="13" t="n">
        <f aca="false">IF(I558=0,0,P558/I558)</f>
        <v>0.0196520036619229</v>
      </c>
      <c r="R558" s="13" t="n">
        <v>0.0395</v>
      </c>
      <c r="S558" s="14" t="n">
        <v>1349935</v>
      </c>
      <c r="T558" s="14" t="n">
        <v>91936</v>
      </c>
      <c r="U558" s="14" t="n">
        <v>74957</v>
      </c>
      <c r="V558" s="14" t="n">
        <v>70781</v>
      </c>
      <c r="W558" s="14" t="n">
        <f aca="false">S558+T558+U558+V558</f>
        <v>1587609</v>
      </c>
      <c r="X558" s="15" t="n">
        <f aca="false">IF(P558=0,0,S558/P558)</f>
        <v>6.50658884090383</v>
      </c>
      <c r="Y558" s="15" t="n">
        <f aca="false">IF(J558=0,0,W558/J558)</f>
        <v>0.46230298145295</v>
      </c>
      <c r="Z558" s="14" t="n">
        <v>247178</v>
      </c>
      <c r="AA558" s="15" t="n">
        <f aca="false">IF(L558=0,0,Z558/L558)</f>
        <v>0.263928767058929</v>
      </c>
      <c r="AB558" s="12" t="n">
        <v>293085302</v>
      </c>
      <c r="AC558" s="16" t="n">
        <v>13</v>
      </c>
      <c r="AD558" s="16" t="n">
        <v>27.5</v>
      </c>
      <c r="AE558" s="13" t="n">
        <v>0.45</v>
      </c>
      <c r="AF558" s="13" t="n">
        <v>0.602</v>
      </c>
      <c r="AG558" s="13" t="n">
        <v>0.371</v>
      </c>
      <c r="AH558" s="13" t="n">
        <v>0.222</v>
      </c>
      <c r="AI558" s="17" t="n">
        <v>4.66</v>
      </c>
    </row>
    <row r="559" customFormat="false" ht="15" hidden="false" customHeight="false" outlineLevel="0" collapsed="false">
      <c r="A559" s="10" t="n">
        <v>45839</v>
      </c>
      <c r="B559" s="11" t="n">
        <f aca="false">YEAR(A559)</f>
        <v>2025</v>
      </c>
      <c r="C559" s="11" t="str">
        <f aca="false">"Q"&amp;ROUNDUP(MONTH(A559)/3,0)</f>
        <v>Q3</v>
      </c>
      <c r="D559" s="11" t="str">
        <f aca="false">B559&amp;"-"&amp;C559</f>
        <v>2025-Q3</v>
      </c>
      <c r="E559" s="11" t="n">
        <f aca="false">MONTH(A559)</f>
        <v>7</v>
      </c>
      <c r="F559" s="11" t="str">
        <f aca="false">TEXT(A559,"mmm")</f>
        <v>Jul</v>
      </c>
      <c r="G559" s="11" t="s">
        <v>210</v>
      </c>
      <c r="H559" s="11" t="s">
        <v>205</v>
      </c>
      <c r="I559" s="12" t="n">
        <v>3281757</v>
      </c>
      <c r="J559" s="12" t="n">
        <v>974355</v>
      </c>
      <c r="K559" s="13" t="n">
        <f aca="false">IF(I559=0,0,J559/I559)</f>
        <v>0.296900410359451</v>
      </c>
      <c r="L559" s="12" t="n">
        <v>298305</v>
      </c>
      <c r="M559" s="12" t="n">
        <v>49430</v>
      </c>
      <c r="N559" s="12" t="n">
        <v>5708</v>
      </c>
      <c r="O559" s="12" t="n">
        <v>863</v>
      </c>
      <c r="P559" s="12" t="n">
        <f aca="false">M559+N559+O559</f>
        <v>56001</v>
      </c>
      <c r="Q559" s="13" t="n">
        <f aca="false">IF(I559=0,0,P559/I559)</f>
        <v>0.0170643347450771</v>
      </c>
      <c r="R559" s="13" t="n">
        <v>0.0402</v>
      </c>
      <c r="S559" s="14" t="n">
        <v>366779</v>
      </c>
      <c r="T559" s="14" t="n">
        <v>22840</v>
      </c>
      <c r="U559" s="14" t="n">
        <v>18724</v>
      </c>
      <c r="V559" s="14" t="n">
        <v>20416</v>
      </c>
      <c r="W559" s="14" t="n">
        <f aca="false">S559+T559+U559+V559</f>
        <v>428759</v>
      </c>
      <c r="X559" s="15" t="n">
        <f aca="false">IF(P559=0,0,S559/P559)</f>
        <v>6.54950804449921</v>
      </c>
      <c r="Y559" s="15" t="n">
        <f aca="false">IF(J559=0,0,W559/J559)</f>
        <v>0.440043926494963</v>
      </c>
      <c r="Z559" s="14" t="n">
        <v>66562</v>
      </c>
      <c r="AA559" s="15" t="n">
        <f aca="false">IF(L559=0,0,Z559/L559)</f>
        <v>0.22313404066308</v>
      </c>
      <c r="AB559" s="12" t="n">
        <v>83763446</v>
      </c>
      <c r="AC559" s="16" t="n">
        <v>11.6</v>
      </c>
      <c r="AD559" s="16" t="n">
        <v>26.2</v>
      </c>
      <c r="AE559" s="13" t="n">
        <v>0.449</v>
      </c>
      <c r="AF559" s="13" t="n">
        <v>0.602</v>
      </c>
      <c r="AG559" s="13" t="n">
        <v>0.368</v>
      </c>
      <c r="AH559" s="13" t="n">
        <v>0.22</v>
      </c>
      <c r="AI559" s="17"/>
    </row>
    <row r="560" customFormat="false" ht="15" hidden="false" customHeight="false" outlineLevel="0" collapsed="false">
      <c r="A560" s="10" t="n">
        <v>45870</v>
      </c>
      <c r="B560" s="11" t="n">
        <f aca="false">YEAR(A560)</f>
        <v>2025</v>
      </c>
      <c r="C560" s="11" t="str">
        <f aca="false">"Q"&amp;ROUNDUP(MONTH(A560)/3,0)</f>
        <v>Q3</v>
      </c>
      <c r="D560" s="11" t="str">
        <f aca="false">B560&amp;"-"&amp;C560</f>
        <v>2025-Q3</v>
      </c>
      <c r="E560" s="11" t="n">
        <f aca="false">MONTH(A560)</f>
        <v>8</v>
      </c>
      <c r="F560" s="11" t="str">
        <f aca="false">TEXT(A560,"mmm")</f>
        <v>Aug</v>
      </c>
      <c r="G560" s="11" t="s">
        <v>202</v>
      </c>
      <c r="H560" s="11" t="s">
        <v>203</v>
      </c>
      <c r="I560" s="12" t="n">
        <v>9545914</v>
      </c>
      <c r="J560" s="12" t="n">
        <v>3592414</v>
      </c>
      <c r="K560" s="13" t="n">
        <f aca="false">IF(I560=0,0,J560/I560)</f>
        <v>0.37633001931507</v>
      </c>
      <c r="L560" s="12" t="n">
        <v>1021960</v>
      </c>
      <c r="M560" s="12" t="n">
        <v>2219896</v>
      </c>
      <c r="N560" s="12" t="n">
        <v>286296</v>
      </c>
      <c r="O560" s="12" t="n">
        <v>366156</v>
      </c>
      <c r="P560" s="12" t="n">
        <f aca="false">M560+N560+O560</f>
        <v>2872348</v>
      </c>
      <c r="Q560" s="13" t="n">
        <f aca="false">IF(I560=0,0,P560/I560)</f>
        <v>0.300898164387402</v>
      </c>
      <c r="R560" s="13" t="n">
        <v>0.0383</v>
      </c>
      <c r="S560" s="14" t="n">
        <v>20085535</v>
      </c>
      <c r="T560" s="14" t="n">
        <v>1288756</v>
      </c>
      <c r="U560" s="14" t="n">
        <v>1080082</v>
      </c>
      <c r="V560" s="14" t="n">
        <v>1028563</v>
      </c>
      <c r="W560" s="14" t="n">
        <f aca="false">S560+T560+U560+V560</f>
        <v>23482936</v>
      </c>
      <c r="X560" s="15" t="n">
        <f aca="false">IF(P560=0,0,S560/P560)</f>
        <v>6.99272337474429</v>
      </c>
      <c r="Y560" s="15" t="n">
        <f aca="false">IF(J560=0,0,W560/J560)</f>
        <v>6.53681229390599</v>
      </c>
      <c r="Z560" s="14" t="n">
        <v>3983779</v>
      </c>
      <c r="AA560" s="15" t="n">
        <f aca="false">IF(L560=0,0,Z560/L560)</f>
        <v>3.89817507534541</v>
      </c>
      <c r="AB560" s="12" t="n">
        <v>306854273</v>
      </c>
      <c r="AC560" s="16" t="n">
        <v>13.8</v>
      </c>
      <c r="AD560" s="16" t="n">
        <v>27</v>
      </c>
      <c r="AE560" s="13" t="n">
        <v>0.444</v>
      </c>
      <c r="AF560" s="13" t="n">
        <v>0.614</v>
      </c>
      <c r="AG560" s="13" t="n">
        <v>0.363</v>
      </c>
      <c r="AH560" s="13" t="n">
        <v>0.22</v>
      </c>
      <c r="AI560" s="17" t="n">
        <v>4.72</v>
      </c>
    </row>
    <row r="561" customFormat="false" ht="15" hidden="false" customHeight="false" outlineLevel="0" collapsed="false">
      <c r="A561" s="10" t="n">
        <v>45870</v>
      </c>
      <c r="B561" s="11" t="n">
        <f aca="false">YEAR(A561)</f>
        <v>2025</v>
      </c>
      <c r="C561" s="11" t="str">
        <f aca="false">"Q"&amp;ROUNDUP(MONTH(A561)/3,0)</f>
        <v>Q3</v>
      </c>
      <c r="D561" s="11" t="str">
        <f aca="false">B561&amp;"-"&amp;C561</f>
        <v>2025-Q3</v>
      </c>
      <c r="E561" s="11" t="n">
        <f aca="false">MONTH(A561)</f>
        <v>8</v>
      </c>
      <c r="F561" s="11" t="str">
        <f aca="false">TEXT(A561,"mmm")</f>
        <v>Aug</v>
      </c>
      <c r="G561" s="11" t="s">
        <v>202</v>
      </c>
      <c r="H561" s="11" t="s">
        <v>204</v>
      </c>
      <c r="I561" s="12" t="n">
        <v>11926967</v>
      </c>
      <c r="J561" s="12" t="n">
        <v>4197007</v>
      </c>
      <c r="K561" s="13" t="n">
        <f aca="false">IF(I561=0,0,J561/I561)</f>
        <v>0.351892228761931</v>
      </c>
      <c r="L561" s="12" t="n">
        <v>1381954</v>
      </c>
      <c r="M561" s="12" t="n">
        <v>1361041</v>
      </c>
      <c r="N561" s="12" t="n">
        <v>180278</v>
      </c>
      <c r="O561" s="12" t="n">
        <v>162940</v>
      </c>
      <c r="P561" s="12" t="n">
        <f aca="false">M561+N561+O561</f>
        <v>1704259</v>
      </c>
      <c r="Q561" s="13" t="n">
        <f aca="false">IF(I561=0,0,P561/I561)</f>
        <v>0.142891231274472</v>
      </c>
      <c r="R561" s="13" t="n">
        <v>0.0403</v>
      </c>
      <c r="S561" s="14" t="n">
        <v>10552442</v>
      </c>
      <c r="T561" s="14" t="n">
        <v>614088</v>
      </c>
      <c r="U561" s="14" t="n">
        <v>550411</v>
      </c>
      <c r="V561" s="14" t="n">
        <v>526735</v>
      </c>
      <c r="W561" s="14" t="n">
        <f aca="false">S561+T561+U561+V561</f>
        <v>12243676</v>
      </c>
      <c r="X561" s="15" t="n">
        <f aca="false">IF(P561=0,0,S561/P561)</f>
        <v>6.19180652705956</v>
      </c>
      <c r="Y561" s="15" t="n">
        <f aca="false">IF(J561=0,0,W561/J561)</f>
        <v>2.91723983305246</v>
      </c>
      <c r="Z561" s="14" t="n">
        <v>1810750</v>
      </c>
      <c r="AA561" s="15" t="n">
        <f aca="false">IF(L561=0,0,Z561/L561)</f>
        <v>1.31028239724332</v>
      </c>
      <c r="AB561" s="12" t="n">
        <v>358233362</v>
      </c>
      <c r="AC561" s="16" t="n">
        <v>13.2</v>
      </c>
      <c r="AD561" s="16" t="n">
        <v>26.6</v>
      </c>
      <c r="AE561" s="13" t="n">
        <v>0.451</v>
      </c>
      <c r="AF561" s="13" t="n">
        <v>0.598</v>
      </c>
      <c r="AG561" s="13" t="n">
        <v>0.37</v>
      </c>
      <c r="AH561" s="13" t="n">
        <v>0.22</v>
      </c>
      <c r="AI561" s="17" t="n">
        <v>4.7</v>
      </c>
    </row>
    <row r="562" customFormat="false" ht="15" hidden="false" customHeight="false" outlineLevel="0" collapsed="false">
      <c r="A562" s="10" t="n">
        <v>45870</v>
      </c>
      <c r="B562" s="11" t="n">
        <f aca="false">YEAR(A562)</f>
        <v>2025</v>
      </c>
      <c r="C562" s="11" t="str">
        <f aca="false">"Q"&amp;ROUNDUP(MONTH(A562)/3,0)</f>
        <v>Q3</v>
      </c>
      <c r="D562" s="11" t="str">
        <f aca="false">B562&amp;"-"&amp;C562</f>
        <v>2025-Q3</v>
      </c>
      <c r="E562" s="11" t="n">
        <f aca="false">MONTH(A562)</f>
        <v>8</v>
      </c>
      <c r="F562" s="11" t="str">
        <f aca="false">TEXT(A562,"mmm")</f>
        <v>Aug</v>
      </c>
      <c r="G562" s="11" t="s">
        <v>202</v>
      </c>
      <c r="H562" s="11" t="s">
        <v>205</v>
      </c>
      <c r="I562" s="12" t="n">
        <v>3830764</v>
      </c>
      <c r="J562" s="12" t="n">
        <v>1232365</v>
      </c>
      <c r="K562" s="13" t="n">
        <f aca="false">IF(I562=0,0,J562/I562)</f>
        <v>0.321702146099316</v>
      </c>
      <c r="L562" s="12" t="n">
        <v>316127</v>
      </c>
      <c r="M562" s="12" t="n">
        <v>376145</v>
      </c>
      <c r="N562" s="12" t="n">
        <v>51625</v>
      </c>
      <c r="O562" s="12" t="n">
        <v>29121</v>
      </c>
      <c r="P562" s="12" t="n">
        <f aca="false">M562+N562+O562</f>
        <v>456891</v>
      </c>
      <c r="Q562" s="13" t="n">
        <f aca="false">IF(I562=0,0,P562/I562)</f>
        <v>0.119268897796889</v>
      </c>
      <c r="R562" s="13" t="n">
        <v>0.0373</v>
      </c>
      <c r="S562" s="14" t="n">
        <v>3137275</v>
      </c>
      <c r="T562" s="14" t="n">
        <v>193586</v>
      </c>
      <c r="U562" s="14" t="n">
        <v>163723</v>
      </c>
      <c r="V562" s="14" t="n">
        <v>168862</v>
      </c>
      <c r="W562" s="14" t="n">
        <f aca="false">S562+T562+U562+V562</f>
        <v>3663446</v>
      </c>
      <c r="X562" s="15" t="n">
        <f aca="false">IF(P562=0,0,S562/P562)</f>
        <v>6.86657211457437</v>
      </c>
      <c r="Y562" s="15" t="n">
        <f aca="false">IF(J562=0,0,W562/J562)</f>
        <v>2.9726955893749</v>
      </c>
      <c r="Z562" s="14" t="n">
        <v>591942</v>
      </c>
      <c r="AA562" s="15" t="n">
        <f aca="false">IF(L562=0,0,Z562/L562)</f>
        <v>1.87248162921864</v>
      </c>
      <c r="AB562" s="12" t="n">
        <v>107528704</v>
      </c>
      <c r="AC562" s="16" t="n">
        <v>12.2</v>
      </c>
      <c r="AD562" s="16" t="n">
        <v>26.7</v>
      </c>
      <c r="AE562" s="13" t="n">
        <v>0.453</v>
      </c>
      <c r="AF562" s="13" t="n">
        <v>0.614</v>
      </c>
      <c r="AG562" s="13" t="n">
        <v>0.367</v>
      </c>
      <c r="AH562" s="13" t="n">
        <v>0.221</v>
      </c>
      <c r="AI562" s="17"/>
    </row>
    <row r="563" customFormat="false" ht="15" hidden="false" customHeight="false" outlineLevel="0" collapsed="false">
      <c r="A563" s="10" t="n">
        <v>45870</v>
      </c>
      <c r="B563" s="11" t="n">
        <f aca="false">YEAR(A563)</f>
        <v>2025</v>
      </c>
      <c r="C563" s="11" t="str">
        <f aca="false">"Q"&amp;ROUNDUP(MONTH(A563)/3,0)</f>
        <v>Q3</v>
      </c>
      <c r="D563" s="11" t="str">
        <f aca="false">B563&amp;"-"&amp;C563</f>
        <v>2025-Q3</v>
      </c>
      <c r="E563" s="11" t="n">
        <f aca="false">MONTH(A563)</f>
        <v>8</v>
      </c>
      <c r="F563" s="11" t="str">
        <f aca="false">TEXT(A563,"mmm")</f>
        <v>Aug</v>
      </c>
      <c r="G563" s="11" t="s">
        <v>206</v>
      </c>
      <c r="H563" s="11" t="s">
        <v>203</v>
      </c>
      <c r="I563" s="12" t="n">
        <v>10554951</v>
      </c>
      <c r="J563" s="12" t="n">
        <v>4135454</v>
      </c>
      <c r="K563" s="13" t="n">
        <f aca="false">IF(I563=0,0,J563/I563)</f>
        <v>0.391802292592358</v>
      </c>
      <c r="L563" s="12" t="n">
        <v>1187829</v>
      </c>
      <c r="M563" s="12" t="n">
        <v>1397365</v>
      </c>
      <c r="N563" s="12" t="n">
        <v>170850</v>
      </c>
      <c r="O563" s="12" t="n">
        <v>135760</v>
      </c>
      <c r="P563" s="12" t="n">
        <f aca="false">M563+N563+O563</f>
        <v>1703975</v>
      </c>
      <c r="Q563" s="13" t="n">
        <f aca="false">IF(I563=0,0,P563/I563)</f>
        <v>0.161438456701504</v>
      </c>
      <c r="R563" s="13" t="n">
        <v>0.0397</v>
      </c>
      <c r="S563" s="14" t="n">
        <v>11255413</v>
      </c>
      <c r="T563" s="14" t="n">
        <v>707556</v>
      </c>
      <c r="U563" s="14" t="n">
        <v>602975</v>
      </c>
      <c r="V563" s="14" t="n">
        <v>572541</v>
      </c>
      <c r="W563" s="14" t="n">
        <f aca="false">S563+T563+U563+V563</f>
        <v>13138485</v>
      </c>
      <c r="X563" s="15" t="n">
        <f aca="false">IF(P563=0,0,S563/P563)</f>
        <v>6.60538622925806</v>
      </c>
      <c r="Y563" s="15" t="n">
        <f aca="false">IF(J563=0,0,W563/J563)</f>
        <v>3.17703570152153</v>
      </c>
      <c r="Z563" s="14" t="n">
        <v>2118213</v>
      </c>
      <c r="AA563" s="15" t="n">
        <f aca="false">IF(L563=0,0,Z563/L563)</f>
        <v>1.78326425773407</v>
      </c>
      <c r="AB563" s="12" t="n">
        <v>356036475</v>
      </c>
      <c r="AC563" s="16" t="n">
        <v>13.8</v>
      </c>
      <c r="AD563" s="16" t="n">
        <v>28.2</v>
      </c>
      <c r="AE563" s="13" t="n">
        <v>0.444</v>
      </c>
      <c r="AF563" s="13" t="n">
        <v>0.612</v>
      </c>
      <c r="AG563" s="13" t="n">
        <v>0.368</v>
      </c>
      <c r="AH563" s="13" t="n">
        <v>0.221</v>
      </c>
      <c r="AI563" s="17" t="n">
        <v>4.73</v>
      </c>
    </row>
    <row r="564" customFormat="false" ht="15" hidden="false" customHeight="false" outlineLevel="0" collapsed="false">
      <c r="A564" s="10" t="n">
        <v>45870</v>
      </c>
      <c r="B564" s="11" t="n">
        <f aca="false">YEAR(A564)</f>
        <v>2025</v>
      </c>
      <c r="C564" s="11" t="str">
        <f aca="false">"Q"&amp;ROUNDUP(MONTH(A564)/3,0)</f>
        <v>Q3</v>
      </c>
      <c r="D564" s="11" t="str">
        <f aca="false">B564&amp;"-"&amp;C564</f>
        <v>2025-Q3</v>
      </c>
      <c r="E564" s="11" t="n">
        <f aca="false">MONTH(A564)</f>
        <v>8</v>
      </c>
      <c r="F564" s="11" t="str">
        <f aca="false">TEXT(A564,"mmm")</f>
        <v>Aug</v>
      </c>
      <c r="G564" s="11" t="s">
        <v>206</v>
      </c>
      <c r="H564" s="11" t="s">
        <v>204</v>
      </c>
      <c r="I564" s="12" t="n">
        <v>15215318</v>
      </c>
      <c r="J564" s="12" t="n">
        <v>5457335</v>
      </c>
      <c r="K564" s="13" t="n">
        <f aca="false">IF(I564=0,0,J564/I564)</f>
        <v>0.358673739188363</v>
      </c>
      <c r="L564" s="12" t="n">
        <v>1556282</v>
      </c>
      <c r="M564" s="12" t="n">
        <v>774289</v>
      </c>
      <c r="N564" s="12" t="n">
        <v>93250</v>
      </c>
      <c r="O564" s="12" t="n">
        <v>55134</v>
      </c>
      <c r="P564" s="12" t="n">
        <f aca="false">M564+N564+O564</f>
        <v>922673</v>
      </c>
      <c r="Q564" s="13" t="n">
        <f aca="false">IF(I564=0,0,P564/I564)</f>
        <v>0.0606410592272866</v>
      </c>
      <c r="R564" s="13" t="n">
        <v>0.0383</v>
      </c>
      <c r="S564" s="14" t="n">
        <v>7019823</v>
      </c>
      <c r="T564" s="14" t="n">
        <v>464028</v>
      </c>
      <c r="U564" s="14" t="n">
        <v>364193</v>
      </c>
      <c r="V564" s="14" t="n">
        <v>354209</v>
      </c>
      <c r="W564" s="14" t="n">
        <f aca="false">S564+T564+U564+V564</f>
        <v>8202253</v>
      </c>
      <c r="X564" s="15" t="n">
        <f aca="false">IF(P564=0,0,S564/P564)</f>
        <v>7.60813744414327</v>
      </c>
      <c r="Y564" s="15" t="n">
        <f aca="false">IF(J564=0,0,W564/J564)</f>
        <v>1.50297773546979</v>
      </c>
      <c r="Z564" s="14" t="n">
        <v>1256652</v>
      </c>
      <c r="AA564" s="15" t="n">
        <f aca="false">IF(L564=0,0,Z564/L564)</f>
        <v>0.807470625503604</v>
      </c>
      <c r="AB564" s="12" t="n">
        <v>460214653</v>
      </c>
      <c r="AC564" s="16" t="n">
        <v>13.6</v>
      </c>
      <c r="AD564" s="16" t="n">
        <v>26.6</v>
      </c>
      <c r="AE564" s="13" t="n">
        <v>0.441</v>
      </c>
      <c r="AF564" s="13" t="n">
        <v>0.606</v>
      </c>
      <c r="AG564" s="13" t="n">
        <v>0.373</v>
      </c>
      <c r="AH564" s="13" t="n">
        <v>0.218</v>
      </c>
      <c r="AI564" s="17" t="n">
        <v>4.67</v>
      </c>
    </row>
    <row r="565" customFormat="false" ht="15" hidden="false" customHeight="false" outlineLevel="0" collapsed="false">
      <c r="A565" s="10" t="n">
        <v>45870</v>
      </c>
      <c r="B565" s="11" t="n">
        <f aca="false">YEAR(A565)</f>
        <v>2025</v>
      </c>
      <c r="C565" s="11" t="str">
        <f aca="false">"Q"&amp;ROUNDUP(MONTH(A565)/3,0)</f>
        <v>Q3</v>
      </c>
      <c r="D565" s="11" t="str">
        <f aca="false">B565&amp;"-"&amp;C565</f>
        <v>2025-Q3</v>
      </c>
      <c r="E565" s="11" t="n">
        <f aca="false">MONTH(A565)</f>
        <v>8</v>
      </c>
      <c r="F565" s="11" t="str">
        <f aca="false">TEXT(A565,"mmm")</f>
        <v>Aug</v>
      </c>
      <c r="G565" s="11" t="s">
        <v>206</v>
      </c>
      <c r="H565" s="11" t="s">
        <v>205</v>
      </c>
      <c r="I565" s="12" t="n">
        <v>3890491</v>
      </c>
      <c r="J565" s="12" t="n">
        <v>1323595</v>
      </c>
      <c r="K565" s="13" t="n">
        <f aca="false">IF(I565=0,0,J565/I565)</f>
        <v>0.340212842029451</v>
      </c>
      <c r="L565" s="12" t="n">
        <v>404849</v>
      </c>
      <c r="M565" s="12" t="n">
        <v>211730</v>
      </c>
      <c r="N565" s="12" t="n">
        <v>26799</v>
      </c>
      <c r="O565" s="12" t="n">
        <v>9896</v>
      </c>
      <c r="P565" s="12" t="n">
        <f aca="false">M565+N565+O565</f>
        <v>248425</v>
      </c>
      <c r="Q565" s="13" t="n">
        <f aca="false">IF(I565=0,0,P565/I565)</f>
        <v>0.0638544080939912</v>
      </c>
      <c r="R565" s="13" t="n">
        <v>0.0389</v>
      </c>
      <c r="S565" s="14" t="n">
        <v>1889490</v>
      </c>
      <c r="T565" s="14" t="n">
        <v>113558</v>
      </c>
      <c r="U565" s="14" t="n">
        <v>101750</v>
      </c>
      <c r="V565" s="14" t="n">
        <v>95909</v>
      </c>
      <c r="W565" s="14" t="n">
        <f aca="false">S565+T565+U565+V565</f>
        <v>2200707</v>
      </c>
      <c r="X565" s="15" t="n">
        <f aca="false">IF(P565=0,0,S565/P565)</f>
        <v>7.60587702525913</v>
      </c>
      <c r="Y565" s="15" t="n">
        <f aca="false">IF(J565=0,0,W565/J565)</f>
        <v>1.66267400526596</v>
      </c>
      <c r="Z565" s="14" t="n">
        <v>349648</v>
      </c>
      <c r="AA565" s="15" t="n">
        <f aca="false">IF(L565=0,0,Z565/L565)</f>
        <v>0.863650398049643</v>
      </c>
      <c r="AB565" s="12" t="n">
        <v>111723198</v>
      </c>
      <c r="AC565" s="16" t="n">
        <v>11.7</v>
      </c>
      <c r="AD565" s="16" t="n">
        <v>26.5</v>
      </c>
      <c r="AE565" s="13" t="n">
        <v>0.451</v>
      </c>
      <c r="AF565" s="13" t="n">
        <v>0.616</v>
      </c>
      <c r="AG565" s="13" t="n">
        <v>0.367</v>
      </c>
      <c r="AH565" s="13" t="n">
        <v>0.228</v>
      </c>
      <c r="AI565" s="17"/>
    </row>
    <row r="566" customFormat="false" ht="15" hidden="false" customHeight="false" outlineLevel="0" collapsed="false">
      <c r="A566" s="10" t="n">
        <v>45870</v>
      </c>
      <c r="B566" s="11" t="n">
        <f aca="false">YEAR(A566)</f>
        <v>2025</v>
      </c>
      <c r="C566" s="11" t="str">
        <f aca="false">"Q"&amp;ROUNDUP(MONTH(A566)/3,0)</f>
        <v>Q3</v>
      </c>
      <c r="D566" s="11" t="str">
        <f aca="false">B566&amp;"-"&amp;C566</f>
        <v>2025-Q3</v>
      </c>
      <c r="E566" s="11" t="n">
        <f aca="false">MONTH(A566)</f>
        <v>8</v>
      </c>
      <c r="F566" s="11" t="str">
        <f aca="false">TEXT(A566,"mmm")</f>
        <v>Aug</v>
      </c>
      <c r="G566" s="11" t="s">
        <v>207</v>
      </c>
      <c r="H566" s="11" t="s">
        <v>203</v>
      </c>
      <c r="I566" s="12" t="n">
        <v>10695285</v>
      </c>
      <c r="J566" s="12" t="n">
        <v>3891044</v>
      </c>
      <c r="K566" s="13" t="n">
        <f aca="false">IF(I566=0,0,J566/I566)</f>
        <v>0.363809286054556</v>
      </c>
      <c r="L566" s="12" t="n">
        <v>1103861</v>
      </c>
      <c r="M566" s="12" t="n">
        <v>784801</v>
      </c>
      <c r="N566" s="12" t="n">
        <v>104463</v>
      </c>
      <c r="O566" s="12" t="n">
        <v>52524</v>
      </c>
      <c r="P566" s="12" t="n">
        <f aca="false">M566+N566+O566</f>
        <v>941788</v>
      </c>
      <c r="Q566" s="13" t="n">
        <f aca="false">IF(I566=0,0,P566/I566)</f>
        <v>0.0880563725043325</v>
      </c>
      <c r="R566" s="13" t="n">
        <v>0.0392</v>
      </c>
      <c r="S566" s="14" t="n">
        <v>7109166</v>
      </c>
      <c r="T566" s="14" t="n">
        <v>454927</v>
      </c>
      <c r="U566" s="14" t="n">
        <v>400117</v>
      </c>
      <c r="V566" s="14" t="n">
        <v>366498</v>
      </c>
      <c r="W566" s="14" t="n">
        <f aca="false">S566+T566+U566+V566</f>
        <v>8330708</v>
      </c>
      <c r="X566" s="15" t="n">
        <f aca="false">IF(P566=0,0,S566/P566)</f>
        <v>7.54858418242747</v>
      </c>
      <c r="Y566" s="15" t="n">
        <f aca="false">IF(J566=0,0,W566/J566)</f>
        <v>2.14099557856452</v>
      </c>
      <c r="Z566" s="14" t="n">
        <v>1376364</v>
      </c>
      <c r="AA566" s="15" t="n">
        <f aca="false">IF(L566=0,0,Z566/L566)</f>
        <v>1.24686350908312</v>
      </c>
      <c r="AB566" s="12" t="n">
        <v>331127103</v>
      </c>
      <c r="AC566" s="16" t="n">
        <v>13.8</v>
      </c>
      <c r="AD566" s="16" t="n">
        <v>26</v>
      </c>
      <c r="AE566" s="13" t="n">
        <v>0.454</v>
      </c>
      <c r="AF566" s="13" t="n">
        <v>0.585</v>
      </c>
      <c r="AG566" s="13" t="n">
        <v>0.361</v>
      </c>
      <c r="AH566" s="13" t="n">
        <v>0.22</v>
      </c>
      <c r="AI566" s="17" t="n">
        <v>4.7</v>
      </c>
    </row>
    <row r="567" customFormat="false" ht="15" hidden="false" customHeight="false" outlineLevel="0" collapsed="false">
      <c r="A567" s="10" t="n">
        <v>45870</v>
      </c>
      <c r="B567" s="11" t="n">
        <f aca="false">YEAR(A567)</f>
        <v>2025</v>
      </c>
      <c r="C567" s="11" t="str">
        <f aca="false">"Q"&amp;ROUNDUP(MONTH(A567)/3,0)</f>
        <v>Q3</v>
      </c>
      <c r="D567" s="11" t="str">
        <f aca="false">B567&amp;"-"&amp;C567</f>
        <v>2025-Q3</v>
      </c>
      <c r="E567" s="11" t="n">
        <f aca="false">MONTH(A567)</f>
        <v>8</v>
      </c>
      <c r="F567" s="11" t="str">
        <f aca="false">TEXT(A567,"mmm")</f>
        <v>Aug</v>
      </c>
      <c r="G567" s="11" t="s">
        <v>207</v>
      </c>
      <c r="H567" s="11" t="s">
        <v>204</v>
      </c>
      <c r="I567" s="12" t="n">
        <v>13236801</v>
      </c>
      <c r="J567" s="12" t="n">
        <v>4575911</v>
      </c>
      <c r="K567" s="13" t="n">
        <f aca="false">IF(I567=0,0,J567/I567)</f>
        <v>0.345696139120019</v>
      </c>
      <c r="L567" s="12" t="n">
        <v>1320232</v>
      </c>
      <c r="M567" s="12" t="n">
        <v>446667</v>
      </c>
      <c r="N567" s="12" t="n">
        <v>54701</v>
      </c>
      <c r="O567" s="12" t="n">
        <v>21887</v>
      </c>
      <c r="P567" s="12" t="n">
        <f aca="false">M567+N567+O567</f>
        <v>523255</v>
      </c>
      <c r="Q567" s="13" t="n">
        <f aca="false">IF(I567=0,0,P567/I567)</f>
        <v>0.0395303215633445</v>
      </c>
      <c r="R567" s="13" t="n">
        <v>0.0362</v>
      </c>
      <c r="S567" s="14" t="n">
        <v>3745562</v>
      </c>
      <c r="T567" s="14" t="n">
        <v>237823</v>
      </c>
      <c r="U567" s="14" t="n">
        <v>182437</v>
      </c>
      <c r="V567" s="14" t="n">
        <v>192878</v>
      </c>
      <c r="W567" s="14" t="n">
        <f aca="false">S567+T567+U567+V567</f>
        <v>4358700</v>
      </c>
      <c r="X567" s="15" t="n">
        <f aca="false">IF(P567=0,0,S567/P567)</f>
        <v>7.15819629052756</v>
      </c>
      <c r="Y567" s="15" t="n">
        <f aca="false">IF(J567=0,0,W567/J567)</f>
        <v>0.952531637962364</v>
      </c>
      <c r="Z567" s="14" t="n">
        <v>662995</v>
      </c>
      <c r="AA567" s="15" t="n">
        <f aca="false">IF(L567=0,0,Z567/L567)</f>
        <v>0.502180677335499</v>
      </c>
      <c r="AB567" s="12" t="n">
        <v>387904896</v>
      </c>
      <c r="AC567" s="16" t="n">
        <v>13.1</v>
      </c>
      <c r="AD567" s="16" t="n">
        <v>26</v>
      </c>
      <c r="AE567" s="13" t="n">
        <v>0.428</v>
      </c>
      <c r="AF567" s="13" t="n">
        <v>0.602</v>
      </c>
      <c r="AG567" s="13" t="n">
        <v>0.363</v>
      </c>
      <c r="AH567" s="13" t="n">
        <v>0.226</v>
      </c>
      <c r="AI567" s="17" t="n">
        <v>4.71</v>
      </c>
    </row>
    <row r="568" customFormat="false" ht="15" hidden="false" customHeight="false" outlineLevel="0" collapsed="false">
      <c r="A568" s="10" t="n">
        <v>45870</v>
      </c>
      <c r="B568" s="11" t="n">
        <f aca="false">YEAR(A568)</f>
        <v>2025</v>
      </c>
      <c r="C568" s="11" t="str">
        <f aca="false">"Q"&amp;ROUNDUP(MONTH(A568)/3,0)</f>
        <v>Q3</v>
      </c>
      <c r="D568" s="11" t="str">
        <f aca="false">B568&amp;"-"&amp;C568</f>
        <v>2025-Q3</v>
      </c>
      <c r="E568" s="11" t="n">
        <f aca="false">MONTH(A568)</f>
        <v>8</v>
      </c>
      <c r="F568" s="11" t="str">
        <f aca="false">TEXT(A568,"mmm")</f>
        <v>Aug</v>
      </c>
      <c r="G568" s="11" t="s">
        <v>207</v>
      </c>
      <c r="H568" s="11" t="s">
        <v>205</v>
      </c>
      <c r="I568" s="12" t="n">
        <v>4069608</v>
      </c>
      <c r="J568" s="12" t="n">
        <v>1198113</v>
      </c>
      <c r="K568" s="13" t="n">
        <f aca="false">IF(I568=0,0,J568/I568)</f>
        <v>0.294405013947289</v>
      </c>
      <c r="L568" s="12" t="n">
        <v>379949</v>
      </c>
      <c r="M568" s="12" t="n">
        <v>127480</v>
      </c>
      <c r="N568" s="12" t="n">
        <v>16045</v>
      </c>
      <c r="O568" s="12" t="n">
        <v>4117</v>
      </c>
      <c r="P568" s="12" t="n">
        <f aca="false">M568+N568+O568</f>
        <v>147642</v>
      </c>
      <c r="Q568" s="13" t="n">
        <f aca="false">IF(I568=0,0,P568/I568)</f>
        <v>0.0362791698856499</v>
      </c>
      <c r="R568" s="13" t="n">
        <v>0.0403</v>
      </c>
      <c r="S568" s="14" t="n">
        <v>1045112</v>
      </c>
      <c r="T568" s="14" t="n">
        <v>67964</v>
      </c>
      <c r="U568" s="14" t="n">
        <v>55781</v>
      </c>
      <c r="V568" s="14" t="n">
        <v>50908</v>
      </c>
      <c r="W568" s="14" t="n">
        <f aca="false">S568+T568+U568+V568</f>
        <v>1219765</v>
      </c>
      <c r="X568" s="15" t="n">
        <f aca="false">IF(P568=0,0,S568/P568)</f>
        <v>7.07869034556563</v>
      </c>
      <c r="Y568" s="15" t="n">
        <f aca="false">IF(J568=0,0,W568/J568)</f>
        <v>1.01807175116204</v>
      </c>
      <c r="Z568" s="14" t="n">
        <v>213619</v>
      </c>
      <c r="AA568" s="15" t="n">
        <f aca="false">IF(L568=0,0,Z568/L568)</f>
        <v>0.562230720438796</v>
      </c>
      <c r="AB568" s="12" t="n">
        <v>100816212</v>
      </c>
      <c r="AC568" s="16" t="n">
        <v>11.6</v>
      </c>
      <c r="AD568" s="16" t="n">
        <v>25.7</v>
      </c>
      <c r="AE568" s="13" t="n">
        <v>0.449</v>
      </c>
      <c r="AF568" s="13" t="n">
        <v>0.595</v>
      </c>
      <c r="AG568" s="13" t="n">
        <v>0.366</v>
      </c>
      <c r="AH568" s="13" t="n">
        <v>0.225</v>
      </c>
      <c r="AI568" s="17"/>
    </row>
    <row r="569" customFormat="false" ht="15" hidden="false" customHeight="false" outlineLevel="0" collapsed="false">
      <c r="A569" s="10" t="n">
        <v>45870</v>
      </c>
      <c r="B569" s="11" t="n">
        <f aca="false">YEAR(A569)</f>
        <v>2025</v>
      </c>
      <c r="C569" s="11" t="str">
        <f aca="false">"Q"&amp;ROUNDUP(MONTH(A569)/3,0)</f>
        <v>Q3</v>
      </c>
      <c r="D569" s="11" t="str">
        <f aca="false">B569&amp;"-"&amp;C569</f>
        <v>2025-Q3</v>
      </c>
      <c r="E569" s="11" t="n">
        <f aca="false">MONTH(A569)</f>
        <v>8</v>
      </c>
      <c r="F569" s="11" t="str">
        <f aca="false">TEXT(A569,"mmm")</f>
        <v>Aug</v>
      </c>
      <c r="G569" s="11" t="s">
        <v>208</v>
      </c>
      <c r="H569" s="11" t="s">
        <v>203</v>
      </c>
      <c r="I569" s="12" t="n">
        <v>8761350</v>
      </c>
      <c r="J569" s="12" t="n">
        <v>3324773</v>
      </c>
      <c r="K569" s="13" t="n">
        <f aca="false">IF(I569=0,0,J569/I569)</f>
        <v>0.379481815017092</v>
      </c>
      <c r="L569" s="12" t="n">
        <v>950910</v>
      </c>
      <c r="M569" s="12" t="n">
        <v>361658</v>
      </c>
      <c r="N569" s="12" t="n">
        <v>43683</v>
      </c>
      <c r="O569" s="12" t="n">
        <v>16817</v>
      </c>
      <c r="P569" s="12" t="n">
        <f aca="false">M569+N569+O569</f>
        <v>422158</v>
      </c>
      <c r="Q569" s="13" t="n">
        <f aca="false">IF(I569=0,0,P569/I569)</f>
        <v>0.0481841268754245</v>
      </c>
      <c r="R569" s="13" t="n">
        <v>0.0346</v>
      </c>
      <c r="S569" s="14" t="n">
        <v>3243422</v>
      </c>
      <c r="T569" s="14" t="n">
        <v>205667</v>
      </c>
      <c r="U569" s="14" t="n">
        <v>182914</v>
      </c>
      <c r="V569" s="14" t="n">
        <v>174738</v>
      </c>
      <c r="W569" s="14" t="n">
        <f aca="false">S569+T569+U569+V569</f>
        <v>3806741</v>
      </c>
      <c r="X569" s="15" t="n">
        <f aca="false">IF(P569=0,0,S569/P569)</f>
        <v>7.68295756565078</v>
      </c>
      <c r="Y569" s="15" t="n">
        <f aca="false">IF(J569=0,0,W569/J569)</f>
        <v>1.14496267865505</v>
      </c>
      <c r="Z569" s="14" t="n">
        <v>627340</v>
      </c>
      <c r="AA569" s="15" t="n">
        <f aca="false">IF(L569=0,0,Z569/L569)</f>
        <v>0.659725946724716</v>
      </c>
      <c r="AB569" s="12" t="n">
        <v>279556129</v>
      </c>
      <c r="AC569" s="16" t="n">
        <v>13.8</v>
      </c>
      <c r="AD569" s="16" t="n">
        <v>27.8</v>
      </c>
      <c r="AE569" s="13" t="n">
        <v>0.463</v>
      </c>
      <c r="AF569" s="13" t="n">
        <v>0.604</v>
      </c>
      <c r="AG569" s="13" t="n">
        <v>0.384</v>
      </c>
      <c r="AH569" s="13" t="n">
        <v>0.223</v>
      </c>
      <c r="AI569" s="17" t="n">
        <v>4.75</v>
      </c>
    </row>
    <row r="570" customFormat="false" ht="15" hidden="false" customHeight="false" outlineLevel="0" collapsed="false">
      <c r="A570" s="10" t="n">
        <v>45870</v>
      </c>
      <c r="B570" s="11" t="n">
        <f aca="false">YEAR(A570)</f>
        <v>2025</v>
      </c>
      <c r="C570" s="11" t="str">
        <f aca="false">"Q"&amp;ROUNDUP(MONTH(A570)/3,0)</f>
        <v>Q3</v>
      </c>
      <c r="D570" s="11" t="str">
        <f aca="false">B570&amp;"-"&amp;C570</f>
        <v>2025-Q3</v>
      </c>
      <c r="E570" s="11" t="n">
        <f aca="false">MONTH(A570)</f>
        <v>8</v>
      </c>
      <c r="F570" s="11" t="str">
        <f aca="false">TEXT(A570,"mmm")</f>
        <v>Aug</v>
      </c>
      <c r="G570" s="11" t="s">
        <v>208</v>
      </c>
      <c r="H570" s="11" t="s">
        <v>204</v>
      </c>
      <c r="I570" s="12" t="n">
        <v>10445814</v>
      </c>
      <c r="J570" s="12" t="n">
        <v>3654908</v>
      </c>
      <c r="K570" s="13" t="n">
        <f aca="false">IF(I570=0,0,J570/I570)</f>
        <v>0.349892119465271</v>
      </c>
      <c r="L570" s="12" t="n">
        <v>986361</v>
      </c>
      <c r="M570" s="12" t="n">
        <v>228177</v>
      </c>
      <c r="N570" s="12" t="n">
        <v>28498</v>
      </c>
      <c r="O570" s="12" t="n">
        <v>7905</v>
      </c>
      <c r="P570" s="12" t="n">
        <f aca="false">M570+N570+O570</f>
        <v>264580</v>
      </c>
      <c r="Q570" s="13" t="n">
        <f aca="false">IF(I570=0,0,P570/I570)</f>
        <v>0.0253288063524777</v>
      </c>
      <c r="R570" s="13" t="n">
        <v>0.0398</v>
      </c>
      <c r="S570" s="14" t="n">
        <v>1807874</v>
      </c>
      <c r="T570" s="14" t="n">
        <v>125482</v>
      </c>
      <c r="U570" s="14" t="n">
        <v>100416</v>
      </c>
      <c r="V570" s="14" t="n">
        <v>91149</v>
      </c>
      <c r="W570" s="14" t="n">
        <f aca="false">S570+T570+U570+V570</f>
        <v>2124921</v>
      </c>
      <c r="X570" s="15" t="n">
        <f aca="false">IF(P570=0,0,S570/P570)</f>
        <v>6.8329956912843</v>
      </c>
      <c r="Y570" s="15" t="n">
        <f aca="false">IF(J570=0,0,W570/J570)</f>
        <v>0.581388368735957</v>
      </c>
      <c r="Z570" s="14" t="n">
        <v>281985</v>
      </c>
      <c r="AA570" s="15" t="n">
        <f aca="false">IF(L570=0,0,Z570/L570)</f>
        <v>0.285884174252632</v>
      </c>
      <c r="AB570" s="12" t="n">
        <v>325021834</v>
      </c>
      <c r="AC570" s="16" t="n">
        <v>13.1</v>
      </c>
      <c r="AD570" s="16" t="n">
        <v>26.7</v>
      </c>
      <c r="AE570" s="13" t="n">
        <v>0.449</v>
      </c>
      <c r="AF570" s="13" t="n">
        <v>0.588</v>
      </c>
      <c r="AG570" s="13" t="n">
        <v>0.372</v>
      </c>
      <c r="AH570" s="13" t="n">
        <v>0.218</v>
      </c>
      <c r="AI570" s="17" t="n">
        <v>4.68</v>
      </c>
    </row>
    <row r="571" customFormat="false" ht="15" hidden="false" customHeight="false" outlineLevel="0" collapsed="false">
      <c r="A571" s="10" t="n">
        <v>45870</v>
      </c>
      <c r="B571" s="11" t="n">
        <f aca="false">YEAR(A571)</f>
        <v>2025</v>
      </c>
      <c r="C571" s="11" t="str">
        <f aca="false">"Q"&amp;ROUNDUP(MONTH(A571)/3,0)</f>
        <v>Q3</v>
      </c>
      <c r="D571" s="11" t="str">
        <f aca="false">B571&amp;"-"&amp;C571</f>
        <v>2025-Q3</v>
      </c>
      <c r="E571" s="11" t="n">
        <f aca="false">MONTH(A571)</f>
        <v>8</v>
      </c>
      <c r="F571" s="11" t="str">
        <f aca="false">TEXT(A571,"mmm")</f>
        <v>Aug</v>
      </c>
      <c r="G571" s="11" t="s">
        <v>208</v>
      </c>
      <c r="H571" s="11" t="s">
        <v>205</v>
      </c>
      <c r="I571" s="12" t="n">
        <v>3458713</v>
      </c>
      <c r="J571" s="12" t="n">
        <v>1091260</v>
      </c>
      <c r="K571" s="13" t="n">
        <f aca="false">IF(I571=0,0,J571/I571)</f>
        <v>0.315510422518434</v>
      </c>
      <c r="L571" s="12" t="n">
        <v>300709</v>
      </c>
      <c r="M571" s="12" t="n">
        <v>62652</v>
      </c>
      <c r="N571" s="12" t="n">
        <v>8376</v>
      </c>
      <c r="O571" s="12" t="n">
        <v>1443</v>
      </c>
      <c r="P571" s="12" t="n">
        <f aca="false">M571+N571+O571</f>
        <v>72471</v>
      </c>
      <c r="Q571" s="13" t="n">
        <f aca="false">IF(I571=0,0,P571/I571)</f>
        <v>0.0209531695749257</v>
      </c>
      <c r="R571" s="13" t="n">
        <v>0.0452</v>
      </c>
      <c r="S571" s="14" t="n">
        <v>472546</v>
      </c>
      <c r="T571" s="14" t="n">
        <v>33211</v>
      </c>
      <c r="U571" s="14" t="n">
        <v>27472</v>
      </c>
      <c r="V571" s="14" t="n">
        <v>22656</v>
      </c>
      <c r="W571" s="14" t="n">
        <f aca="false">S571+T571+U571+V571</f>
        <v>555885</v>
      </c>
      <c r="X571" s="15" t="n">
        <f aca="false">IF(P571=0,0,S571/P571)</f>
        <v>6.52048405569124</v>
      </c>
      <c r="Y571" s="15" t="n">
        <f aca="false">IF(J571=0,0,W571/J571)</f>
        <v>0.509397393838315</v>
      </c>
      <c r="Z571" s="14" t="n">
        <v>84827</v>
      </c>
      <c r="AA571" s="15" t="n">
        <f aca="false">IF(L571=0,0,Z571/L571)</f>
        <v>0.282089993980892</v>
      </c>
      <c r="AB571" s="12" t="n">
        <v>89084600</v>
      </c>
      <c r="AC571" s="16" t="n">
        <v>12.1</v>
      </c>
      <c r="AD571" s="16" t="n">
        <v>26.7</v>
      </c>
      <c r="AE571" s="13" t="n">
        <v>0.456</v>
      </c>
      <c r="AF571" s="13" t="n">
        <v>0.605</v>
      </c>
      <c r="AG571" s="13" t="n">
        <v>0.372</v>
      </c>
      <c r="AH571" s="13" t="n">
        <v>0.223</v>
      </c>
      <c r="AI571" s="17"/>
    </row>
    <row r="572" customFormat="false" ht="15" hidden="false" customHeight="false" outlineLevel="0" collapsed="false">
      <c r="A572" s="10" t="n">
        <v>45870</v>
      </c>
      <c r="B572" s="11" t="n">
        <f aca="false">YEAR(A572)</f>
        <v>2025</v>
      </c>
      <c r="C572" s="11" t="str">
        <f aca="false">"Q"&amp;ROUNDUP(MONTH(A572)/3,0)</f>
        <v>Q3</v>
      </c>
      <c r="D572" s="11" t="str">
        <f aca="false">B572&amp;"-"&amp;C572</f>
        <v>2025-Q3</v>
      </c>
      <c r="E572" s="11" t="n">
        <f aca="false">MONTH(A572)</f>
        <v>8</v>
      </c>
      <c r="F572" s="11" t="str">
        <f aca="false">TEXT(A572,"mmm")</f>
        <v>Aug</v>
      </c>
      <c r="G572" s="11" t="s">
        <v>209</v>
      </c>
      <c r="H572" s="11" t="s">
        <v>203</v>
      </c>
      <c r="I572" s="12" t="n">
        <v>4672084</v>
      </c>
      <c r="J572" s="12" t="n">
        <v>1717910</v>
      </c>
      <c r="K572" s="13" t="n">
        <f aca="false">IF(I572=0,0,J572/I572)</f>
        <v>0.367696728055403</v>
      </c>
      <c r="L572" s="12" t="n">
        <v>544221</v>
      </c>
      <c r="M572" s="12" t="n">
        <v>170291</v>
      </c>
      <c r="N572" s="12" t="n">
        <v>21222</v>
      </c>
      <c r="O572" s="12" t="n">
        <v>6304</v>
      </c>
      <c r="P572" s="12" t="n">
        <f aca="false">M572+N572+O572</f>
        <v>197817</v>
      </c>
      <c r="Q572" s="13" t="n">
        <f aca="false">IF(I572=0,0,P572/I572)</f>
        <v>0.0423402062120458</v>
      </c>
      <c r="R572" s="13" t="n">
        <v>0.0379</v>
      </c>
      <c r="S572" s="14" t="n">
        <v>1317529</v>
      </c>
      <c r="T572" s="14" t="n">
        <v>93113</v>
      </c>
      <c r="U572" s="14" t="n">
        <v>76679</v>
      </c>
      <c r="V572" s="14" t="n">
        <v>59717</v>
      </c>
      <c r="W572" s="14" t="n">
        <f aca="false">S572+T572+U572+V572</f>
        <v>1547038</v>
      </c>
      <c r="X572" s="15" t="n">
        <f aca="false">IF(P572=0,0,S572/P572)</f>
        <v>6.66034263991467</v>
      </c>
      <c r="Y572" s="15" t="n">
        <f aca="false">IF(J572=0,0,W572/J572)</f>
        <v>0.900534952354896</v>
      </c>
      <c r="Z572" s="14" t="n">
        <v>234460</v>
      </c>
      <c r="AA572" s="15" t="n">
        <f aca="false">IF(L572=0,0,Z572/L572)</f>
        <v>0.430817627397693</v>
      </c>
      <c r="AB572" s="12" t="n">
        <v>152325191</v>
      </c>
      <c r="AC572" s="16" t="n">
        <v>14</v>
      </c>
      <c r="AD572" s="16" t="n">
        <v>26.5</v>
      </c>
      <c r="AE572" s="13" t="n">
        <v>0.465</v>
      </c>
      <c r="AF572" s="13" t="n">
        <v>0.587</v>
      </c>
      <c r="AG572" s="13" t="n">
        <v>0.365</v>
      </c>
      <c r="AH572" s="13" t="n">
        <v>0.226</v>
      </c>
      <c r="AI572" s="17" t="n">
        <v>4.71</v>
      </c>
    </row>
    <row r="573" customFormat="false" ht="15" hidden="false" customHeight="false" outlineLevel="0" collapsed="false">
      <c r="A573" s="10" t="n">
        <v>45870</v>
      </c>
      <c r="B573" s="11" t="n">
        <f aca="false">YEAR(A573)</f>
        <v>2025</v>
      </c>
      <c r="C573" s="11" t="str">
        <f aca="false">"Q"&amp;ROUNDUP(MONTH(A573)/3,0)</f>
        <v>Q3</v>
      </c>
      <c r="D573" s="11" t="str">
        <f aca="false">B573&amp;"-"&amp;C573</f>
        <v>2025-Q3</v>
      </c>
      <c r="E573" s="11" t="n">
        <f aca="false">MONTH(A573)</f>
        <v>8</v>
      </c>
      <c r="F573" s="11" t="str">
        <f aca="false">TEXT(A573,"mmm")</f>
        <v>Aug</v>
      </c>
      <c r="G573" s="11" t="s">
        <v>209</v>
      </c>
      <c r="H573" s="11" t="s">
        <v>204</v>
      </c>
      <c r="I573" s="12" t="n">
        <v>6058314</v>
      </c>
      <c r="J573" s="12" t="n">
        <v>1999730</v>
      </c>
      <c r="K573" s="13" t="n">
        <f aca="false">IF(I573=0,0,J573/I573)</f>
        <v>0.330080283062251</v>
      </c>
      <c r="L573" s="12" t="n">
        <v>593125</v>
      </c>
      <c r="M573" s="12" t="n">
        <v>93137</v>
      </c>
      <c r="N573" s="12" t="n">
        <v>10816</v>
      </c>
      <c r="O573" s="12" t="n">
        <v>2546</v>
      </c>
      <c r="P573" s="12" t="n">
        <f aca="false">M573+N573+O573</f>
        <v>106499</v>
      </c>
      <c r="Q573" s="13" t="n">
        <f aca="false">IF(I573=0,0,P573/I573)</f>
        <v>0.0175789831956548</v>
      </c>
      <c r="R573" s="13" t="n">
        <v>0.037</v>
      </c>
      <c r="S573" s="14" t="n">
        <v>743097</v>
      </c>
      <c r="T573" s="14" t="n">
        <v>43693</v>
      </c>
      <c r="U573" s="14" t="n">
        <v>42434</v>
      </c>
      <c r="V573" s="14" t="n">
        <v>37418</v>
      </c>
      <c r="W573" s="14" t="n">
        <f aca="false">S573+T573+U573+V573</f>
        <v>866642</v>
      </c>
      <c r="X573" s="15" t="n">
        <f aca="false">IF(P573=0,0,S573/P573)</f>
        <v>6.97750213617029</v>
      </c>
      <c r="Y573" s="15" t="n">
        <f aca="false">IF(J573=0,0,W573/J573)</f>
        <v>0.433379506233342</v>
      </c>
      <c r="Z573" s="14" t="n">
        <v>135845</v>
      </c>
      <c r="AA573" s="15" t="n">
        <f aca="false">IF(L573=0,0,Z573/L573)</f>
        <v>0.229032665964173</v>
      </c>
      <c r="AB573" s="12" t="n">
        <v>166134723</v>
      </c>
      <c r="AC573" s="16" t="n">
        <v>13.4</v>
      </c>
      <c r="AD573" s="16" t="n">
        <v>26.2</v>
      </c>
      <c r="AE573" s="13" t="n">
        <v>0.455</v>
      </c>
      <c r="AF573" s="13" t="n">
        <v>0.611</v>
      </c>
      <c r="AG573" s="13" t="n">
        <v>0.381</v>
      </c>
      <c r="AH573" s="13" t="n">
        <v>0.228</v>
      </c>
      <c r="AI573" s="17" t="n">
        <v>4.69</v>
      </c>
    </row>
    <row r="574" customFormat="false" ht="15" hidden="false" customHeight="false" outlineLevel="0" collapsed="false">
      <c r="A574" s="10" t="n">
        <v>45870</v>
      </c>
      <c r="B574" s="11" t="n">
        <f aca="false">YEAR(A574)</f>
        <v>2025</v>
      </c>
      <c r="C574" s="11" t="str">
        <f aca="false">"Q"&amp;ROUNDUP(MONTH(A574)/3,0)</f>
        <v>Q3</v>
      </c>
      <c r="D574" s="11" t="str">
        <f aca="false">B574&amp;"-"&amp;C574</f>
        <v>2025-Q3</v>
      </c>
      <c r="E574" s="11" t="n">
        <f aca="false">MONTH(A574)</f>
        <v>8</v>
      </c>
      <c r="F574" s="11" t="str">
        <f aca="false">TEXT(A574,"mmm")</f>
        <v>Aug</v>
      </c>
      <c r="G574" s="11" t="s">
        <v>209</v>
      </c>
      <c r="H574" s="11" t="s">
        <v>205</v>
      </c>
      <c r="I574" s="12" t="n">
        <v>1766567</v>
      </c>
      <c r="J574" s="12" t="n">
        <v>539838</v>
      </c>
      <c r="K574" s="13" t="n">
        <f aca="false">IF(I574=0,0,J574/I574)</f>
        <v>0.305585918903727</v>
      </c>
      <c r="L574" s="12" t="n">
        <v>167329</v>
      </c>
      <c r="M574" s="12" t="n">
        <v>27085</v>
      </c>
      <c r="N574" s="12" t="n">
        <v>3271</v>
      </c>
      <c r="O574" s="12" t="n">
        <v>492</v>
      </c>
      <c r="P574" s="12" t="n">
        <f aca="false">M574+N574+O574</f>
        <v>30848</v>
      </c>
      <c r="Q574" s="13" t="n">
        <f aca="false">IF(I574=0,0,P574/I574)</f>
        <v>0.017462117202461</v>
      </c>
      <c r="R574" s="13" t="n">
        <v>0.0449</v>
      </c>
      <c r="S574" s="14" t="n">
        <v>212841</v>
      </c>
      <c r="T574" s="14" t="n">
        <v>12432</v>
      </c>
      <c r="U574" s="14" t="n">
        <v>11509</v>
      </c>
      <c r="V574" s="14" t="n">
        <v>11239</v>
      </c>
      <c r="W574" s="14" t="n">
        <f aca="false">S574+T574+U574+V574</f>
        <v>248021</v>
      </c>
      <c r="X574" s="15" t="n">
        <f aca="false">IF(P574=0,0,S574/P574)</f>
        <v>6.89966934647303</v>
      </c>
      <c r="Y574" s="15" t="n">
        <f aca="false">IF(J574=0,0,W574/J574)</f>
        <v>0.459435978941831</v>
      </c>
      <c r="Z574" s="14" t="n">
        <v>37153</v>
      </c>
      <c r="AA574" s="15" t="n">
        <f aca="false">IF(L574=0,0,Z574/L574)</f>
        <v>0.222035630404771</v>
      </c>
      <c r="AB574" s="12" t="n">
        <v>44103235</v>
      </c>
      <c r="AC574" s="16" t="n">
        <v>12</v>
      </c>
      <c r="AD574" s="16" t="n">
        <v>25.8</v>
      </c>
      <c r="AE574" s="13" t="n">
        <v>0.437</v>
      </c>
      <c r="AF574" s="13" t="n">
        <v>0.605</v>
      </c>
      <c r="AG574" s="13" t="n">
        <v>0.388</v>
      </c>
      <c r="AH574" s="13" t="n">
        <v>0.234</v>
      </c>
      <c r="AI574" s="17"/>
    </row>
    <row r="575" customFormat="false" ht="15" hidden="false" customHeight="false" outlineLevel="0" collapsed="false">
      <c r="A575" s="10" t="n">
        <v>45870</v>
      </c>
      <c r="B575" s="11" t="n">
        <f aca="false">YEAR(A575)</f>
        <v>2025</v>
      </c>
      <c r="C575" s="11" t="str">
        <f aca="false">"Q"&amp;ROUNDUP(MONTH(A575)/3,0)</f>
        <v>Q3</v>
      </c>
      <c r="D575" s="11" t="str">
        <f aca="false">B575&amp;"-"&amp;C575</f>
        <v>2025-Q3</v>
      </c>
      <c r="E575" s="11" t="n">
        <f aca="false">MONTH(A575)</f>
        <v>8</v>
      </c>
      <c r="F575" s="11" t="str">
        <f aca="false">TEXT(A575,"mmm")</f>
        <v>Aug</v>
      </c>
      <c r="G575" s="11" t="s">
        <v>210</v>
      </c>
      <c r="H575" s="11" t="s">
        <v>203</v>
      </c>
      <c r="I575" s="12" t="n">
        <v>9483360</v>
      </c>
      <c r="J575" s="12" t="n">
        <v>3300093</v>
      </c>
      <c r="K575" s="13" t="n">
        <f aca="false">IF(I575=0,0,J575/I575)</f>
        <v>0.347987738523055</v>
      </c>
      <c r="L575" s="12" t="n">
        <v>845684</v>
      </c>
      <c r="M575" s="12" t="n">
        <v>341904</v>
      </c>
      <c r="N575" s="12" t="n">
        <v>41400</v>
      </c>
      <c r="O575" s="12" t="n">
        <v>12618</v>
      </c>
      <c r="P575" s="12" t="n">
        <f aca="false">M575+N575+O575</f>
        <v>395922</v>
      </c>
      <c r="Q575" s="13" t="n">
        <f aca="false">IF(I575=0,0,P575/I575)</f>
        <v>0.0417491268917346</v>
      </c>
      <c r="R575" s="13" t="n">
        <v>0.0401</v>
      </c>
      <c r="S575" s="14" t="n">
        <v>2512073</v>
      </c>
      <c r="T575" s="14" t="n">
        <v>173972</v>
      </c>
      <c r="U575" s="14" t="n">
        <v>150452</v>
      </c>
      <c r="V575" s="14" t="n">
        <v>119396</v>
      </c>
      <c r="W575" s="14" t="n">
        <f aca="false">S575+T575+U575+V575</f>
        <v>2955893</v>
      </c>
      <c r="X575" s="15" t="n">
        <f aca="false">IF(P575=0,0,S575/P575)</f>
        <v>6.34486843368138</v>
      </c>
      <c r="Y575" s="15" t="n">
        <f aca="false">IF(J575=0,0,W575/J575)</f>
        <v>0.895699909063169</v>
      </c>
      <c r="Z575" s="14" t="n">
        <v>438185</v>
      </c>
      <c r="AA575" s="15" t="n">
        <f aca="false">IF(L575=0,0,Z575/L575)</f>
        <v>0.518142710515985</v>
      </c>
      <c r="AB575" s="12" t="n">
        <v>273209551</v>
      </c>
      <c r="AC575" s="16" t="n">
        <v>13.9</v>
      </c>
      <c r="AD575" s="16" t="n">
        <v>26.5</v>
      </c>
      <c r="AE575" s="13" t="n">
        <v>0.442</v>
      </c>
      <c r="AF575" s="13" t="n">
        <v>0.609</v>
      </c>
      <c r="AG575" s="13" t="n">
        <v>0.365</v>
      </c>
      <c r="AH575" s="13" t="n">
        <v>0.212</v>
      </c>
      <c r="AI575" s="17" t="n">
        <v>4.72</v>
      </c>
    </row>
    <row r="576" customFormat="false" ht="15" hidden="false" customHeight="false" outlineLevel="0" collapsed="false">
      <c r="A576" s="10" t="n">
        <v>45870</v>
      </c>
      <c r="B576" s="11" t="n">
        <f aca="false">YEAR(A576)</f>
        <v>2025</v>
      </c>
      <c r="C576" s="11" t="str">
        <f aca="false">"Q"&amp;ROUNDUP(MONTH(A576)/3,0)</f>
        <v>Q3</v>
      </c>
      <c r="D576" s="11" t="str">
        <f aca="false">B576&amp;"-"&amp;C576</f>
        <v>2025-Q3</v>
      </c>
      <c r="E576" s="11" t="n">
        <f aca="false">MONTH(A576)</f>
        <v>8</v>
      </c>
      <c r="F576" s="11" t="str">
        <f aca="false">TEXT(A576,"mmm")</f>
        <v>Aug</v>
      </c>
      <c r="G576" s="11" t="s">
        <v>210</v>
      </c>
      <c r="H576" s="11" t="s">
        <v>204</v>
      </c>
      <c r="I576" s="12" t="n">
        <v>11297894</v>
      </c>
      <c r="J576" s="12" t="n">
        <v>3714803</v>
      </c>
      <c r="K576" s="13" t="n">
        <f aca="false">IF(I576=0,0,J576/I576)</f>
        <v>0.328804908242191</v>
      </c>
      <c r="L576" s="12" t="n">
        <v>1147943</v>
      </c>
      <c r="M576" s="12" t="n">
        <v>201599</v>
      </c>
      <c r="N576" s="12" t="n">
        <v>24508</v>
      </c>
      <c r="O576" s="12" t="n">
        <v>5537</v>
      </c>
      <c r="P576" s="12" t="n">
        <f aca="false">M576+N576+O576</f>
        <v>231644</v>
      </c>
      <c r="Q576" s="13" t="n">
        <f aca="false">IF(I576=0,0,P576/I576)</f>
        <v>0.0205032902592288</v>
      </c>
      <c r="R576" s="13" t="n">
        <v>0.0351</v>
      </c>
      <c r="S576" s="14" t="n">
        <v>1465661</v>
      </c>
      <c r="T576" s="14" t="n">
        <v>99470</v>
      </c>
      <c r="U576" s="14" t="n">
        <v>77952</v>
      </c>
      <c r="V576" s="14" t="n">
        <v>70312</v>
      </c>
      <c r="W576" s="14" t="n">
        <f aca="false">S576+T576+U576+V576</f>
        <v>1713395</v>
      </c>
      <c r="X576" s="15" t="n">
        <f aca="false">IF(P576=0,0,S576/P576)</f>
        <v>6.32721331007926</v>
      </c>
      <c r="Y576" s="15" t="n">
        <f aca="false">IF(J576=0,0,W576/J576)</f>
        <v>0.461234418083543</v>
      </c>
      <c r="Z576" s="14" t="n">
        <v>268237</v>
      </c>
      <c r="AA576" s="15" t="n">
        <f aca="false">IF(L576=0,0,Z576/L576)</f>
        <v>0.233667525303957</v>
      </c>
      <c r="AB576" s="12" t="n">
        <v>304142926</v>
      </c>
      <c r="AC576" s="16" t="n">
        <v>13.5</v>
      </c>
      <c r="AD576" s="16" t="n">
        <v>26.1</v>
      </c>
      <c r="AE576" s="13" t="n">
        <v>0.451</v>
      </c>
      <c r="AF576" s="13" t="n">
        <v>0.618</v>
      </c>
      <c r="AG576" s="13" t="n">
        <v>0.367</v>
      </c>
      <c r="AH576" s="13" t="n">
        <v>0.225</v>
      </c>
      <c r="AI576" s="17" t="n">
        <v>4.7</v>
      </c>
    </row>
    <row r="577" customFormat="false" ht="15" hidden="false" customHeight="false" outlineLevel="0" collapsed="false">
      <c r="A577" s="10" t="n">
        <v>45870</v>
      </c>
      <c r="B577" s="11" t="n">
        <f aca="false">YEAR(A577)</f>
        <v>2025</v>
      </c>
      <c r="C577" s="11" t="str">
        <f aca="false">"Q"&amp;ROUNDUP(MONTH(A577)/3,0)</f>
        <v>Q3</v>
      </c>
      <c r="D577" s="11" t="str">
        <f aca="false">B577&amp;"-"&amp;C577</f>
        <v>2025-Q3</v>
      </c>
      <c r="E577" s="11" t="n">
        <f aca="false">MONTH(A577)</f>
        <v>8</v>
      </c>
      <c r="F577" s="11" t="str">
        <f aca="false">TEXT(A577,"mmm")</f>
        <v>Aug</v>
      </c>
      <c r="G577" s="11" t="s">
        <v>210</v>
      </c>
      <c r="H577" s="11" t="s">
        <v>205</v>
      </c>
      <c r="I577" s="12" t="n">
        <v>3659795</v>
      </c>
      <c r="J577" s="12" t="n">
        <v>1048446</v>
      </c>
      <c r="K577" s="13" t="n">
        <f aca="false">IF(I577=0,0,J577/I577)</f>
        <v>0.286476701563885</v>
      </c>
      <c r="L577" s="12" t="n">
        <v>308674</v>
      </c>
      <c r="M577" s="12" t="n">
        <v>49469</v>
      </c>
      <c r="N577" s="12" t="n">
        <v>6432</v>
      </c>
      <c r="O577" s="12" t="n">
        <v>905</v>
      </c>
      <c r="P577" s="12" t="n">
        <f aca="false">M577+N577+O577</f>
        <v>56806</v>
      </c>
      <c r="Q577" s="13" t="n">
        <f aca="false">IF(I577=0,0,P577/I577)</f>
        <v>0.0155216344084846</v>
      </c>
      <c r="R577" s="13" t="n">
        <v>0.0396</v>
      </c>
      <c r="S577" s="14" t="n">
        <v>403296</v>
      </c>
      <c r="T577" s="14" t="n">
        <v>25172</v>
      </c>
      <c r="U577" s="14" t="n">
        <v>21679</v>
      </c>
      <c r="V577" s="14" t="n">
        <v>20672</v>
      </c>
      <c r="W577" s="14" t="n">
        <f aca="false">S577+T577+U577+V577</f>
        <v>470819</v>
      </c>
      <c r="X577" s="15" t="n">
        <f aca="false">IF(P577=0,0,S577/P577)</f>
        <v>7.09953173960497</v>
      </c>
      <c r="Y577" s="15" t="n">
        <f aca="false">IF(J577=0,0,W577/J577)</f>
        <v>0.449063661838569</v>
      </c>
      <c r="Z577" s="14" t="n">
        <v>72057</v>
      </c>
      <c r="AA577" s="15" t="n">
        <f aca="false">IF(L577=0,0,Z577/L577)</f>
        <v>0.233440458218055</v>
      </c>
      <c r="AB577" s="12" t="n">
        <v>88737358</v>
      </c>
      <c r="AC577" s="16" t="n">
        <v>12.1</v>
      </c>
      <c r="AD577" s="16" t="n">
        <v>25.7</v>
      </c>
      <c r="AE577" s="13" t="n">
        <v>0.442</v>
      </c>
      <c r="AF577" s="13" t="n">
        <v>0.596</v>
      </c>
      <c r="AG577" s="13" t="n">
        <v>0.371</v>
      </c>
      <c r="AH577" s="13" t="n">
        <v>0.234</v>
      </c>
      <c r="AI577" s="17"/>
    </row>
    <row r="578" customFormat="false" ht="15" hidden="false" customHeight="false" outlineLevel="0" collapsed="false">
      <c r="A578" s="10" t="n">
        <v>45901</v>
      </c>
      <c r="B578" s="11" t="n">
        <f aca="false">YEAR(A578)</f>
        <v>2025</v>
      </c>
      <c r="C578" s="11" t="str">
        <f aca="false">"Q"&amp;ROUNDUP(MONTH(A578)/3,0)</f>
        <v>Q3</v>
      </c>
      <c r="D578" s="11" t="str">
        <f aca="false">B578&amp;"-"&amp;C578</f>
        <v>2025-Q3</v>
      </c>
      <c r="E578" s="11" t="n">
        <f aca="false">MONTH(A578)</f>
        <v>9</v>
      </c>
      <c r="F578" s="11" t="str">
        <f aca="false">TEXT(A578,"mmm")</f>
        <v>Sep</v>
      </c>
      <c r="G578" s="11" t="s">
        <v>202</v>
      </c>
      <c r="H578" s="11" t="s">
        <v>203</v>
      </c>
      <c r="I578" s="12" t="n">
        <v>10145249</v>
      </c>
      <c r="J578" s="12" t="n">
        <v>3828417</v>
      </c>
      <c r="K578" s="13" t="n">
        <f aca="false">IF(I578=0,0,J578/I578)</f>
        <v>0.377360575378682</v>
      </c>
      <c r="L578" s="12" t="n">
        <v>1174453</v>
      </c>
      <c r="M578" s="12" t="n">
        <v>2229825</v>
      </c>
      <c r="N578" s="12" t="n">
        <v>299336</v>
      </c>
      <c r="O578" s="12" t="n">
        <v>383301</v>
      </c>
      <c r="P578" s="12" t="n">
        <f aca="false">M578+N578+O578</f>
        <v>2912462</v>
      </c>
      <c r="Q578" s="13" t="n">
        <f aca="false">IF(I578=0,0,P578/I578)</f>
        <v>0.287076443367728</v>
      </c>
      <c r="R578" s="13" t="n">
        <v>0.0392</v>
      </c>
      <c r="S578" s="14" t="n">
        <v>21543383</v>
      </c>
      <c r="T578" s="14" t="n">
        <v>1345929</v>
      </c>
      <c r="U578" s="14" t="n">
        <v>1180905</v>
      </c>
      <c r="V578" s="14" t="n">
        <v>965576</v>
      </c>
      <c r="W578" s="14" t="n">
        <f aca="false">S578+T578+U578+V578</f>
        <v>25035793</v>
      </c>
      <c r="X578" s="15" t="n">
        <f aca="false">IF(P578=0,0,S578/P578)</f>
        <v>7.39696620934453</v>
      </c>
      <c r="Y578" s="15" t="n">
        <f aca="false">IF(J578=0,0,W578/J578)</f>
        <v>6.53946343880513</v>
      </c>
      <c r="Z578" s="14" t="n">
        <v>3361090</v>
      </c>
      <c r="AA578" s="15" t="n">
        <f aca="false">IF(L578=0,0,Z578/L578)</f>
        <v>2.86183440290927</v>
      </c>
      <c r="AB578" s="12" t="n">
        <v>338087524</v>
      </c>
      <c r="AC578" s="16" t="n">
        <v>13.8</v>
      </c>
      <c r="AD578" s="16" t="n">
        <v>27.5</v>
      </c>
      <c r="AE578" s="13" t="n">
        <v>0.44</v>
      </c>
      <c r="AF578" s="13" t="n">
        <v>0.603</v>
      </c>
      <c r="AG578" s="13" t="n">
        <v>0.372</v>
      </c>
      <c r="AH578" s="13" t="n">
        <v>0.219</v>
      </c>
      <c r="AI578" s="17" t="n">
        <v>4.76</v>
      </c>
    </row>
    <row r="579" customFormat="false" ht="15" hidden="false" customHeight="false" outlineLevel="0" collapsed="false">
      <c r="A579" s="10" t="n">
        <v>45901</v>
      </c>
      <c r="B579" s="11" t="n">
        <f aca="false">YEAR(A579)</f>
        <v>2025</v>
      </c>
      <c r="C579" s="11" t="str">
        <f aca="false">"Q"&amp;ROUNDUP(MONTH(A579)/3,0)</f>
        <v>Q3</v>
      </c>
      <c r="D579" s="11" t="str">
        <f aca="false">B579&amp;"-"&amp;C579</f>
        <v>2025-Q3</v>
      </c>
      <c r="E579" s="11" t="n">
        <f aca="false">MONTH(A579)</f>
        <v>9</v>
      </c>
      <c r="F579" s="11" t="str">
        <f aca="false">TEXT(A579,"mmm")</f>
        <v>Sep</v>
      </c>
      <c r="G579" s="11" t="s">
        <v>202</v>
      </c>
      <c r="H579" s="11" t="s">
        <v>204</v>
      </c>
      <c r="I579" s="12" t="n">
        <v>13107626</v>
      </c>
      <c r="J579" s="12" t="n">
        <v>4677910</v>
      </c>
      <c r="K579" s="13" t="n">
        <f aca="false">IF(I579=0,0,J579/I579)</f>
        <v>0.356884610531304</v>
      </c>
      <c r="L579" s="12" t="n">
        <v>1272127</v>
      </c>
      <c r="M579" s="12" t="n">
        <v>1342267</v>
      </c>
      <c r="N579" s="12" t="n">
        <v>170530</v>
      </c>
      <c r="O579" s="12" t="n">
        <v>165674</v>
      </c>
      <c r="P579" s="12" t="n">
        <f aca="false">M579+N579+O579</f>
        <v>1678471</v>
      </c>
      <c r="Q579" s="13" t="n">
        <f aca="false">IF(I579=0,0,P579/I579)</f>
        <v>0.128053012803386</v>
      </c>
      <c r="R579" s="13" t="n">
        <v>0.0384</v>
      </c>
      <c r="S579" s="14" t="n">
        <v>13108415</v>
      </c>
      <c r="T579" s="14" t="n">
        <v>816456</v>
      </c>
      <c r="U579" s="14" t="n">
        <v>785673</v>
      </c>
      <c r="V579" s="14" t="n">
        <v>679760</v>
      </c>
      <c r="W579" s="14" t="n">
        <f aca="false">S579+T579+U579+V579</f>
        <v>15390304</v>
      </c>
      <c r="X579" s="15" t="n">
        <f aca="false">IF(P579=0,0,S579/P579)</f>
        <v>7.8097357654675</v>
      </c>
      <c r="Y579" s="15" t="n">
        <f aca="false">IF(J579=0,0,W579/J579)</f>
        <v>3.28999574596348</v>
      </c>
      <c r="Z579" s="14" t="n">
        <v>2403120</v>
      </c>
      <c r="AA579" s="15" t="n">
        <f aca="false">IF(L579=0,0,Z579/L579)</f>
        <v>1.88905667437292</v>
      </c>
      <c r="AB579" s="12" t="n">
        <v>395911065</v>
      </c>
      <c r="AC579" s="16" t="n">
        <v>13.6</v>
      </c>
      <c r="AD579" s="16" t="n">
        <v>26.8</v>
      </c>
      <c r="AE579" s="13" t="n">
        <v>0.449</v>
      </c>
      <c r="AF579" s="13" t="n">
        <v>0.617</v>
      </c>
      <c r="AG579" s="13" t="n">
        <v>0.371</v>
      </c>
      <c r="AH579" s="13" t="n">
        <v>0.219</v>
      </c>
      <c r="AI579" s="17" t="n">
        <v>4.68</v>
      </c>
    </row>
    <row r="580" customFormat="false" ht="15" hidden="false" customHeight="false" outlineLevel="0" collapsed="false">
      <c r="A580" s="10" t="n">
        <v>45901</v>
      </c>
      <c r="B580" s="11" t="n">
        <f aca="false">YEAR(A580)</f>
        <v>2025</v>
      </c>
      <c r="C580" s="11" t="str">
        <f aca="false">"Q"&amp;ROUNDUP(MONTH(A580)/3,0)</f>
        <v>Q3</v>
      </c>
      <c r="D580" s="11" t="str">
        <f aca="false">B580&amp;"-"&amp;C580</f>
        <v>2025-Q3</v>
      </c>
      <c r="E580" s="11" t="n">
        <f aca="false">MONTH(A580)</f>
        <v>9</v>
      </c>
      <c r="F580" s="11" t="str">
        <f aca="false">TEXT(A580,"mmm")</f>
        <v>Sep</v>
      </c>
      <c r="G580" s="11" t="s">
        <v>202</v>
      </c>
      <c r="H580" s="11" t="s">
        <v>205</v>
      </c>
      <c r="I580" s="12" t="n">
        <v>3603587</v>
      </c>
      <c r="J580" s="12" t="n">
        <v>1139946</v>
      </c>
      <c r="K580" s="13" t="n">
        <f aca="false">IF(I580=0,0,J580/I580)</f>
        <v>0.316336472520297</v>
      </c>
      <c r="L580" s="12" t="n">
        <v>373566</v>
      </c>
      <c r="M580" s="12" t="n">
        <v>352817</v>
      </c>
      <c r="N580" s="12" t="n">
        <v>45346</v>
      </c>
      <c r="O580" s="12" t="n">
        <v>28046</v>
      </c>
      <c r="P580" s="12" t="n">
        <f aca="false">M580+N580+O580</f>
        <v>426209</v>
      </c>
      <c r="Q580" s="13" t="n">
        <f aca="false">IF(I580=0,0,P580/I580)</f>
        <v>0.118273542445347</v>
      </c>
      <c r="R580" s="13" t="n">
        <v>0.0387</v>
      </c>
      <c r="S580" s="14" t="n">
        <v>3238276</v>
      </c>
      <c r="T580" s="14" t="n">
        <v>209429</v>
      </c>
      <c r="U580" s="14" t="n">
        <v>180704</v>
      </c>
      <c r="V580" s="14" t="n">
        <v>165468</v>
      </c>
      <c r="W580" s="14" t="n">
        <f aca="false">S580+T580+U580+V580</f>
        <v>3793877</v>
      </c>
      <c r="X580" s="15" t="n">
        <f aca="false">IF(P580=0,0,S580/P580)</f>
        <v>7.59785926622854</v>
      </c>
      <c r="Y580" s="15" t="n">
        <f aca="false">IF(J580=0,0,W580/J580)</f>
        <v>3.32811992848784</v>
      </c>
      <c r="Z580" s="14" t="n">
        <v>538127</v>
      </c>
      <c r="AA580" s="15" t="n">
        <f aca="false">IF(L580=0,0,Z580/L580)</f>
        <v>1.44051385832758</v>
      </c>
      <c r="AB580" s="12" t="n">
        <v>97497017</v>
      </c>
      <c r="AC580" s="16" t="n">
        <v>12</v>
      </c>
      <c r="AD580" s="16" t="n">
        <v>27.6</v>
      </c>
      <c r="AE580" s="13" t="n">
        <v>0.455</v>
      </c>
      <c r="AF580" s="13" t="n">
        <v>0.615</v>
      </c>
      <c r="AG580" s="13" t="n">
        <v>0.37</v>
      </c>
      <c r="AH580" s="13" t="n">
        <v>0.224</v>
      </c>
      <c r="AI580" s="17"/>
    </row>
    <row r="581" customFormat="false" ht="15" hidden="false" customHeight="false" outlineLevel="0" collapsed="false">
      <c r="A581" s="10" t="n">
        <v>45901</v>
      </c>
      <c r="B581" s="11" t="n">
        <f aca="false">YEAR(A581)</f>
        <v>2025</v>
      </c>
      <c r="C581" s="11" t="str">
        <f aca="false">"Q"&amp;ROUNDUP(MONTH(A581)/3,0)</f>
        <v>Q3</v>
      </c>
      <c r="D581" s="11" t="str">
        <f aca="false">B581&amp;"-"&amp;C581</f>
        <v>2025-Q3</v>
      </c>
      <c r="E581" s="11" t="n">
        <f aca="false">MONTH(A581)</f>
        <v>9</v>
      </c>
      <c r="F581" s="11" t="str">
        <f aca="false">TEXT(A581,"mmm")</f>
        <v>Sep</v>
      </c>
      <c r="G581" s="11" t="s">
        <v>206</v>
      </c>
      <c r="H581" s="11" t="s">
        <v>203</v>
      </c>
      <c r="I581" s="12" t="n">
        <v>10455563</v>
      </c>
      <c r="J581" s="12" t="n">
        <v>4176963</v>
      </c>
      <c r="K581" s="13" t="n">
        <f aca="false">IF(I581=0,0,J581/I581)</f>
        <v>0.399496708116053</v>
      </c>
      <c r="L581" s="12" t="n">
        <v>1383242</v>
      </c>
      <c r="M581" s="12" t="n">
        <v>1406152</v>
      </c>
      <c r="N581" s="12" t="n">
        <v>178203</v>
      </c>
      <c r="O581" s="12" t="n">
        <v>142001</v>
      </c>
      <c r="P581" s="12" t="n">
        <f aca="false">M581+N581+O581</f>
        <v>1726356</v>
      </c>
      <c r="Q581" s="13" t="n">
        <f aca="false">IF(I581=0,0,P581/I581)</f>
        <v>0.165113633766063</v>
      </c>
      <c r="R581" s="13" t="n">
        <v>0.0363</v>
      </c>
      <c r="S581" s="14" t="n">
        <v>12479964</v>
      </c>
      <c r="T581" s="14" t="n">
        <v>734693</v>
      </c>
      <c r="U581" s="14" t="n">
        <v>694794</v>
      </c>
      <c r="V581" s="14" t="n">
        <v>613078</v>
      </c>
      <c r="W581" s="14" t="n">
        <f aca="false">S581+T581+U581+V581</f>
        <v>14522529</v>
      </c>
      <c r="X581" s="15" t="n">
        <f aca="false">IF(P581=0,0,S581/P581)</f>
        <v>7.22907905437812</v>
      </c>
      <c r="Y581" s="15" t="n">
        <f aca="false">IF(J581=0,0,W581/J581)</f>
        <v>3.47681533209655</v>
      </c>
      <c r="Z581" s="14" t="n">
        <v>2264053</v>
      </c>
      <c r="AA581" s="15" t="n">
        <f aca="false">IF(L581=0,0,Z581/L581)</f>
        <v>1.63677288572788</v>
      </c>
      <c r="AB581" s="12" t="n">
        <v>371438416</v>
      </c>
      <c r="AC581" s="16" t="n">
        <v>13.7</v>
      </c>
      <c r="AD581" s="16" t="n">
        <v>26.8</v>
      </c>
      <c r="AE581" s="13" t="n">
        <v>0.449</v>
      </c>
      <c r="AF581" s="13" t="n">
        <v>0.603</v>
      </c>
      <c r="AG581" s="13" t="n">
        <v>0.376</v>
      </c>
      <c r="AH581" s="13" t="n">
        <v>0.218</v>
      </c>
      <c r="AI581" s="17" t="n">
        <v>4.73</v>
      </c>
    </row>
    <row r="582" customFormat="false" ht="15" hidden="false" customHeight="false" outlineLevel="0" collapsed="false">
      <c r="A582" s="10" t="n">
        <v>45901</v>
      </c>
      <c r="B582" s="11" t="n">
        <f aca="false">YEAR(A582)</f>
        <v>2025</v>
      </c>
      <c r="C582" s="11" t="str">
        <f aca="false">"Q"&amp;ROUNDUP(MONTH(A582)/3,0)</f>
        <v>Q3</v>
      </c>
      <c r="D582" s="11" t="str">
        <f aca="false">B582&amp;"-"&amp;C582</f>
        <v>2025-Q3</v>
      </c>
      <c r="E582" s="11" t="n">
        <f aca="false">MONTH(A582)</f>
        <v>9</v>
      </c>
      <c r="F582" s="11" t="str">
        <f aca="false">TEXT(A582,"mmm")</f>
        <v>Sep</v>
      </c>
      <c r="G582" s="11" t="s">
        <v>206</v>
      </c>
      <c r="H582" s="11" t="s">
        <v>204</v>
      </c>
      <c r="I582" s="12" t="n">
        <v>13918033</v>
      </c>
      <c r="J582" s="12" t="n">
        <v>4979788</v>
      </c>
      <c r="K582" s="13" t="n">
        <f aca="false">IF(I582=0,0,J582/I582)</f>
        <v>0.357793949762872</v>
      </c>
      <c r="L582" s="12" t="n">
        <v>1764197</v>
      </c>
      <c r="M582" s="12" t="n">
        <v>838116</v>
      </c>
      <c r="N582" s="12" t="n">
        <v>118082</v>
      </c>
      <c r="O582" s="12" t="n">
        <v>62867</v>
      </c>
      <c r="P582" s="12" t="n">
        <f aca="false">M582+N582+O582</f>
        <v>1019065</v>
      </c>
      <c r="Q582" s="13" t="n">
        <f aca="false">IF(I582=0,0,P582/I582)</f>
        <v>0.0732190389259747</v>
      </c>
      <c r="R582" s="13" t="n">
        <v>0.0362</v>
      </c>
      <c r="S582" s="14" t="n">
        <v>6915436</v>
      </c>
      <c r="T582" s="14" t="n">
        <v>416637</v>
      </c>
      <c r="U582" s="14" t="n">
        <v>364402</v>
      </c>
      <c r="V582" s="14" t="n">
        <v>351075</v>
      </c>
      <c r="W582" s="14" t="n">
        <f aca="false">S582+T582+U582+V582</f>
        <v>8047550</v>
      </c>
      <c r="X582" s="15" t="n">
        <f aca="false">IF(P582=0,0,S582/P582)</f>
        <v>6.78605977047588</v>
      </c>
      <c r="Y582" s="15" t="n">
        <f aca="false">IF(J582=0,0,W582/J582)</f>
        <v>1.61604269097399</v>
      </c>
      <c r="Z582" s="14" t="n">
        <v>1378385</v>
      </c>
      <c r="AA582" s="15" t="n">
        <f aca="false">IF(L582=0,0,Z582/L582)</f>
        <v>0.781310137133211</v>
      </c>
      <c r="AB582" s="12" t="n">
        <v>427805839</v>
      </c>
      <c r="AC582" s="16" t="n">
        <v>13.4</v>
      </c>
      <c r="AD582" s="16" t="n">
        <v>26.3</v>
      </c>
      <c r="AE582" s="13" t="n">
        <v>0.447</v>
      </c>
      <c r="AF582" s="13" t="n">
        <v>0.604</v>
      </c>
      <c r="AG582" s="13" t="n">
        <v>0.371</v>
      </c>
      <c r="AH582" s="13" t="n">
        <v>0.228</v>
      </c>
      <c r="AI582" s="17" t="n">
        <v>4.71</v>
      </c>
    </row>
    <row r="583" customFormat="false" ht="15" hidden="false" customHeight="false" outlineLevel="0" collapsed="false">
      <c r="A583" s="10" t="n">
        <v>45901</v>
      </c>
      <c r="B583" s="11" t="n">
        <f aca="false">YEAR(A583)</f>
        <v>2025</v>
      </c>
      <c r="C583" s="11" t="str">
        <f aca="false">"Q"&amp;ROUNDUP(MONTH(A583)/3,0)</f>
        <v>Q3</v>
      </c>
      <c r="D583" s="11" t="str">
        <f aca="false">B583&amp;"-"&amp;C583</f>
        <v>2025-Q3</v>
      </c>
      <c r="E583" s="11" t="n">
        <f aca="false">MONTH(A583)</f>
        <v>9</v>
      </c>
      <c r="F583" s="11" t="str">
        <f aca="false">TEXT(A583,"mmm")</f>
        <v>Sep</v>
      </c>
      <c r="G583" s="11" t="s">
        <v>206</v>
      </c>
      <c r="H583" s="11" t="s">
        <v>205</v>
      </c>
      <c r="I583" s="12" t="n">
        <v>4532659</v>
      </c>
      <c r="J583" s="12" t="n">
        <v>1528053</v>
      </c>
      <c r="K583" s="13" t="n">
        <f aca="false">IF(I583=0,0,J583/I583)</f>
        <v>0.337120661404266</v>
      </c>
      <c r="L583" s="12" t="n">
        <v>459401</v>
      </c>
      <c r="M583" s="12" t="n">
        <v>227554</v>
      </c>
      <c r="N583" s="12" t="n">
        <v>27883</v>
      </c>
      <c r="O583" s="12" t="n">
        <v>10956</v>
      </c>
      <c r="P583" s="12" t="n">
        <f aca="false">M583+N583+O583</f>
        <v>266393</v>
      </c>
      <c r="Q583" s="13" t="n">
        <f aca="false">IF(I583=0,0,P583/I583)</f>
        <v>0.0587719040854386</v>
      </c>
      <c r="R583" s="13" t="n">
        <v>0.0385</v>
      </c>
      <c r="S583" s="14" t="n">
        <v>2014919</v>
      </c>
      <c r="T583" s="14" t="n">
        <v>123839</v>
      </c>
      <c r="U583" s="14" t="n">
        <v>110617</v>
      </c>
      <c r="V583" s="14" t="n">
        <v>102994</v>
      </c>
      <c r="W583" s="14" t="n">
        <f aca="false">S583+T583+U583+V583</f>
        <v>2352369</v>
      </c>
      <c r="X583" s="15" t="n">
        <f aca="false">IF(P583=0,0,S583/P583)</f>
        <v>7.56370850585413</v>
      </c>
      <c r="Y583" s="15" t="n">
        <f aca="false">IF(J583=0,0,W583/J583)</f>
        <v>1.539455110523</v>
      </c>
      <c r="Z583" s="14" t="n">
        <v>364521</v>
      </c>
      <c r="AA583" s="15" t="n">
        <f aca="false">IF(L583=0,0,Z583/L583)</f>
        <v>0.79347019270746</v>
      </c>
      <c r="AB583" s="12" t="n">
        <v>125717531</v>
      </c>
      <c r="AC583" s="16" t="n">
        <v>11.9</v>
      </c>
      <c r="AD583" s="16" t="n">
        <v>26.1</v>
      </c>
      <c r="AE583" s="13" t="n">
        <v>0.45</v>
      </c>
      <c r="AF583" s="13" t="n">
        <v>0.606</v>
      </c>
      <c r="AG583" s="13" t="n">
        <v>0.373</v>
      </c>
      <c r="AH583" s="13" t="n">
        <v>0.22</v>
      </c>
      <c r="AI583" s="17"/>
    </row>
    <row r="584" customFormat="false" ht="15" hidden="false" customHeight="false" outlineLevel="0" collapsed="false">
      <c r="A584" s="10" t="n">
        <v>45901</v>
      </c>
      <c r="B584" s="11" t="n">
        <f aca="false">YEAR(A584)</f>
        <v>2025</v>
      </c>
      <c r="C584" s="11" t="str">
        <f aca="false">"Q"&amp;ROUNDUP(MONTH(A584)/3,0)</f>
        <v>Q3</v>
      </c>
      <c r="D584" s="11" t="str">
        <f aca="false">B584&amp;"-"&amp;C584</f>
        <v>2025-Q3</v>
      </c>
      <c r="E584" s="11" t="n">
        <f aca="false">MONTH(A584)</f>
        <v>9</v>
      </c>
      <c r="F584" s="11" t="str">
        <f aca="false">TEXT(A584,"mmm")</f>
        <v>Sep</v>
      </c>
      <c r="G584" s="11" t="s">
        <v>207</v>
      </c>
      <c r="H584" s="11" t="s">
        <v>203</v>
      </c>
      <c r="I584" s="12" t="n">
        <v>11092275</v>
      </c>
      <c r="J584" s="12" t="n">
        <v>4097836</v>
      </c>
      <c r="K584" s="13" t="n">
        <f aca="false">IF(I584=0,0,J584/I584)</f>
        <v>0.369431518782216</v>
      </c>
      <c r="L584" s="12" t="n">
        <v>1294665</v>
      </c>
      <c r="M584" s="12" t="n">
        <v>808898</v>
      </c>
      <c r="N584" s="12" t="n">
        <v>101561</v>
      </c>
      <c r="O584" s="12" t="n">
        <v>55625</v>
      </c>
      <c r="P584" s="12" t="n">
        <f aca="false">M584+N584+O584</f>
        <v>966084</v>
      </c>
      <c r="Q584" s="13" t="n">
        <f aca="false">IF(I584=0,0,P584/I584)</f>
        <v>0.087095208151619</v>
      </c>
      <c r="R584" s="13" t="n">
        <v>0.034</v>
      </c>
      <c r="S584" s="14" t="n">
        <v>7087662</v>
      </c>
      <c r="T584" s="14" t="n">
        <v>433446</v>
      </c>
      <c r="U584" s="14" t="n">
        <v>424683</v>
      </c>
      <c r="V584" s="14" t="n">
        <v>365237</v>
      </c>
      <c r="W584" s="14" t="n">
        <f aca="false">S584+T584+U584+V584</f>
        <v>8311028</v>
      </c>
      <c r="X584" s="15" t="n">
        <f aca="false">IF(P584=0,0,S584/P584)</f>
        <v>7.33648626827481</v>
      </c>
      <c r="Y584" s="15" t="n">
        <f aca="false">IF(J584=0,0,W584/J584)</f>
        <v>2.02815046771027</v>
      </c>
      <c r="Z584" s="14" t="n">
        <v>1376957</v>
      </c>
      <c r="AA584" s="15" t="n">
        <f aca="false">IF(L584=0,0,Z584/L584)</f>
        <v>1.06356238872604</v>
      </c>
      <c r="AB584" s="12" t="n">
        <v>372685905</v>
      </c>
      <c r="AC584" s="16" t="n">
        <v>13.7</v>
      </c>
      <c r="AD584" s="16" t="n">
        <v>26.9</v>
      </c>
      <c r="AE584" s="13" t="n">
        <v>0.445</v>
      </c>
      <c r="AF584" s="13" t="n">
        <v>0.607</v>
      </c>
      <c r="AG584" s="13" t="n">
        <v>0.374</v>
      </c>
      <c r="AH584" s="13" t="n">
        <v>0.228</v>
      </c>
      <c r="AI584" s="17" t="n">
        <v>4.75</v>
      </c>
    </row>
    <row r="585" customFormat="false" ht="15" hidden="false" customHeight="false" outlineLevel="0" collapsed="false">
      <c r="A585" s="10" t="n">
        <v>45901</v>
      </c>
      <c r="B585" s="11" t="n">
        <f aca="false">YEAR(A585)</f>
        <v>2025</v>
      </c>
      <c r="C585" s="11" t="str">
        <f aca="false">"Q"&amp;ROUNDUP(MONTH(A585)/3,0)</f>
        <v>Q3</v>
      </c>
      <c r="D585" s="11" t="str">
        <f aca="false">B585&amp;"-"&amp;C585</f>
        <v>2025-Q3</v>
      </c>
      <c r="E585" s="11" t="n">
        <f aca="false">MONTH(A585)</f>
        <v>9</v>
      </c>
      <c r="F585" s="11" t="str">
        <f aca="false">TEXT(A585,"mmm")</f>
        <v>Sep</v>
      </c>
      <c r="G585" s="11" t="s">
        <v>207</v>
      </c>
      <c r="H585" s="11" t="s">
        <v>204</v>
      </c>
      <c r="I585" s="12" t="n">
        <v>14579729</v>
      </c>
      <c r="J585" s="12" t="n">
        <v>4926269</v>
      </c>
      <c r="K585" s="13" t="n">
        <f aca="false">IF(I585=0,0,J585/I585)</f>
        <v>0.337884812536639</v>
      </c>
      <c r="L585" s="12" t="n">
        <v>1467226</v>
      </c>
      <c r="M585" s="12" t="n">
        <v>497564</v>
      </c>
      <c r="N585" s="12" t="n">
        <v>64218</v>
      </c>
      <c r="O585" s="12" t="n">
        <v>25355</v>
      </c>
      <c r="P585" s="12" t="n">
        <f aca="false">M585+N585+O585</f>
        <v>587137</v>
      </c>
      <c r="Q585" s="13" t="n">
        <f aca="false">IF(I585=0,0,P585/I585)</f>
        <v>0.0402707759520084</v>
      </c>
      <c r="R585" s="13" t="n">
        <v>0.0386</v>
      </c>
      <c r="S585" s="14" t="n">
        <v>3889400</v>
      </c>
      <c r="T585" s="14" t="n">
        <v>232559</v>
      </c>
      <c r="U585" s="14" t="n">
        <v>206795</v>
      </c>
      <c r="V585" s="14" t="n">
        <v>196191</v>
      </c>
      <c r="W585" s="14" t="n">
        <f aca="false">S585+T585+U585+V585</f>
        <v>4524945</v>
      </c>
      <c r="X585" s="15" t="n">
        <f aca="false">IF(P585=0,0,S585/P585)</f>
        <v>6.62434832074967</v>
      </c>
      <c r="Y585" s="15" t="n">
        <f aca="false">IF(J585=0,0,W585/J585)</f>
        <v>0.918533884365632</v>
      </c>
      <c r="Z585" s="14" t="n">
        <v>703997</v>
      </c>
      <c r="AA585" s="15" t="n">
        <f aca="false">IF(L585=0,0,Z585/L585)</f>
        <v>0.479814970563499</v>
      </c>
      <c r="AB585" s="12" t="n">
        <v>430917116</v>
      </c>
      <c r="AC585" s="16" t="n">
        <v>13.2</v>
      </c>
      <c r="AD585" s="16" t="n">
        <v>27.5</v>
      </c>
      <c r="AE585" s="13" t="n">
        <v>0.448</v>
      </c>
      <c r="AF585" s="13" t="n">
        <v>0.592</v>
      </c>
      <c r="AG585" s="13" t="n">
        <v>0.372</v>
      </c>
      <c r="AH585" s="13" t="n">
        <v>0.218</v>
      </c>
      <c r="AI585" s="17" t="n">
        <v>4.69</v>
      </c>
    </row>
    <row r="586" customFormat="false" ht="15" hidden="false" customHeight="false" outlineLevel="0" collapsed="false">
      <c r="A586" s="10" t="n">
        <v>45901</v>
      </c>
      <c r="B586" s="11" t="n">
        <f aca="false">YEAR(A586)</f>
        <v>2025</v>
      </c>
      <c r="C586" s="11" t="str">
        <f aca="false">"Q"&amp;ROUNDUP(MONTH(A586)/3,0)</f>
        <v>Q3</v>
      </c>
      <c r="D586" s="11" t="str">
        <f aca="false">B586&amp;"-"&amp;C586</f>
        <v>2025-Q3</v>
      </c>
      <c r="E586" s="11" t="n">
        <f aca="false">MONTH(A586)</f>
        <v>9</v>
      </c>
      <c r="F586" s="11" t="str">
        <f aca="false">TEXT(A586,"mmm")</f>
        <v>Sep</v>
      </c>
      <c r="G586" s="11" t="s">
        <v>207</v>
      </c>
      <c r="H586" s="11" t="s">
        <v>205</v>
      </c>
      <c r="I586" s="12" t="n">
        <v>4327107</v>
      </c>
      <c r="J586" s="12" t="n">
        <v>1358257</v>
      </c>
      <c r="K586" s="13" t="n">
        <f aca="false">IF(I586=0,0,J586/I586)</f>
        <v>0.313894941816784</v>
      </c>
      <c r="L586" s="12" t="n">
        <v>349852</v>
      </c>
      <c r="M586" s="12" t="n">
        <v>128300</v>
      </c>
      <c r="N586" s="12" t="n">
        <v>15594</v>
      </c>
      <c r="O586" s="12" t="n">
        <v>4265</v>
      </c>
      <c r="P586" s="12" t="n">
        <f aca="false">M586+N586+O586</f>
        <v>148159</v>
      </c>
      <c r="Q586" s="13" t="n">
        <f aca="false">IF(I586=0,0,P586/I586)</f>
        <v>0.0342397356940792</v>
      </c>
      <c r="R586" s="13" t="n">
        <v>0.0385</v>
      </c>
      <c r="S586" s="14" t="n">
        <v>1066257</v>
      </c>
      <c r="T586" s="14" t="n">
        <v>61286</v>
      </c>
      <c r="U586" s="14" t="n">
        <v>60645</v>
      </c>
      <c r="V586" s="14" t="n">
        <v>46669</v>
      </c>
      <c r="W586" s="14" t="n">
        <f aca="false">S586+T586+U586+V586</f>
        <v>1234857</v>
      </c>
      <c r="X586" s="15" t="n">
        <f aca="false">IF(P586=0,0,S586/P586)</f>
        <v>7.19670759116895</v>
      </c>
      <c r="Y586" s="15" t="n">
        <f aca="false">IF(J586=0,0,W586/J586)</f>
        <v>0.909148268700253</v>
      </c>
      <c r="Z586" s="14" t="n">
        <v>208544</v>
      </c>
      <c r="AA586" s="15" t="n">
        <f aca="false">IF(L586=0,0,Z586/L586)</f>
        <v>0.596092061786127</v>
      </c>
      <c r="AB586" s="12" t="n">
        <v>123815558</v>
      </c>
      <c r="AC586" s="16" t="n">
        <v>12.2</v>
      </c>
      <c r="AD586" s="16" t="n">
        <v>27.3</v>
      </c>
      <c r="AE586" s="13" t="n">
        <v>0.464</v>
      </c>
      <c r="AF586" s="13" t="n">
        <v>0.613</v>
      </c>
      <c r="AG586" s="13" t="n">
        <v>0.381</v>
      </c>
      <c r="AH586" s="13" t="n">
        <v>0.212</v>
      </c>
      <c r="AI586" s="17"/>
    </row>
    <row r="587" customFormat="false" ht="15" hidden="false" customHeight="false" outlineLevel="0" collapsed="false">
      <c r="A587" s="10" t="n">
        <v>45901</v>
      </c>
      <c r="B587" s="11" t="n">
        <f aca="false">YEAR(A587)</f>
        <v>2025</v>
      </c>
      <c r="C587" s="11" t="str">
        <f aca="false">"Q"&amp;ROUNDUP(MONTH(A587)/3,0)</f>
        <v>Q3</v>
      </c>
      <c r="D587" s="11" t="str">
        <f aca="false">B587&amp;"-"&amp;C587</f>
        <v>2025-Q3</v>
      </c>
      <c r="E587" s="11" t="n">
        <f aca="false">MONTH(A587)</f>
        <v>9</v>
      </c>
      <c r="F587" s="11" t="str">
        <f aca="false">TEXT(A587,"mmm")</f>
        <v>Sep</v>
      </c>
      <c r="G587" s="11" t="s">
        <v>208</v>
      </c>
      <c r="H587" s="11" t="s">
        <v>203</v>
      </c>
      <c r="I587" s="12" t="n">
        <v>9219089</v>
      </c>
      <c r="J587" s="12" t="n">
        <v>3466155</v>
      </c>
      <c r="K587" s="13" t="n">
        <f aca="false">IF(I587=0,0,J587/I587)</f>
        <v>0.375975869199224</v>
      </c>
      <c r="L587" s="12" t="n">
        <v>1041309</v>
      </c>
      <c r="M587" s="12" t="n">
        <v>381931</v>
      </c>
      <c r="N587" s="12" t="n">
        <v>45461</v>
      </c>
      <c r="O587" s="12" t="n">
        <v>18331</v>
      </c>
      <c r="P587" s="12" t="n">
        <f aca="false">M587+N587+O587</f>
        <v>445723</v>
      </c>
      <c r="Q587" s="13" t="n">
        <f aca="false">IF(I587=0,0,P587/I587)</f>
        <v>0.0483478356700971</v>
      </c>
      <c r="R587" s="13" t="n">
        <v>0.0407</v>
      </c>
      <c r="S587" s="14" t="n">
        <v>2973078</v>
      </c>
      <c r="T587" s="14" t="n">
        <v>180712</v>
      </c>
      <c r="U587" s="14" t="n">
        <v>161677</v>
      </c>
      <c r="V587" s="14" t="n">
        <v>151407</v>
      </c>
      <c r="W587" s="14" t="n">
        <f aca="false">S587+T587+U587+V587</f>
        <v>3466874</v>
      </c>
      <c r="X587" s="15" t="n">
        <f aca="false">IF(P587=0,0,S587/P587)</f>
        <v>6.6702368960094</v>
      </c>
      <c r="Y587" s="15" t="n">
        <f aca="false">IF(J587=0,0,W587/J587)</f>
        <v>1.00020743446268</v>
      </c>
      <c r="Z587" s="14" t="n">
        <v>539524</v>
      </c>
      <c r="AA587" s="15" t="n">
        <f aca="false">IF(L587=0,0,Z587/L587)</f>
        <v>0.518120942006647</v>
      </c>
      <c r="AB587" s="12" t="n">
        <v>311018529</v>
      </c>
      <c r="AC587" s="16" t="n">
        <v>13.9</v>
      </c>
      <c r="AD587" s="16" t="n">
        <v>27.1</v>
      </c>
      <c r="AE587" s="13" t="n">
        <v>0.448</v>
      </c>
      <c r="AF587" s="13" t="n">
        <v>0.602</v>
      </c>
      <c r="AG587" s="13" t="n">
        <v>0.379</v>
      </c>
      <c r="AH587" s="13" t="n">
        <v>0.223</v>
      </c>
      <c r="AI587" s="17" t="n">
        <v>4.75</v>
      </c>
    </row>
    <row r="588" customFormat="false" ht="15" hidden="false" customHeight="false" outlineLevel="0" collapsed="false">
      <c r="A588" s="10" t="n">
        <v>45901</v>
      </c>
      <c r="B588" s="11" t="n">
        <f aca="false">YEAR(A588)</f>
        <v>2025</v>
      </c>
      <c r="C588" s="11" t="str">
        <f aca="false">"Q"&amp;ROUNDUP(MONTH(A588)/3,0)</f>
        <v>Q3</v>
      </c>
      <c r="D588" s="11" t="str">
        <f aca="false">B588&amp;"-"&amp;C588</f>
        <v>2025-Q3</v>
      </c>
      <c r="E588" s="11" t="n">
        <f aca="false">MONTH(A588)</f>
        <v>9</v>
      </c>
      <c r="F588" s="11" t="str">
        <f aca="false">TEXT(A588,"mmm")</f>
        <v>Sep</v>
      </c>
      <c r="G588" s="11" t="s">
        <v>208</v>
      </c>
      <c r="H588" s="11" t="s">
        <v>204</v>
      </c>
      <c r="I588" s="12" t="n">
        <v>11018093</v>
      </c>
      <c r="J588" s="12" t="n">
        <v>3876265</v>
      </c>
      <c r="K588" s="13" t="n">
        <f aca="false">IF(I588=0,0,J588/I588)</f>
        <v>0.351809065325551</v>
      </c>
      <c r="L588" s="12" t="n">
        <v>1213753</v>
      </c>
      <c r="M588" s="12" t="n">
        <v>210556</v>
      </c>
      <c r="N588" s="12" t="n">
        <v>29683</v>
      </c>
      <c r="O588" s="12" t="n">
        <v>7646</v>
      </c>
      <c r="P588" s="12" t="n">
        <f aca="false">M588+N588+O588</f>
        <v>247885</v>
      </c>
      <c r="Q588" s="13" t="n">
        <f aca="false">IF(I588=0,0,P588/I588)</f>
        <v>0.0224979948889522</v>
      </c>
      <c r="R588" s="13" t="n">
        <v>0.0386</v>
      </c>
      <c r="S588" s="14" t="n">
        <v>1894143</v>
      </c>
      <c r="T588" s="14" t="n">
        <v>117400</v>
      </c>
      <c r="U588" s="14" t="n">
        <v>115337</v>
      </c>
      <c r="V588" s="14" t="n">
        <v>101625</v>
      </c>
      <c r="W588" s="14" t="n">
        <f aca="false">S588+T588+U588+V588</f>
        <v>2228505</v>
      </c>
      <c r="X588" s="15" t="n">
        <f aca="false">IF(P588=0,0,S588/P588)</f>
        <v>7.64121669322468</v>
      </c>
      <c r="Y588" s="15" t="n">
        <f aca="false">IF(J588=0,0,W588/J588)</f>
        <v>0.574910384093967</v>
      </c>
      <c r="Z588" s="14" t="n">
        <v>294270</v>
      </c>
      <c r="AA588" s="15" t="n">
        <f aca="false">IF(L588=0,0,Z588/L588)</f>
        <v>0.242446362645448</v>
      </c>
      <c r="AB588" s="12" t="n">
        <v>319604389</v>
      </c>
      <c r="AC588" s="16" t="n">
        <v>13.3</v>
      </c>
      <c r="AD588" s="16" t="n">
        <v>27.8</v>
      </c>
      <c r="AE588" s="13" t="n">
        <v>0.448</v>
      </c>
      <c r="AF588" s="13" t="n">
        <v>0.604</v>
      </c>
      <c r="AG588" s="13" t="n">
        <v>0.366</v>
      </c>
      <c r="AH588" s="13" t="n">
        <v>0.215</v>
      </c>
      <c r="AI588" s="17" t="n">
        <v>4.71</v>
      </c>
    </row>
    <row r="589" customFormat="false" ht="15" hidden="false" customHeight="false" outlineLevel="0" collapsed="false">
      <c r="A589" s="10" t="n">
        <v>45901</v>
      </c>
      <c r="B589" s="11" t="n">
        <f aca="false">YEAR(A589)</f>
        <v>2025</v>
      </c>
      <c r="C589" s="11" t="str">
        <f aca="false">"Q"&amp;ROUNDUP(MONTH(A589)/3,0)</f>
        <v>Q3</v>
      </c>
      <c r="D589" s="11" t="str">
        <f aca="false">B589&amp;"-"&amp;C589</f>
        <v>2025-Q3</v>
      </c>
      <c r="E589" s="11" t="n">
        <f aca="false">MONTH(A589)</f>
        <v>9</v>
      </c>
      <c r="F589" s="11" t="str">
        <f aca="false">TEXT(A589,"mmm")</f>
        <v>Sep</v>
      </c>
      <c r="G589" s="11" t="s">
        <v>208</v>
      </c>
      <c r="H589" s="11" t="s">
        <v>205</v>
      </c>
      <c r="I589" s="12" t="n">
        <v>3469584</v>
      </c>
      <c r="J589" s="12" t="n">
        <v>1103511</v>
      </c>
      <c r="K589" s="13" t="n">
        <f aca="false">IF(I589=0,0,J589/I589)</f>
        <v>0.31805282708244</v>
      </c>
      <c r="L589" s="12" t="n">
        <v>276816</v>
      </c>
      <c r="M589" s="12" t="n">
        <v>60492</v>
      </c>
      <c r="N589" s="12" t="n">
        <v>7409</v>
      </c>
      <c r="O589" s="12" t="n">
        <v>1426</v>
      </c>
      <c r="P589" s="12" t="n">
        <f aca="false">M589+N589+O589</f>
        <v>69327</v>
      </c>
      <c r="Q589" s="13" t="n">
        <f aca="false">IF(I589=0,0,P589/I589)</f>
        <v>0.019981357995656</v>
      </c>
      <c r="R589" s="13" t="n">
        <v>0.0399</v>
      </c>
      <c r="S589" s="14" t="n">
        <v>550845</v>
      </c>
      <c r="T589" s="14" t="n">
        <v>33162</v>
      </c>
      <c r="U589" s="14" t="n">
        <v>33712</v>
      </c>
      <c r="V589" s="14" t="n">
        <v>27354</v>
      </c>
      <c r="W589" s="14" t="n">
        <f aca="false">S589+T589+U589+V589</f>
        <v>645073</v>
      </c>
      <c r="X589" s="15" t="n">
        <f aca="false">IF(P589=0,0,S589/P589)</f>
        <v>7.9456056082046</v>
      </c>
      <c r="Y589" s="15" t="n">
        <f aca="false">IF(J589=0,0,W589/J589)</f>
        <v>0.584564177430039</v>
      </c>
      <c r="Z589" s="14" t="n">
        <v>89078</v>
      </c>
      <c r="AA589" s="15" t="n">
        <f aca="false">IF(L589=0,0,Z589/L589)</f>
        <v>0.321794982948962</v>
      </c>
      <c r="AB589" s="12" t="n">
        <v>96230308</v>
      </c>
      <c r="AC589" s="16" t="n">
        <v>12.1</v>
      </c>
      <c r="AD589" s="16" t="n">
        <v>27.3</v>
      </c>
      <c r="AE589" s="13" t="n">
        <v>0.463</v>
      </c>
      <c r="AF589" s="13" t="n">
        <v>0.605</v>
      </c>
      <c r="AG589" s="13" t="n">
        <v>0.36</v>
      </c>
      <c r="AH589" s="13" t="n">
        <v>0.225</v>
      </c>
      <c r="AI589" s="17"/>
    </row>
    <row r="590" customFormat="false" ht="15" hidden="false" customHeight="false" outlineLevel="0" collapsed="false">
      <c r="A590" s="10" t="n">
        <v>45901</v>
      </c>
      <c r="B590" s="11" t="n">
        <f aca="false">YEAR(A590)</f>
        <v>2025</v>
      </c>
      <c r="C590" s="11" t="str">
        <f aca="false">"Q"&amp;ROUNDUP(MONTH(A590)/3,0)</f>
        <v>Q3</v>
      </c>
      <c r="D590" s="11" t="str">
        <f aca="false">B590&amp;"-"&amp;C590</f>
        <v>2025-Q3</v>
      </c>
      <c r="E590" s="11" t="n">
        <f aca="false">MONTH(A590)</f>
        <v>9</v>
      </c>
      <c r="F590" s="11" t="str">
        <f aca="false">TEXT(A590,"mmm")</f>
        <v>Sep</v>
      </c>
      <c r="G590" s="11" t="s">
        <v>209</v>
      </c>
      <c r="H590" s="11" t="s">
        <v>203</v>
      </c>
      <c r="I590" s="12" t="n">
        <v>5033367</v>
      </c>
      <c r="J590" s="12" t="n">
        <v>1851911</v>
      </c>
      <c r="K590" s="13" t="n">
        <f aca="false">IF(I590=0,0,J590/I590)</f>
        <v>0.367926876780493</v>
      </c>
      <c r="L590" s="12" t="n">
        <v>551707</v>
      </c>
      <c r="M590" s="12" t="n">
        <v>172889</v>
      </c>
      <c r="N590" s="12" t="n">
        <v>21183</v>
      </c>
      <c r="O590" s="12" t="n">
        <v>6603</v>
      </c>
      <c r="P590" s="12" t="n">
        <f aca="false">M590+N590+O590</f>
        <v>200675</v>
      </c>
      <c r="Q590" s="13" t="n">
        <f aca="false">IF(I590=0,0,P590/I590)</f>
        <v>0.0398689386249801</v>
      </c>
      <c r="R590" s="13" t="n">
        <v>0.0385</v>
      </c>
      <c r="S590" s="14" t="n">
        <v>1396634</v>
      </c>
      <c r="T590" s="14" t="n">
        <v>87136</v>
      </c>
      <c r="U590" s="14" t="n">
        <v>77549</v>
      </c>
      <c r="V590" s="14" t="n">
        <v>66087</v>
      </c>
      <c r="W590" s="14" t="n">
        <f aca="false">S590+T590+U590+V590</f>
        <v>1627406</v>
      </c>
      <c r="X590" s="15" t="n">
        <f aca="false">IF(P590=0,0,S590/P590)</f>
        <v>6.95968107636726</v>
      </c>
      <c r="Y590" s="15" t="n">
        <f aca="false">IF(J590=0,0,W590/J590)</f>
        <v>0.878771172048765</v>
      </c>
      <c r="Z590" s="14" t="n">
        <v>247781</v>
      </c>
      <c r="AA590" s="15" t="n">
        <f aca="false">IF(L590=0,0,Z590/L590)</f>
        <v>0.449117013197222</v>
      </c>
      <c r="AB590" s="12" t="n">
        <v>147204728</v>
      </c>
      <c r="AC590" s="16" t="n">
        <v>13.7</v>
      </c>
      <c r="AD590" s="16" t="n">
        <v>27.3</v>
      </c>
      <c r="AE590" s="13" t="n">
        <v>0.438</v>
      </c>
      <c r="AF590" s="13" t="n">
        <v>0.609</v>
      </c>
      <c r="AG590" s="13" t="n">
        <v>0.364</v>
      </c>
      <c r="AH590" s="13" t="n">
        <v>0.222</v>
      </c>
      <c r="AI590" s="17" t="n">
        <v>4.73</v>
      </c>
    </row>
    <row r="591" customFormat="false" ht="15" hidden="false" customHeight="false" outlineLevel="0" collapsed="false">
      <c r="A591" s="10" t="n">
        <v>45901</v>
      </c>
      <c r="B591" s="11" t="n">
        <f aca="false">YEAR(A591)</f>
        <v>2025</v>
      </c>
      <c r="C591" s="11" t="str">
        <f aca="false">"Q"&amp;ROUNDUP(MONTH(A591)/3,0)</f>
        <v>Q3</v>
      </c>
      <c r="D591" s="11" t="str">
        <f aca="false">B591&amp;"-"&amp;C591</f>
        <v>2025-Q3</v>
      </c>
      <c r="E591" s="11" t="n">
        <f aca="false">MONTH(A591)</f>
        <v>9</v>
      </c>
      <c r="F591" s="11" t="str">
        <f aca="false">TEXT(A591,"mmm")</f>
        <v>Sep</v>
      </c>
      <c r="G591" s="11" t="s">
        <v>209</v>
      </c>
      <c r="H591" s="11" t="s">
        <v>204</v>
      </c>
      <c r="I591" s="12" t="n">
        <v>5919573</v>
      </c>
      <c r="J591" s="12" t="n">
        <v>2007048</v>
      </c>
      <c r="K591" s="13" t="n">
        <f aca="false">IF(I591=0,0,J591/I591)</f>
        <v>0.339052833709458</v>
      </c>
      <c r="L591" s="12" t="n">
        <v>646589</v>
      </c>
      <c r="M591" s="12" t="n">
        <v>95373</v>
      </c>
      <c r="N591" s="12" t="n">
        <v>11532</v>
      </c>
      <c r="O591" s="12" t="n">
        <v>2705</v>
      </c>
      <c r="P591" s="12" t="n">
        <f aca="false">M591+N591+O591</f>
        <v>109610</v>
      </c>
      <c r="Q591" s="13" t="n">
        <f aca="false">IF(I591=0,0,P591/I591)</f>
        <v>0.0185165382705813</v>
      </c>
      <c r="R591" s="13" t="n">
        <v>0.0385</v>
      </c>
      <c r="S591" s="14" t="n">
        <v>808734</v>
      </c>
      <c r="T591" s="14" t="n">
        <v>47891</v>
      </c>
      <c r="U591" s="14" t="n">
        <v>49186</v>
      </c>
      <c r="V591" s="14" t="n">
        <v>36541</v>
      </c>
      <c r="W591" s="14" t="n">
        <f aca="false">S591+T591+U591+V591</f>
        <v>942352</v>
      </c>
      <c r="X591" s="15" t="n">
        <f aca="false">IF(P591=0,0,S591/P591)</f>
        <v>7.37828665267768</v>
      </c>
      <c r="Y591" s="15" t="n">
        <f aca="false">IF(J591=0,0,W591/J591)</f>
        <v>0.469521406563271</v>
      </c>
      <c r="Z591" s="14" t="n">
        <v>134189</v>
      </c>
      <c r="AA591" s="15" t="n">
        <f aca="false">IF(L591=0,0,Z591/L591)</f>
        <v>0.207533688324422</v>
      </c>
      <c r="AB591" s="12" t="n">
        <v>167781981</v>
      </c>
      <c r="AC591" s="16" t="n">
        <v>13.3</v>
      </c>
      <c r="AD591" s="16" t="n">
        <v>27.4</v>
      </c>
      <c r="AE591" s="13" t="n">
        <v>0.456</v>
      </c>
      <c r="AF591" s="13" t="n">
        <v>0.601</v>
      </c>
      <c r="AG591" s="13" t="n">
        <v>0.377</v>
      </c>
      <c r="AH591" s="13" t="n">
        <v>0.225</v>
      </c>
      <c r="AI591" s="17" t="n">
        <v>4.68</v>
      </c>
    </row>
    <row r="592" customFormat="false" ht="15" hidden="false" customHeight="false" outlineLevel="0" collapsed="false">
      <c r="A592" s="10" t="n">
        <v>45901</v>
      </c>
      <c r="B592" s="11" t="n">
        <f aca="false">YEAR(A592)</f>
        <v>2025</v>
      </c>
      <c r="C592" s="11" t="str">
        <f aca="false">"Q"&amp;ROUNDUP(MONTH(A592)/3,0)</f>
        <v>Q3</v>
      </c>
      <c r="D592" s="11" t="str">
        <f aca="false">B592&amp;"-"&amp;C592</f>
        <v>2025-Q3</v>
      </c>
      <c r="E592" s="11" t="n">
        <f aca="false">MONTH(A592)</f>
        <v>9</v>
      </c>
      <c r="F592" s="11" t="str">
        <f aca="false">TEXT(A592,"mmm")</f>
        <v>Sep</v>
      </c>
      <c r="G592" s="11" t="s">
        <v>209</v>
      </c>
      <c r="H592" s="11" t="s">
        <v>205</v>
      </c>
      <c r="I592" s="12" t="n">
        <v>1936933</v>
      </c>
      <c r="J592" s="12" t="n">
        <v>581465</v>
      </c>
      <c r="K592" s="13" t="n">
        <f aca="false">IF(I592=0,0,J592/I592)</f>
        <v>0.30019881947388</v>
      </c>
      <c r="L592" s="12" t="n">
        <v>193932</v>
      </c>
      <c r="M592" s="12" t="n">
        <v>25421</v>
      </c>
      <c r="N592" s="12" t="n">
        <v>2916</v>
      </c>
      <c r="O592" s="12" t="n">
        <v>474</v>
      </c>
      <c r="P592" s="12" t="n">
        <f aca="false">M592+N592+O592</f>
        <v>28811</v>
      </c>
      <c r="Q592" s="13" t="n">
        <f aca="false">IF(I592=0,0,P592/I592)</f>
        <v>0.0148745465124504</v>
      </c>
      <c r="R592" s="13" t="n">
        <v>0.0411</v>
      </c>
      <c r="S592" s="14" t="n">
        <v>218661</v>
      </c>
      <c r="T592" s="14" t="n">
        <v>14257</v>
      </c>
      <c r="U592" s="14" t="n">
        <v>12702</v>
      </c>
      <c r="V592" s="14" t="n">
        <v>11072</v>
      </c>
      <c r="W592" s="14" t="n">
        <f aca="false">S592+T592+U592+V592</f>
        <v>256692</v>
      </c>
      <c r="X592" s="15" t="n">
        <f aca="false">IF(P592=0,0,S592/P592)</f>
        <v>7.58949706709243</v>
      </c>
      <c r="Y592" s="15" t="n">
        <f aca="false">IF(J592=0,0,W592/J592)</f>
        <v>0.441457353409062</v>
      </c>
      <c r="Z592" s="14" t="n">
        <v>34786</v>
      </c>
      <c r="AA592" s="15" t="n">
        <f aca="false">IF(L592=0,0,Z592/L592)</f>
        <v>0.179372151063259</v>
      </c>
      <c r="AB592" s="12" t="n">
        <v>48008121</v>
      </c>
      <c r="AC592" s="16" t="n">
        <v>12</v>
      </c>
      <c r="AD592" s="16" t="n">
        <v>28</v>
      </c>
      <c r="AE592" s="13" t="n">
        <v>0.436</v>
      </c>
      <c r="AF592" s="13" t="n">
        <v>0.617</v>
      </c>
      <c r="AG592" s="13" t="n">
        <v>0.385</v>
      </c>
      <c r="AH592" s="13" t="n">
        <v>0.229</v>
      </c>
      <c r="AI592" s="17"/>
    </row>
    <row r="593" customFormat="false" ht="15" hidden="false" customHeight="false" outlineLevel="0" collapsed="false">
      <c r="A593" s="10" t="n">
        <v>45901</v>
      </c>
      <c r="B593" s="11" t="n">
        <f aca="false">YEAR(A593)</f>
        <v>2025</v>
      </c>
      <c r="C593" s="11" t="str">
        <f aca="false">"Q"&amp;ROUNDUP(MONTH(A593)/3,0)</f>
        <v>Q3</v>
      </c>
      <c r="D593" s="11" t="str">
        <f aca="false">B593&amp;"-"&amp;C593</f>
        <v>2025-Q3</v>
      </c>
      <c r="E593" s="11" t="n">
        <f aca="false">MONTH(A593)</f>
        <v>9</v>
      </c>
      <c r="F593" s="11" t="str">
        <f aca="false">TEXT(A593,"mmm")</f>
        <v>Sep</v>
      </c>
      <c r="G593" s="11" t="s">
        <v>210</v>
      </c>
      <c r="H593" s="11" t="s">
        <v>203</v>
      </c>
      <c r="I593" s="12" t="n">
        <v>8928449</v>
      </c>
      <c r="J593" s="12" t="n">
        <v>3150430</v>
      </c>
      <c r="K593" s="13" t="n">
        <f aca="false">IF(I593=0,0,J593/I593)</f>
        <v>0.352852998320313</v>
      </c>
      <c r="L593" s="12" t="n">
        <v>902847</v>
      </c>
      <c r="M593" s="12" t="n">
        <v>335738</v>
      </c>
      <c r="N593" s="12" t="n">
        <v>43777</v>
      </c>
      <c r="O593" s="12" t="n">
        <v>12912</v>
      </c>
      <c r="P593" s="12" t="n">
        <f aca="false">M593+N593+O593</f>
        <v>392427</v>
      </c>
      <c r="Q593" s="13" t="n">
        <f aca="false">IF(I593=0,0,P593/I593)</f>
        <v>0.0439524266756746</v>
      </c>
      <c r="R593" s="13" t="n">
        <v>0.0411</v>
      </c>
      <c r="S593" s="14" t="n">
        <v>2871663</v>
      </c>
      <c r="T593" s="14" t="n">
        <v>180428</v>
      </c>
      <c r="U593" s="14" t="n">
        <v>152514</v>
      </c>
      <c r="V593" s="14" t="n">
        <v>144597</v>
      </c>
      <c r="W593" s="14" t="n">
        <f aca="false">S593+T593+U593+V593</f>
        <v>3349202</v>
      </c>
      <c r="X593" s="15" t="n">
        <f aca="false">IF(P593=0,0,S593/P593)</f>
        <v>7.31769985245664</v>
      </c>
      <c r="Y593" s="15" t="n">
        <f aca="false">IF(J593=0,0,W593/J593)</f>
        <v>1.06309360944379</v>
      </c>
      <c r="Z593" s="14" t="n">
        <v>559570</v>
      </c>
      <c r="AA593" s="15" t="n">
        <f aca="false">IF(L593=0,0,Z593/L593)</f>
        <v>0.619783861495912</v>
      </c>
      <c r="AB593" s="12" t="n">
        <v>262600138</v>
      </c>
      <c r="AC593" s="16" t="n">
        <v>14</v>
      </c>
      <c r="AD593" s="16" t="n">
        <v>28.4</v>
      </c>
      <c r="AE593" s="13" t="n">
        <v>0.464</v>
      </c>
      <c r="AF593" s="13" t="n">
        <v>0.601</v>
      </c>
      <c r="AG593" s="13" t="n">
        <v>0.376</v>
      </c>
      <c r="AH593" s="13" t="n">
        <v>0.219</v>
      </c>
      <c r="AI593" s="17" t="n">
        <v>4.72</v>
      </c>
    </row>
    <row r="594" customFormat="false" ht="15" hidden="false" customHeight="false" outlineLevel="0" collapsed="false">
      <c r="A594" s="10" t="n">
        <v>45901</v>
      </c>
      <c r="B594" s="11" t="n">
        <f aca="false">YEAR(A594)</f>
        <v>2025</v>
      </c>
      <c r="C594" s="11" t="str">
        <f aca="false">"Q"&amp;ROUNDUP(MONTH(A594)/3,0)</f>
        <v>Q3</v>
      </c>
      <c r="D594" s="11" t="str">
        <f aca="false">B594&amp;"-"&amp;C594</f>
        <v>2025-Q3</v>
      </c>
      <c r="E594" s="11" t="n">
        <f aca="false">MONTH(A594)</f>
        <v>9</v>
      </c>
      <c r="F594" s="11" t="str">
        <f aca="false">TEXT(A594,"mmm")</f>
        <v>Sep</v>
      </c>
      <c r="G594" s="11" t="s">
        <v>210</v>
      </c>
      <c r="H594" s="11" t="s">
        <v>204</v>
      </c>
      <c r="I594" s="12" t="n">
        <v>11551437</v>
      </c>
      <c r="J594" s="12" t="n">
        <v>3841364</v>
      </c>
      <c r="K594" s="13" t="n">
        <f aca="false">IF(I594=0,0,J594/I594)</f>
        <v>0.33254425401792</v>
      </c>
      <c r="L594" s="12" t="n">
        <v>1066065</v>
      </c>
      <c r="M594" s="12" t="n">
        <v>187532</v>
      </c>
      <c r="N594" s="12" t="n">
        <v>21532</v>
      </c>
      <c r="O594" s="12" t="n">
        <v>5289</v>
      </c>
      <c r="P594" s="12" t="n">
        <f aca="false">M594+N594+O594</f>
        <v>214353</v>
      </c>
      <c r="Q594" s="13" t="n">
        <f aca="false">IF(I594=0,0,P594/I594)</f>
        <v>0.018556392594272</v>
      </c>
      <c r="R594" s="13" t="n">
        <v>0.0377</v>
      </c>
      <c r="S594" s="14" t="n">
        <v>1670809</v>
      </c>
      <c r="T594" s="14" t="n">
        <v>110632</v>
      </c>
      <c r="U594" s="14" t="n">
        <v>94407</v>
      </c>
      <c r="V594" s="14" t="n">
        <v>91305</v>
      </c>
      <c r="W594" s="14" t="n">
        <f aca="false">S594+T594+U594+V594</f>
        <v>1967153</v>
      </c>
      <c r="X594" s="15" t="n">
        <f aca="false">IF(P594=0,0,S594/P594)</f>
        <v>7.79466114306774</v>
      </c>
      <c r="Y594" s="15" t="n">
        <f aca="false">IF(J594=0,0,W594/J594)</f>
        <v>0.512097525774699</v>
      </c>
      <c r="Z594" s="14" t="n">
        <v>298949</v>
      </c>
      <c r="AA594" s="15" t="n">
        <f aca="false">IF(L594=0,0,Z594/L594)</f>
        <v>0.280422863521455</v>
      </c>
      <c r="AB594" s="12" t="n">
        <v>330938364</v>
      </c>
      <c r="AC594" s="16" t="n">
        <v>13.7</v>
      </c>
      <c r="AD594" s="16" t="n">
        <v>26.3</v>
      </c>
      <c r="AE594" s="13" t="n">
        <v>0.447</v>
      </c>
      <c r="AF594" s="13" t="n">
        <v>0.615</v>
      </c>
      <c r="AG594" s="13" t="n">
        <v>0.375</v>
      </c>
      <c r="AH594" s="13" t="n">
        <v>0.221</v>
      </c>
      <c r="AI594" s="17" t="n">
        <v>4.67</v>
      </c>
    </row>
    <row r="595" customFormat="false" ht="15" hidden="false" customHeight="false" outlineLevel="0" collapsed="false">
      <c r="A595" s="10" t="n">
        <v>45901</v>
      </c>
      <c r="B595" s="11" t="n">
        <f aca="false">YEAR(A595)</f>
        <v>2025</v>
      </c>
      <c r="C595" s="11" t="str">
        <f aca="false">"Q"&amp;ROUNDUP(MONTH(A595)/3,0)</f>
        <v>Q3</v>
      </c>
      <c r="D595" s="11" t="str">
        <f aca="false">B595&amp;"-"&amp;C595</f>
        <v>2025-Q3</v>
      </c>
      <c r="E595" s="11" t="n">
        <f aca="false">MONTH(A595)</f>
        <v>9</v>
      </c>
      <c r="F595" s="11" t="str">
        <f aca="false">TEXT(A595,"mmm")</f>
        <v>Sep</v>
      </c>
      <c r="G595" s="11" t="s">
        <v>210</v>
      </c>
      <c r="H595" s="11" t="s">
        <v>205</v>
      </c>
      <c r="I595" s="12" t="n">
        <v>3223638</v>
      </c>
      <c r="J595" s="12" t="n">
        <v>998411</v>
      </c>
      <c r="K595" s="13" t="n">
        <f aca="false">IF(I595=0,0,J595/I595)</f>
        <v>0.309715607025355</v>
      </c>
      <c r="L595" s="12" t="n">
        <v>303254</v>
      </c>
      <c r="M595" s="12" t="n">
        <v>53462</v>
      </c>
      <c r="N595" s="12" t="n">
        <v>6391</v>
      </c>
      <c r="O595" s="12" t="n">
        <v>1001</v>
      </c>
      <c r="P595" s="12" t="n">
        <f aca="false">M595+N595+O595</f>
        <v>60854</v>
      </c>
      <c r="Q595" s="13" t="n">
        <f aca="false">IF(I595=0,0,P595/I595)</f>
        <v>0.0188774297858506</v>
      </c>
      <c r="R595" s="13" t="n">
        <v>0.0445</v>
      </c>
      <c r="S595" s="14" t="n">
        <v>412358</v>
      </c>
      <c r="T595" s="14" t="n">
        <v>28023</v>
      </c>
      <c r="U595" s="14" t="n">
        <v>22729</v>
      </c>
      <c r="V595" s="14" t="n">
        <v>24400</v>
      </c>
      <c r="W595" s="14" t="n">
        <f aca="false">S595+T595+U595+V595</f>
        <v>487510</v>
      </c>
      <c r="X595" s="15" t="n">
        <f aca="false">IF(P595=0,0,S595/P595)</f>
        <v>6.77618562460972</v>
      </c>
      <c r="Y595" s="15" t="n">
        <f aca="false">IF(J595=0,0,W595/J595)</f>
        <v>0.488285886273288</v>
      </c>
      <c r="Z595" s="14" t="n">
        <v>70515</v>
      </c>
      <c r="AA595" s="15" t="n">
        <f aca="false">IF(L595=0,0,Z595/L595)</f>
        <v>0.232527847942649</v>
      </c>
      <c r="AB595" s="12" t="n">
        <v>84105580</v>
      </c>
      <c r="AC595" s="16" t="n">
        <v>12.1</v>
      </c>
      <c r="AD595" s="16" t="n">
        <v>27.8</v>
      </c>
      <c r="AE595" s="13" t="n">
        <v>0.45</v>
      </c>
      <c r="AF595" s="13" t="n">
        <v>0.599</v>
      </c>
      <c r="AG595" s="13" t="n">
        <v>0.376</v>
      </c>
      <c r="AH595" s="13" t="n">
        <v>0.226</v>
      </c>
      <c r="AI595" s="17"/>
    </row>
    <row r="596" customFormat="false" ht="15" hidden="false" customHeight="false" outlineLevel="0" collapsed="false">
      <c r="A596" s="10" t="n">
        <v>45931</v>
      </c>
      <c r="B596" s="11" t="n">
        <f aca="false">YEAR(A596)</f>
        <v>2025</v>
      </c>
      <c r="C596" s="11" t="str">
        <f aca="false">"Q"&amp;ROUNDUP(MONTH(A596)/3,0)</f>
        <v>Q4</v>
      </c>
      <c r="D596" s="11" t="str">
        <f aca="false">B596&amp;"-"&amp;C596</f>
        <v>2025-Q4</v>
      </c>
      <c r="E596" s="11" t="n">
        <f aca="false">MONTH(A596)</f>
        <v>10</v>
      </c>
      <c r="F596" s="11" t="str">
        <f aca="false">TEXT(A596,"mmm")</f>
        <v>Oct</v>
      </c>
      <c r="G596" s="11" t="s">
        <v>202</v>
      </c>
      <c r="H596" s="11" t="s">
        <v>203</v>
      </c>
      <c r="I596" s="12" t="n">
        <v>10175404</v>
      </c>
      <c r="J596" s="12" t="n">
        <v>3928372</v>
      </c>
      <c r="K596" s="13" t="n">
        <f aca="false">IF(I596=0,0,J596/I596)</f>
        <v>0.386065457450142</v>
      </c>
      <c r="L596" s="12" t="n">
        <v>1082913</v>
      </c>
      <c r="M596" s="12" t="n">
        <v>2203342</v>
      </c>
      <c r="N596" s="12" t="n">
        <v>295922</v>
      </c>
      <c r="O596" s="12" t="n">
        <v>392526</v>
      </c>
      <c r="P596" s="12" t="n">
        <f aca="false">M596+N596+O596</f>
        <v>2891790</v>
      </c>
      <c r="Q596" s="13" t="n">
        <f aca="false">IF(I596=0,0,P596/I596)</f>
        <v>0.284194121432427</v>
      </c>
      <c r="R596" s="13" t="n">
        <v>0.0345</v>
      </c>
      <c r="S596" s="14" t="n">
        <v>19691450</v>
      </c>
      <c r="T596" s="14" t="n">
        <v>1195088</v>
      </c>
      <c r="U596" s="14" t="n">
        <v>1106584</v>
      </c>
      <c r="V596" s="14" t="n">
        <v>941733</v>
      </c>
      <c r="W596" s="14" t="n">
        <f aca="false">S596+T596+U596+V596</f>
        <v>22934855</v>
      </c>
      <c r="X596" s="15" t="n">
        <f aca="false">IF(P596=0,0,S596/P596)</f>
        <v>6.80943291179512</v>
      </c>
      <c r="Y596" s="15" t="n">
        <f aca="false">IF(J596=0,0,W596/J596)</f>
        <v>5.83825946218943</v>
      </c>
      <c r="Z596" s="14" t="n">
        <v>3428380</v>
      </c>
      <c r="AA596" s="15" t="n">
        <f aca="false">IF(L596=0,0,Z596/L596)</f>
        <v>3.1658868256268</v>
      </c>
      <c r="AB596" s="12" t="n">
        <v>334904754</v>
      </c>
      <c r="AC596" s="16" t="n">
        <v>14</v>
      </c>
      <c r="AD596" s="16" t="n">
        <v>27.2</v>
      </c>
      <c r="AE596" s="13" t="n">
        <v>0.459</v>
      </c>
      <c r="AF596" s="13" t="n">
        <v>0.616</v>
      </c>
      <c r="AG596" s="13" t="n">
        <v>0.378</v>
      </c>
      <c r="AH596" s="13" t="n">
        <v>0.23</v>
      </c>
      <c r="AI596" s="17" t="n">
        <v>4.72</v>
      </c>
    </row>
    <row r="597" customFormat="false" ht="15" hidden="false" customHeight="false" outlineLevel="0" collapsed="false">
      <c r="A597" s="10" t="n">
        <v>45931</v>
      </c>
      <c r="B597" s="11" t="n">
        <f aca="false">YEAR(A597)</f>
        <v>2025</v>
      </c>
      <c r="C597" s="11" t="str">
        <f aca="false">"Q"&amp;ROUNDUP(MONTH(A597)/3,0)</f>
        <v>Q4</v>
      </c>
      <c r="D597" s="11" t="str">
        <f aca="false">B597&amp;"-"&amp;C597</f>
        <v>2025-Q4</v>
      </c>
      <c r="E597" s="11" t="n">
        <f aca="false">MONTH(A597)</f>
        <v>10</v>
      </c>
      <c r="F597" s="11" t="str">
        <f aca="false">TEXT(A597,"mmm")</f>
        <v>Oct</v>
      </c>
      <c r="G597" s="11" t="s">
        <v>202</v>
      </c>
      <c r="H597" s="11" t="s">
        <v>204</v>
      </c>
      <c r="I597" s="12" t="n">
        <v>13346407</v>
      </c>
      <c r="J597" s="12" t="n">
        <v>4559919</v>
      </c>
      <c r="K597" s="13" t="n">
        <f aca="false">IF(I597=0,0,J597/I597)</f>
        <v>0.341658919887577</v>
      </c>
      <c r="L597" s="12" t="n">
        <v>1418029</v>
      </c>
      <c r="M597" s="12" t="n">
        <v>1286340</v>
      </c>
      <c r="N597" s="12" t="n">
        <v>189318</v>
      </c>
      <c r="O597" s="12" t="n">
        <v>167254</v>
      </c>
      <c r="P597" s="12" t="n">
        <f aca="false">M597+N597+O597</f>
        <v>1642912</v>
      </c>
      <c r="Q597" s="13" t="n">
        <f aca="false">IF(I597=0,0,P597/I597)</f>
        <v>0.123097699628072</v>
      </c>
      <c r="R597" s="13" t="n">
        <v>0.0362</v>
      </c>
      <c r="S597" s="14" t="n">
        <v>11045289</v>
      </c>
      <c r="T597" s="14" t="n">
        <v>652398</v>
      </c>
      <c r="U597" s="14" t="n">
        <v>671170</v>
      </c>
      <c r="V597" s="14" t="n">
        <v>581501</v>
      </c>
      <c r="W597" s="14" t="n">
        <f aca="false">S597+T597+U597+V597</f>
        <v>12950358</v>
      </c>
      <c r="X597" s="15" t="n">
        <f aca="false">IF(P597=0,0,S597/P597)</f>
        <v>6.72299490173546</v>
      </c>
      <c r="Y597" s="15" t="n">
        <f aca="false">IF(J597=0,0,W597/J597)</f>
        <v>2.84004123757462</v>
      </c>
      <c r="Z597" s="14" t="n">
        <v>2135786</v>
      </c>
      <c r="AA597" s="15" t="n">
        <f aca="false">IF(L597=0,0,Z597/L597)</f>
        <v>1.50616524767829</v>
      </c>
      <c r="AB597" s="12" t="n">
        <v>393654061</v>
      </c>
      <c r="AC597" s="16" t="n">
        <v>13.3</v>
      </c>
      <c r="AD597" s="16" t="n">
        <v>28.4</v>
      </c>
      <c r="AE597" s="13" t="n">
        <v>0.455</v>
      </c>
      <c r="AF597" s="13" t="n">
        <v>0.614</v>
      </c>
      <c r="AG597" s="13" t="n">
        <v>0.363</v>
      </c>
      <c r="AH597" s="13" t="n">
        <v>0.232</v>
      </c>
      <c r="AI597" s="17" t="n">
        <v>4.71</v>
      </c>
    </row>
    <row r="598" customFormat="false" ht="15" hidden="false" customHeight="false" outlineLevel="0" collapsed="false">
      <c r="A598" s="10" t="n">
        <v>45931</v>
      </c>
      <c r="B598" s="11" t="n">
        <f aca="false">YEAR(A598)</f>
        <v>2025</v>
      </c>
      <c r="C598" s="11" t="str">
        <f aca="false">"Q"&amp;ROUNDUP(MONTH(A598)/3,0)</f>
        <v>Q4</v>
      </c>
      <c r="D598" s="11" t="str">
        <f aca="false">B598&amp;"-"&amp;C598</f>
        <v>2025-Q4</v>
      </c>
      <c r="E598" s="11" t="n">
        <f aca="false">MONTH(A598)</f>
        <v>10</v>
      </c>
      <c r="F598" s="11" t="str">
        <f aca="false">TEXT(A598,"mmm")</f>
        <v>Oct</v>
      </c>
      <c r="G598" s="11" t="s">
        <v>202</v>
      </c>
      <c r="H598" s="11" t="s">
        <v>205</v>
      </c>
      <c r="I598" s="12" t="n">
        <v>3988686</v>
      </c>
      <c r="J598" s="12" t="n">
        <v>1291168</v>
      </c>
      <c r="K598" s="13" t="n">
        <f aca="false">IF(I598=0,0,J598/I598)</f>
        <v>0.323707606966304</v>
      </c>
      <c r="L598" s="12" t="n">
        <v>362349</v>
      </c>
      <c r="M598" s="12" t="n">
        <v>404001</v>
      </c>
      <c r="N598" s="12" t="n">
        <v>56044</v>
      </c>
      <c r="O598" s="12" t="n">
        <v>33496</v>
      </c>
      <c r="P598" s="12" t="n">
        <f aca="false">M598+N598+O598</f>
        <v>493541</v>
      </c>
      <c r="Q598" s="13" t="n">
        <f aca="false">IF(I598=0,0,P598/I598)</f>
        <v>0.123735235112516</v>
      </c>
      <c r="R598" s="13" t="n">
        <v>0.0392</v>
      </c>
      <c r="S598" s="14" t="n">
        <v>2949752</v>
      </c>
      <c r="T598" s="14" t="n">
        <v>163492</v>
      </c>
      <c r="U598" s="14" t="n">
        <v>171965</v>
      </c>
      <c r="V598" s="14" t="n">
        <v>157892</v>
      </c>
      <c r="W598" s="14" t="n">
        <f aca="false">S598+T598+U598+V598</f>
        <v>3443101</v>
      </c>
      <c r="X598" s="15" t="n">
        <f aca="false">IF(P598=0,0,S598/P598)</f>
        <v>5.97671115469637</v>
      </c>
      <c r="Y598" s="15" t="n">
        <f aca="false">IF(J598=0,0,W598/J598)</f>
        <v>2.66665608193512</v>
      </c>
      <c r="Z598" s="14" t="n">
        <v>528809</v>
      </c>
      <c r="AA598" s="15" t="n">
        <f aca="false">IF(L598=0,0,Z598/L598)</f>
        <v>1.45939136026317</v>
      </c>
      <c r="AB598" s="12" t="n">
        <v>109914958</v>
      </c>
      <c r="AC598" s="16" t="n">
        <v>12.1</v>
      </c>
      <c r="AD598" s="16" t="n">
        <v>26.2</v>
      </c>
      <c r="AE598" s="13" t="n">
        <v>0.447</v>
      </c>
      <c r="AF598" s="13" t="n">
        <v>0.606</v>
      </c>
      <c r="AG598" s="13" t="n">
        <v>0.375</v>
      </c>
      <c r="AH598" s="13" t="n">
        <v>0.219</v>
      </c>
      <c r="AI598" s="17"/>
    </row>
    <row r="599" customFormat="false" ht="15" hidden="false" customHeight="false" outlineLevel="0" collapsed="false">
      <c r="A599" s="10" t="n">
        <v>45931</v>
      </c>
      <c r="B599" s="11" t="n">
        <f aca="false">YEAR(A599)</f>
        <v>2025</v>
      </c>
      <c r="C599" s="11" t="str">
        <f aca="false">"Q"&amp;ROUNDUP(MONTH(A599)/3,0)</f>
        <v>Q4</v>
      </c>
      <c r="D599" s="11" t="str">
        <f aca="false">B599&amp;"-"&amp;C599</f>
        <v>2025-Q4</v>
      </c>
      <c r="E599" s="11" t="n">
        <f aca="false">MONTH(A599)</f>
        <v>10</v>
      </c>
      <c r="F599" s="11" t="str">
        <f aca="false">TEXT(A599,"mmm")</f>
        <v>Oct</v>
      </c>
      <c r="G599" s="11" t="s">
        <v>206</v>
      </c>
      <c r="H599" s="11" t="s">
        <v>203</v>
      </c>
      <c r="I599" s="12" t="n">
        <v>11396026</v>
      </c>
      <c r="J599" s="12" t="n">
        <v>4419357</v>
      </c>
      <c r="K599" s="13" t="n">
        <f aca="false">IF(I599=0,0,J599/I599)</f>
        <v>0.387798079786761</v>
      </c>
      <c r="L599" s="12" t="n">
        <v>1201409</v>
      </c>
      <c r="M599" s="12" t="n">
        <v>1439744</v>
      </c>
      <c r="N599" s="12" t="n">
        <v>197395</v>
      </c>
      <c r="O599" s="12" t="n">
        <v>151764</v>
      </c>
      <c r="P599" s="12" t="n">
        <f aca="false">M599+N599+O599</f>
        <v>1788903</v>
      </c>
      <c r="Q599" s="13" t="n">
        <f aca="false">IF(I599=0,0,P599/I599)</f>
        <v>0.156976037085208</v>
      </c>
      <c r="R599" s="13" t="n">
        <v>0.0399</v>
      </c>
      <c r="S599" s="14" t="n">
        <v>11376218</v>
      </c>
      <c r="T599" s="14" t="n">
        <v>604079</v>
      </c>
      <c r="U599" s="14" t="n">
        <v>676934</v>
      </c>
      <c r="V599" s="14" t="n">
        <v>527144</v>
      </c>
      <c r="W599" s="14" t="n">
        <f aca="false">S599+T599+U599+V599</f>
        <v>13184375</v>
      </c>
      <c r="X599" s="15" t="n">
        <f aca="false">IF(P599=0,0,S599/P599)</f>
        <v>6.35932635810885</v>
      </c>
      <c r="Y599" s="15" t="n">
        <f aca="false">IF(J599=0,0,W599/J599)</f>
        <v>2.98332427092901</v>
      </c>
      <c r="Z599" s="14" t="n">
        <v>2049228</v>
      </c>
      <c r="AA599" s="15" t="n">
        <f aca="false">IF(L599=0,0,Z599/L599)</f>
        <v>1.70568723890032</v>
      </c>
      <c r="AB599" s="12" t="n">
        <v>363327303</v>
      </c>
      <c r="AC599" s="16" t="n">
        <v>13.8</v>
      </c>
      <c r="AD599" s="16" t="n">
        <v>28.2</v>
      </c>
      <c r="AE599" s="13" t="n">
        <v>0.466</v>
      </c>
      <c r="AF599" s="13" t="n">
        <v>0.618</v>
      </c>
      <c r="AG599" s="13" t="n">
        <v>0.384</v>
      </c>
      <c r="AH599" s="13" t="n">
        <v>0.22</v>
      </c>
      <c r="AI599" s="17" t="n">
        <v>4.74</v>
      </c>
    </row>
    <row r="600" customFormat="false" ht="15" hidden="false" customHeight="false" outlineLevel="0" collapsed="false">
      <c r="A600" s="10" t="n">
        <v>45931</v>
      </c>
      <c r="B600" s="11" t="n">
        <f aca="false">YEAR(A600)</f>
        <v>2025</v>
      </c>
      <c r="C600" s="11" t="str">
        <f aca="false">"Q"&amp;ROUNDUP(MONTH(A600)/3,0)</f>
        <v>Q4</v>
      </c>
      <c r="D600" s="11" t="str">
        <f aca="false">B600&amp;"-"&amp;C600</f>
        <v>2025-Q4</v>
      </c>
      <c r="E600" s="11" t="n">
        <f aca="false">MONTH(A600)</f>
        <v>10</v>
      </c>
      <c r="F600" s="11" t="str">
        <f aca="false">TEXT(A600,"mmm")</f>
        <v>Oct</v>
      </c>
      <c r="G600" s="11" t="s">
        <v>206</v>
      </c>
      <c r="H600" s="11" t="s">
        <v>204</v>
      </c>
      <c r="I600" s="12" t="n">
        <v>14281661</v>
      </c>
      <c r="J600" s="12" t="n">
        <v>5194826</v>
      </c>
      <c r="K600" s="13" t="n">
        <f aca="false">IF(I600=0,0,J600/I600)</f>
        <v>0.363741024240808</v>
      </c>
      <c r="L600" s="12" t="n">
        <v>1542766</v>
      </c>
      <c r="M600" s="12" t="n">
        <v>809268</v>
      </c>
      <c r="N600" s="12" t="n">
        <v>99369</v>
      </c>
      <c r="O600" s="12" t="n">
        <v>61743</v>
      </c>
      <c r="P600" s="12" t="n">
        <f aca="false">M600+N600+O600</f>
        <v>970380</v>
      </c>
      <c r="Q600" s="13" t="n">
        <f aca="false">IF(I600=0,0,P600/I600)</f>
        <v>0.0679458782840455</v>
      </c>
      <c r="R600" s="13" t="n">
        <v>0.0383</v>
      </c>
      <c r="S600" s="14" t="n">
        <v>6875730</v>
      </c>
      <c r="T600" s="14" t="n">
        <v>396709</v>
      </c>
      <c r="U600" s="14" t="n">
        <v>367404</v>
      </c>
      <c r="V600" s="14" t="n">
        <v>336192</v>
      </c>
      <c r="W600" s="14" t="n">
        <f aca="false">S600+T600+U600+V600</f>
        <v>7976035</v>
      </c>
      <c r="X600" s="15" t="n">
        <f aca="false">IF(P600=0,0,S600/P600)</f>
        <v>7.08560563902801</v>
      </c>
      <c r="Y600" s="15" t="n">
        <f aca="false">IF(J600=0,0,W600/J600)</f>
        <v>1.53538058830074</v>
      </c>
      <c r="Z600" s="14" t="n">
        <v>1364147</v>
      </c>
      <c r="AA600" s="15" t="n">
        <f aca="false">IF(L600=0,0,Z600/L600)</f>
        <v>0.884221586423346</v>
      </c>
      <c r="AB600" s="12" t="n">
        <v>459017194</v>
      </c>
      <c r="AC600" s="16" t="n">
        <v>13.5</v>
      </c>
      <c r="AD600" s="16" t="n">
        <v>27.9</v>
      </c>
      <c r="AE600" s="13" t="n">
        <v>0.456</v>
      </c>
      <c r="AF600" s="13" t="n">
        <v>0.605</v>
      </c>
      <c r="AG600" s="13" t="n">
        <v>0.366</v>
      </c>
      <c r="AH600" s="13" t="n">
        <v>0.215</v>
      </c>
      <c r="AI600" s="17" t="n">
        <v>4.66</v>
      </c>
    </row>
    <row r="601" customFormat="false" ht="15" hidden="false" customHeight="false" outlineLevel="0" collapsed="false">
      <c r="A601" s="10" t="n">
        <v>45931</v>
      </c>
      <c r="B601" s="11" t="n">
        <f aca="false">YEAR(A601)</f>
        <v>2025</v>
      </c>
      <c r="C601" s="11" t="str">
        <f aca="false">"Q"&amp;ROUNDUP(MONTH(A601)/3,0)</f>
        <v>Q4</v>
      </c>
      <c r="D601" s="11" t="str">
        <f aca="false">B601&amp;"-"&amp;C601</f>
        <v>2025-Q4</v>
      </c>
      <c r="E601" s="11" t="n">
        <f aca="false">MONTH(A601)</f>
        <v>10</v>
      </c>
      <c r="F601" s="11" t="str">
        <f aca="false">TEXT(A601,"mmm")</f>
        <v>Oct</v>
      </c>
      <c r="G601" s="11" t="s">
        <v>206</v>
      </c>
      <c r="H601" s="11" t="s">
        <v>205</v>
      </c>
      <c r="I601" s="12" t="n">
        <v>4466002</v>
      </c>
      <c r="J601" s="12" t="n">
        <v>1456327</v>
      </c>
      <c r="K601" s="13" t="n">
        <f aca="false">IF(I601=0,0,J601/I601)</f>
        <v>0.326091882627907</v>
      </c>
      <c r="L601" s="12" t="n">
        <v>403945</v>
      </c>
      <c r="M601" s="12" t="n">
        <v>246068</v>
      </c>
      <c r="N601" s="12" t="n">
        <v>33014</v>
      </c>
      <c r="O601" s="12" t="n">
        <v>12363</v>
      </c>
      <c r="P601" s="12" t="n">
        <f aca="false">M601+N601+O601</f>
        <v>291445</v>
      </c>
      <c r="Q601" s="13" t="n">
        <f aca="false">IF(I601=0,0,P601/I601)</f>
        <v>0.0652585914650285</v>
      </c>
      <c r="R601" s="13" t="n">
        <v>0.0412</v>
      </c>
      <c r="S601" s="14" t="n">
        <v>1734290</v>
      </c>
      <c r="T601" s="14" t="n">
        <v>111126</v>
      </c>
      <c r="U601" s="14" t="n">
        <v>101989</v>
      </c>
      <c r="V601" s="14" t="n">
        <v>86812</v>
      </c>
      <c r="W601" s="14" t="n">
        <f aca="false">S601+T601+U601+V601</f>
        <v>2034217</v>
      </c>
      <c r="X601" s="15" t="n">
        <f aca="false">IF(P601=0,0,S601/P601)</f>
        <v>5.95065964418672</v>
      </c>
      <c r="Y601" s="15" t="n">
        <f aca="false">IF(J601=0,0,W601/J601)</f>
        <v>1.39681335304502</v>
      </c>
      <c r="Z601" s="14" t="n">
        <v>290483</v>
      </c>
      <c r="AA601" s="15" t="n">
        <f aca="false">IF(L601=0,0,Z601/L601)</f>
        <v>0.719115226082759</v>
      </c>
      <c r="AB601" s="12" t="n">
        <v>130100427</v>
      </c>
      <c r="AC601" s="16" t="n">
        <v>12.3</v>
      </c>
      <c r="AD601" s="16" t="n">
        <v>27.7</v>
      </c>
      <c r="AE601" s="13" t="n">
        <v>0.442</v>
      </c>
      <c r="AF601" s="13" t="n">
        <v>0.605</v>
      </c>
      <c r="AG601" s="13" t="n">
        <v>0.376</v>
      </c>
      <c r="AH601" s="13" t="n">
        <v>0.229</v>
      </c>
      <c r="AI601" s="17"/>
    </row>
    <row r="602" customFormat="false" ht="15" hidden="false" customHeight="false" outlineLevel="0" collapsed="false">
      <c r="A602" s="10" t="n">
        <v>45931</v>
      </c>
      <c r="B602" s="11" t="n">
        <f aca="false">YEAR(A602)</f>
        <v>2025</v>
      </c>
      <c r="C602" s="11" t="str">
        <f aca="false">"Q"&amp;ROUNDUP(MONTH(A602)/3,0)</f>
        <v>Q4</v>
      </c>
      <c r="D602" s="11" t="str">
        <f aca="false">B602&amp;"-"&amp;C602</f>
        <v>2025-Q4</v>
      </c>
      <c r="E602" s="11" t="n">
        <f aca="false">MONTH(A602)</f>
        <v>10</v>
      </c>
      <c r="F602" s="11" t="str">
        <f aca="false">TEXT(A602,"mmm")</f>
        <v>Oct</v>
      </c>
      <c r="G602" s="11" t="s">
        <v>207</v>
      </c>
      <c r="H602" s="11" t="s">
        <v>203</v>
      </c>
      <c r="I602" s="12" t="n">
        <v>11356083</v>
      </c>
      <c r="J602" s="12" t="n">
        <v>4129593</v>
      </c>
      <c r="K602" s="13" t="n">
        <f aca="false">IF(I602=0,0,J602/I602)</f>
        <v>0.3636458979738</v>
      </c>
      <c r="L602" s="12" t="n">
        <v>1167952</v>
      </c>
      <c r="M602" s="12" t="n">
        <v>876011</v>
      </c>
      <c r="N602" s="12" t="n">
        <v>110159</v>
      </c>
      <c r="O602" s="12" t="n">
        <v>62262</v>
      </c>
      <c r="P602" s="12" t="n">
        <f aca="false">M602+N602+O602</f>
        <v>1048432</v>
      </c>
      <c r="Q602" s="13" t="n">
        <f aca="false">IF(I602=0,0,P602/I602)</f>
        <v>0.0923233829833755</v>
      </c>
      <c r="R602" s="13" t="n">
        <v>0.0389</v>
      </c>
      <c r="S602" s="14" t="n">
        <v>6652839</v>
      </c>
      <c r="T602" s="14" t="n">
        <v>404401</v>
      </c>
      <c r="U602" s="14" t="n">
        <v>375876</v>
      </c>
      <c r="V602" s="14" t="n">
        <v>348424</v>
      </c>
      <c r="W602" s="14" t="n">
        <f aca="false">S602+T602+U602+V602</f>
        <v>7781540</v>
      </c>
      <c r="X602" s="15" t="n">
        <f aca="false">IF(P602=0,0,S602/P602)</f>
        <v>6.34551310910007</v>
      </c>
      <c r="Y602" s="15" t="n">
        <f aca="false">IF(J602=0,0,W602/J602)</f>
        <v>1.88433581711321</v>
      </c>
      <c r="Z602" s="14" t="n">
        <v>1144531</v>
      </c>
      <c r="AA602" s="15" t="n">
        <f aca="false">IF(L602=0,0,Z602/L602)</f>
        <v>0.979946949874652</v>
      </c>
      <c r="AB602" s="12" t="n">
        <v>359131763</v>
      </c>
      <c r="AC602" s="16" t="n">
        <v>14.1</v>
      </c>
      <c r="AD602" s="16" t="n">
        <v>26</v>
      </c>
      <c r="AE602" s="13" t="n">
        <v>0.45</v>
      </c>
      <c r="AF602" s="13" t="n">
        <v>0.6</v>
      </c>
      <c r="AG602" s="13" t="n">
        <v>0.364</v>
      </c>
      <c r="AH602" s="13" t="n">
        <v>0.23</v>
      </c>
      <c r="AI602" s="17" t="n">
        <v>4.72</v>
      </c>
    </row>
    <row r="603" customFormat="false" ht="15" hidden="false" customHeight="false" outlineLevel="0" collapsed="false">
      <c r="A603" s="10" t="n">
        <v>45931</v>
      </c>
      <c r="B603" s="11" t="n">
        <f aca="false">YEAR(A603)</f>
        <v>2025</v>
      </c>
      <c r="C603" s="11" t="str">
        <f aca="false">"Q"&amp;ROUNDUP(MONTH(A603)/3,0)</f>
        <v>Q4</v>
      </c>
      <c r="D603" s="11" t="str">
        <f aca="false">B603&amp;"-"&amp;C603</f>
        <v>2025-Q4</v>
      </c>
      <c r="E603" s="11" t="n">
        <f aca="false">MONTH(A603)</f>
        <v>10</v>
      </c>
      <c r="F603" s="11" t="str">
        <f aca="false">TEXT(A603,"mmm")</f>
        <v>Oct</v>
      </c>
      <c r="G603" s="11" t="s">
        <v>207</v>
      </c>
      <c r="H603" s="11" t="s">
        <v>204</v>
      </c>
      <c r="I603" s="12" t="n">
        <v>15661376</v>
      </c>
      <c r="J603" s="12" t="n">
        <v>5159857</v>
      </c>
      <c r="K603" s="13" t="n">
        <f aca="false">IF(I603=0,0,J603/I603)</f>
        <v>0.329463835106187</v>
      </c>
      <c r="L603" s="12" t="n">
        <v>1385199</v>
      </c>
      <c r="M603" s="12" t="n">
        <v>492240</v>
      </c>
      <c r="N603" s="12" t="n">
        <v>59260</v>
      </c>
      <c r="O603" s="12" t="n">
        <v>25708</v>
      </c>
      <c r="P603" s="12" t="n">
        <f aca="false">M603+N603+O603</f>
        <v>577208</v>
      </c>
      <c r="Q603" s="13" t="n">
        <f aca="false">IF(I603=0,0,P603/I603)</f>
        <v>0.0368555100139349</v>
      </c>
      <c r="R603" s="13" t="n">
        <v>0.0389</v>
      </c>
      <c r="S603" s="14" t="n">
        <v>3847020</v>
      </c>
      <c r="T603" s="14" t="n">
        <v>226908</v>
      </c>
      <c r="U603" s="14" t="n">
        <v>203829</v>
      </c>
      <c r="V603" s="14" t="n">
        <v>172402</v>
      </c>
      <c r="W603" s="14" t="n">
        <f aca="false">S603+T603+U603+V603</f>
        <v>4450159</v>
      </c>
      <c r="X603" s="15" t="n">
        <f aca="false">IF(P603=0,0,S603/P603)</f>
        <v>6.66487643968899</v>
      </c>
      <c r="Y603" s="15" t="n">
        <f aca="false">IF(J603=0,0,W603/J603)</f>
        <v>0.862457816175913</v>
      </c>
      <c r="Z603" s="14" t="n">
        <v>657366</v>
      </c>
      <c r="AA603" s="15" t="n">
        <f aca="false">IF(L603=0,0,Z603/L603)</f>
        <v>0.474564304478995</v>
      </c>
      <c r="AB603" s="12" t="n">
        <v>424637286</v>
      </c>
      <c r="AC603" s="16" t="n">
        <v>13.4</v>
      </c>
      <c r="AD603" s="16" t="n">
        <v>27.7</v>
      </c>
      <c r="AE603" s="13" t="n">
        <v>0.461</v>
      </c>
      <c r="AF603" s="13" t="n">
        <v>0.617</v>
      </c>
      <c r="AG603" s="13" t="n">
        <v>0.37</v>
      </c>
      <c r="AH603" s="13" t="n">
        <v>0.223</v>
      </c>
      <c r="AI603" s="17" t="n">
        <v>4.73</v>
      </c>
    </row>
    <row r="604" customFormat="false" ht="15" hidden="false" customHeight="false" outlineLevel="0" collapsed="false">
      <c r="A604" s="10" t="n">
        <v>45931</v>
      </c>
      <c r="B604" s="11" t="n">
        <f aca="false">YEAR(A604)</f>
        <v>2025</v>
      </c>
      <c r="C604" s="11" t="str">
        <f aca="false">"Q"&amp;ROUNDUP(MONTH(A604)/3,0)</f>
        <v>Q4</v>
      </c>
      <c r="D604" s="11" t="str">
        <f aca="false">B604&amp;"-"&amp;C604</f>
        <v>2025-Q4</v>
      </c>
      <c r="E604" s="11" t="n">
        <f aca="false">MONTH(A604)</f>
        <v>10</v>
      </c>
      <c r="F604" s="11" t="str">
        <f aca="false">TEXT(A604,"mmm")</f>
        <v>Oct</v>
      </c>
      <c r="G604" s="11" t="s">
        <v>207</v>
      </c>
      <c r="H604" s="11" t="s">
        <v>205</v>
      </c>
      <c r="I604" s="12" t="n">
        <v>4666780</v>
      </c>
      <c r="J604" s="12" t="n">
        <v>1405275</v>
      </c>
      <c r="K604" s="13" t="n">
        <f aca="false">IF(I604=0,0,J604/I604)</f>
        <v>0.301123044154642</v>
      </c>
      <c r="L604" s="12" t="n">
        <v>388850</v>
      </c>
      <c r="M604" s="12" t="n">
        <v>137164</v>
      </c>
      <c r="N604" s="12" t="n">
        <v>17140</v>
      </c>
      <c r="O604" s="12" t="n">
        <v>4722</v>
      </c>
      <c r="P604" s="12" t="n">
        <f aca="false">M604+N604+O604</f>
        <v>159026</v>
      </c>
      <c r="Q604" s="13" t="n">
        <f aca="false">IF(I604=0,0,P604/I604)</f>
        <v>0.0340761724358123</v>
      </c>
      <c r="R604" s="13" t="n">
        <v>0.0415</v>
      </c>
      <c r="S604" s="14" t="n">
        <v>1018325</v>
      </c>
      <c r="T604" s="14" t="n">
        <v>65901</v>
      </c>
      <c r="U604" s="14" t="n">
        <v>68283</v>
      </c>
      <c r="V604" s="14" t="n">
        <v>51981</v>
      </c>
      <c r="W604" s="14" t="n">
        <f aca="false">S604+T604+U604+V604</f>
        <v>1204490</v>
      </c>
      <c r="X604" s="15" t="n">
        <f aca="false">IF(P604=0,0,S604/P604)</f>
        <v>6.40351263315433</v>
      </c>
      <c r="Y604" s="15" t="n">
        <f aca="false">IF(J604=0,0,W604/J604)</f>
        <v>0.857120492430307</v>
      </c>
      <c r="Z604" s="14" t="n">
        <v>191481</v>
      </c>
      <c r="AA604" s="15" t="n">
        <f aca="false">IF(L604=0,0,Z604/L604)</f>
        <v>0.492428957181432</v>
      </c>
      <c r="AB604" s="12" t="n">
        <v>118735624</v>
      </c>
      <c r="AC604" s="16" t="n">
        <v>12.3</v>
      </c>
      <c r="AD604" s="16" t="n">
        <v>27</v>
      </c>
      <c r="AE604" s="13" t="n">
        <v>0.458</v>
      </c>
      <c r="AF604" s="13" t="n">
        <v>0.607</v>
      </c>
      <c r="AG604" s="13" t="n">
        <v>0.365</v>
      </c>
      <c r="AH604" s="13" t="n">
        <v>0.22</v>
      </c>
      <c r="AI604" s="17"/>
    </row>
    <row r="605" customFormat="false" ht="15" hidden="false" customHeight="false" outlineLevel="0" collapsed="false">
      <c r="A605" s="10" t="n">
        <v>45931</v>
      </c>
      <c r="B605" s="11" t="n">
        <f aca="false">YEAR(A605)</f>
        <v>2025</v>
      </c>
      <c r="C605" s="11" t="str">
        <f aca="false">"Q"&amp;ROUNDUP(MONTH(A605)/3,0)</f>
        <v>Q4</v>
      </c>
      <c r="D605" s="11" t="str">
        <f aca="false">B605&amp;"-"&amp;C605</f>
        <v>2025-Q4</v>
      </c>
      <c r="E605" s="11" t="n">
        <f aca="false">MONTH(A605)</f>
        <v>10</v>
      </c>
      <c r="F605" s="11" t="str">
        <f aca="false">TEXT(A605,"mmm")</f>
        <v>Oct</v>
      </c>
      <c r="G605" s="11" t="s">
        <v>208</v>
      </c>
      <c r="H605" s="11" t="s">
        <v>203</v>
      </c>
      <c r="I605" s="12" t="n">
        <v>8179698</v>
      </c>
      <c r="J605" s="12" t="n">
        <v>3280561</v>
      </c>
      <c r="K605" s="13" t="n">
        <f aca="false">IF(I605=0,0,J605/I605)</f>
        <v>0.401061383928844</v>
      </c>
      <c r="L605" s="12" t="n">
        <v>1011692</v>
      </c>
      <c r="M605" s="12" t="n">
        <v>403211</v>
      </c>
      <c r="N605" s="12" t="n">
        <v>52923</v>
      </c>
      <c r="O605" s="12" t="n">
        <v>20205</v>
      </c>
      <c r="P605" s="12" t="n">
        <f aca="false">M605+N605+O605</f>
        <v>476339</v>
      </c>
      <c r="Q605" s="13" t="n">
        <f aca="false">IF(I605=0,0,P605/I605)</f>
        <v>0.0582343015597886</v>
      </c>
      <c r="R605" s="13" t="n">
        <v>0.0397</v>
      </c>
      <c r="S605" s="14" t="n">
        <v>3069052</v>
      </c>
      <c r="T605" s="14" t="n">
        <v>183853</v>
      </c>
      <c r="U605" s="14" t="n">
        <v>175269</v>
      </c>
      <c r="V605" s="14" t="n">
        <v>143249</v>
      </c>
      <c r="W605" s="14" t="n">
        <f aca="false">S605+T605+U605+V605</f>
        <v>3571423</v>
      </c>
      <c r="X605" s="15" t="n">
        <f aca="false">IF(P605=0,0,S605/P605)</f>
        <v>6.4429996284159</v>
      </c>
      <c r="Y605" s="15" t="n">
        <f aca="false">IF(J605=0,0,W605/J605)</f>
        <v>1.0886622745317</v>
      </c>
      <c r="Z605" s="14" t="n">
        <v>574797</v>
      </c>
      <c r="AA605" s="15" t="n">
        <f aca="false">IF(L605=0,0,Z605/L605)</f>
        <v>0.568154141774374</v>
      </c>
      <c r="AB605" s="12" t="n">
        <v>291023736</v>
      </c>
      <c r="AC605" s="16" t="n">
        <v>13.5</v>
      </c>
      <c r="AD605" s="16" t="n">
        <v>27.1</v>
      </c>
      <c r="AE605" s="13" t="n">
        <v>0.455</v>
      </c>
      <c r="AF605" s="13" t="n">
        <v>0.613</v>
      </c>
      <c r="AG605" s="13" t="n">
        <v>0.366</v>
      </c>
      <c r="AH605" s="13" t="n">
        <v>0.224</v>
      </c>
      <c r="AI605" s="17" t="n">
        <v>4.74</v>
      </c>
    </row>
    <row r="606" customFormat="false" ht="15" hidden="false" customHeight="false" outlineLevel="0" collapsed="false">
      <c r="A606" s="10" t="n">
        <v>45931</v>
      </c>
      <c r="B606" s="11" t="n">
        <f aca="false">YEAR(A606)</f>
        <v>2025</v>
      </c>
      <c r="C606" s="11" t="str">
        <f aca="false">"Q"&amp;ROUNDUP(MONTH(A606)/3,0)</f>
        <v>Q4</v>
      </c>
      <c r="D606" s="11" t="str">
        <f aca="false">B606&amp;"-"&amp;C606</f>
        <v>2025-Q4</v>
      </c>
      <c r="E606" s="11" t="n">
        <f aca="false">MONTH(A606)</f>
        <v>10</v>
      </c>
      <c r="F606" s="11" t="str">
        <f aca="false">TEXT(A606,"mmm")</f>
        <v>Oct</v>
      </c>
      <c r="G606" s="11" t="s">
        <v>208</v>
      </c>
      <c r="H606" s="11" t="s">
        <v>204</v>
      </c>
      <c r="I606" s="12" t="n">
        <v>10372565</v>
      </c>
      <c r="J606" s="12" t="n">
        <v>3743119</v>
      </c>
      <c r="K606" s="13" t="n">
        <f aca="false">IF(I606=0,0,J606/I606)</f>
        <v>0.360867249325504</v>
      </c>
      <c r="L606" s="12" t="n">
        <v>1125086</v>
      </c>
      <c r="M606" s="12" t="n">
        <v>225314</v>
      </c>
      <c r="N606" s="12" t="n">
        <v>31281</v>
      </c>
      <c r="O606" s="12" t="n">
        <v>8431</v>
      </c>
      <c r="P606" s="12" t="n">
        <f aca="false">M606+N606+O606</f>
        <v>265026</v>
      </c>
      <c r="Q606" s="13" t="n">
        <f aca="false">IF(I606=0,0,P606/I606)</f>
        <v>0.0255506714105913</v>
      </c>
      <c r="R606" s="13" t="n">
        <v>0.0393</v>
      </c>
      <c r="S606" s="14" t="n">
        <v>1734196</v>
      </c>
      <c r="T606" s="14" t="n">
        <v>91479</v>
      </c>
      <c r="U606" s="14" t="n">
        <v>99931</v>
      </c>
      <c r="V606" s="14" t="n">
        <v>76137</v>
      </c>
      <c r="W606" s="14" t="n">
        <f aca="false">S606+T606+U606+V606</f>
        <v>2001743</v>
      </c>
      <c r="X606" s="15" t="n">
        <f aca="false">IF(P606=0,0,S606/P606)</f>
        <v>6.54349384588682</v>
      </c>
      <c r="Y606" s="15" t="n">
        <f aca="false">IF(J606=0,0,W606/J606)</f>
        <v>0.534779417913243</v>
      </c>
      <c r="Z606" s="14" t="n">
        <v>278688</v>
      </c>
      <c r="AA606" s="15" t="n">
        <f aca="false">IF(L606=0,0,Z606/L606)</f>
        <v>0.247703731092556</v>
      </c>
      <c r="AB606" s="12" t="n">
        <v>334477738</v>
      </c>
      <c r="AC606" s="16" t="n">
        <v>13.4</v>
      </c>
      <c r="AD606" s="16" t="n">
        <v>27.8</v>
      </c>
      <c r="AE606" s="13" t="n">
        <v>0.458</v>
      </c>
      <c r="AF606" s="13" t="n">
        <v>0.609</v>
      </c>
      <c r="AG606" s="13" t="n">
        <v>0.38</v>
      </c>
      <c r="AH606" s="13" t="n">
        <v>0.218</v>
      </c>
      <c r="AI606" s="17" t="n">
        <v>4.67</v>
      </c>
    </row>
    <row r="607" customFormat="false" ht="15" hidden="false" customHeight="false" outlineLevel="0" collapsed="false">
      <c r="A607" s="10" t="n">
        <v>45931</v>
      </c>
      <c r="B607" s="11" t="n">
        <f aca="false">YEAR(A607)</f>
        <v>2025</v>
      </c>
      <c r="C607" s="11" t="str">
        <f aca="false">"Q"&amp;ROUNDUP(MONTH(A607)/3,0)</f>
        <v>Q4</v>
      </c>
      <c r="D607" s="11" t="str">
        <f aca="false">B607&amp;"-"&amp;C607</f>
        <v>2025-Q4</v>
      </c>
      <c r="E607" s="11" t="n">
        <f aca="false">MONTH(A607)</f>
        <v>10</v>
      </c>
      <c r="F607" s="11" t="str">
        <f aca="false">TEXT(A607,"mmm")</f>
        <v>Oct</v>
      </c>
      <c r="G607" s="11" t="s">
        <v>208</v>
      </c>
      <c r="H607" s="11" t="s">
        <v>205</v>
      </c>
      <c r="I607" s="12" t="n">
        <v>3504514</v>
      </c>
      <c r="J607" s="12" t="n">
        <v>1095535</v>
      </c>
      <c r="K607" s="13" t="n">
        <f aca="false">IF(I607=0,0,J607/I607)</f>
        <v>0.312606826510038</v>
      </c>
      <c r="L607" s="12" t="n">
        <v>280523</v>
      </c>
      <c r="M607" s="12" t="n">
        <v>66369</v>
      </c>
      <c r="N607" s="12" t="n">
        <v>8055</v>
      </c>
      <c r="O607" s="12" t="n">
        <v>1613</v>
      </c>
      <c r="P607" s="12" t="n">
        <f aca="false">M607+N607+O607</f>
        <v>76037</v>
      </c>
      <c r="Q607" s="13" t="n">
        <f aca="false">IF(I607=0,0,P607/I607)</f>
        <v>0.0216968743740216</v>
      </c>
      <c r="R607" s="13" t="n">
        <v>0.0422</v>
      </c>
      <c r="S607" s="14" t="n">
        <v>448640</v>
      </c>
      <c r="T607" s="14" t="n">
        <v>28157</v>
      </c>
      <c r="U607" s="14" t="n">
        <v>24250</v>
      </c>
      <c r="V607" s="14" t="n">
        <v>21441</v>
      </c>
      <c r="W607" s="14" t="n">
        <f aca="false">S607+T607+U607+V607</f>
        <v>522488</v>
      </c>
      <c r="X607" s="15" t="n">
        <f aca="false">IF(P607=0,0,S607/P607)</f>
        <v>5.9002853873772</v>
      </c>
      <c r="Y607" s="15" t="n">
        <f aca="false">IF(J607=0,0,W607/J607)</f>
        <v>0.476924972730219</v>
      </c>
      <c r="Z607" s="14" t="n">
        <v>75603</v>
      </c>
      <c r="AA607" s="15" t="n">
        <f aca="false">IF(L607=0,0,Z607/L607)</f>
        <v>0.26950731312584</v>
      </c>
      <c r="AB607" s="12" t="n">
        <v>93716627</v>
      </c>
      <c r="AC607" s="16" t="n">
        <v>12.1</v>
      </c>
      <c r="AD607" s="16" t="n">
        <v>28.1</v>
      </c>
      <c r="AE607" s="13" t="n">
        <v>0.465</v>
      </c>
      <c r="AF607" s="13" t="n">
        <v>0.603</v>
      </c>
      <c r="AG607" s="13" t="n">
        <v>0.379</v>
      </c>
      <c r="AH607" s="13" t="n">
        <v>0.224</v>
      </c>
      <c r="AI607" s="17"/>
    </row>
    <row r="608" customFormat="false" ht="15" hidden="false" customHeight="false" outlineLevel="0" collapsed="false">
      <c r="A608" s="10" t="n">
        <v>45931</v>
      </c>
      <c r="B608" s="11" t="n">
        <f aca="false">YEAR(A608)</f>
        <v>2025</v>
      </c>
      <c r="C608" s="11" t="str">
        <f aca="false">"Q"&amp;ROUNDUP(MONTH(A608)/3,0)</f>
        <v>Q4</v>
      </c>
      <c r="D608" s="11" t="str">
        <f aca="false">B608&amp;"-"&amp;C608</f>
        <v>2025-Q4</v>
      </c>
      <c r="E608" s="11" t="n">
        <f aca="false">MONTH(A608)</f>
        <v>10</v>
      </c>
      <c r="F608" s="11" t="str">
        <f aca="false">TEXT(A608,"mmm")</f>
        <v>Oct</v>
      </c>
      <c r="G608" s="11" t="s">
        <v>209</v>
      </c>
      <c r="H608" s="11" t="s">
        <v>203</v>
      </c>
      <c r="I608" s="12" t="n">
        <v>4911966</v>
      </c>
      <c r="J608" s="12" t="n">
        <v>1796404</v>
      </c>
      <c r="K608" s="13" t="n">
        <f aca="false">IF(I608=0,0,J608/I608)</f>
        <v>0.36571995815932</v>
      </c>
      <c r="L608" s="12" t="n">
        <v>525503</v>
      </c>
      <c r="M608" s="12" t="n">
        <v>175276</v>
      </c>
      <c r="N608" s="12" t="n">
        <v>22180</v>
      </c>
      <c r="O608" s="12" t="n">
        <v>6936</v>
      </c>
      <c r="P608" s="12" t="n">
        <f aca="false">M608+N608+O608</f>
        <v>204392</v>
      </c>
      <c r="Q608" s="13" t="n">
        <f aca="false">IF(I608=0,0,P608/I608)</f>
        <v>0.0416110372099481</v>
      </c>
      <c r="R608" s="13" t="n">
        <v>0.0357</v>
      </c>
      <c r="S608" s="14" t="n">
        <v>1200086</v>
      </c>
      <c r="T608" s="14" t="n">
        <v>69134</v>
      </c>
      <c r="U608" s="14" t="n">
        <v>74099</v>
      </c>
      <c r="V608" s="14" t="n">
        <v>55853</v>
      </c>
      <c r="W608" s="14" t="n">
        <f aca="false">S608+T608+U608+V608</f>
        <v>1399172</v>
      </c>
      <c r="X608" s="15" t="n">
        <f aca="false">IF(P608=0,0,S608/P608)</f>
        <v>5.8714920349133</v>
      </c>
      <c r="Y608" s="15" t="n">
        <f aca="false">IF(J608=0,0,W608/J608)</f>
        <v>0.778873794536196</v>
      </c>
      <c r="Z608" s="14" t="n">
        <v>188157</v>
      </c>
      <c r="AA608" s="15" t="n">
        <f aca="false">IF(L608=0,0,Z608/L608)</f>
        <v>0.358051238527658</v>
      </c>
      <c r="AB608" s="12" t="n">
        <v>153608869</v>
      </c>
      <c r="AC608" s="16" t="n">
        <v>13.8</v>
      </c>
      <c r="AD608" s="16" t="n">
        <v>25.9</v>
      </c>
      <c r="AE608" s="13" t="n">
        <v>0.461</v>
      </c>
      <c r="AF608" s="13" t="n">
        <v>0.614</v>
      </c>
      <c r="AG608" s="13" t="n">
        <v>0.379</v>
      </c>
      <c r="AH608" s="13" t="n">
        <v>0.23</v>
      </c>
      <c r="AI608" s="17" t="n">
        <v>4.73</v>
      </c>
    </row>
    <row r="609" customFormat="false" ht="15" hidden="false" customHeight="false" outlineLevel="0" collapsed="false">
      <c r="A609" s="10" t="n">
        <v>45931</v>
      </c>
      <c r="B609" s="11" t="n">
        <f aca="false">YEAR(A609)</f>
        <v>2025</v>
      </c>
      <c r="C609" s="11" t="str">
        <f aca="false">"Q"&amp;ROUNDUP(MONTH(A609)/3,0)</f>
        <v>Q4</v>
      </c>
      <c r="D609" s="11" t="str">
        <f aca="false">B609&amp;"-"&amp;C609</f>
        <v>2025-Q4</v>
      </c>
      <c r="E609" s="11" t="n">
        <f aca="false">MONTH(A609)</f>
        <v>10</v>
      </c>
      <c r="F609" s="11" t="str">
        <f aca="false">TEXT(A609,"mmm")</f>
        <v>Oct</v>
      </c>
      <c r="G609" s="11" t="s">
        <v>209</v>
      </c>
      <c r="H609" s="11" t="s">
        <v>204</v>
      </c>
      <c r="I609" s="12" t="n">
        <v>6309127</v>
      </c>
      <c r="J609" s="12" t="n">
        <v>2096841</v>
      </c>
      <c r="K609" s="13" t="n">
        <f aca="false">IF(I609=0,0,J609/I609)</f>
        <v>0.332350418687086</v>
      </c>
      <c r="L609" s="12" t="n">
        <v>662808</v>
      </c>
      <c r="M609" s="12" t="n">
        <v>93966</v>
      </c>
      <c r="N609" s="12" t="n">
        <v>12658</v>
      </c>
      <c r="O609" s="12" t="n">
        <v>2785</v>
      </c>
      <c r="P609" s="12" t="n">
        <f aca="false">M609+N609+O609</f>
        <v>109409</v>
      </c>
      <c r="Q609" s="13" t="n">
        <f aca="false">IF(I609=0,0,P609/I609)</f>
        <v>0.017341384949138</v>
      </c>
      <c r="R609" s="13" t="n">
        <v>0.0349</v>
      </c>
      <c r="S609" s="14" t="n">
        <v>749097</v>
      </c>
      <c r="T609" s="14" t="n">
        <v>47299</v>
      </c>
      <c r="U609" s="14" t="n">
        <v>40547</v>
      </c>
      <c r="V609" s="14" t="n">
        <v>37723</v>
      </c>
      <c r="W609" s="14" t="n">
        <f aca="false">S609+T609+U609+V609</f>
        <v>874666</v>
      </c>
      <c r="X609" s="15" t="n">
        <f aca="false">IF(P609=0,0,S609/P609)</f>
        <v>6.84675849335978</v>
      </c>
      <c r="Y609" s="15" t="n">
        <f aca="false">IF(J609=0,0,W609/J609)</f>
        <v>0.417135109433667</v>
      </c>
      <c r="Z609" s="14" t="n">
        <v>127882</v>
      </c>
      <c r="AA609" s="15" t="n">
        <f aca="false">IF(L609=0,0,Z609/L609)</f>
        <v>0.192939735187264</v>
      </c>
      <c r="AB609" s="12" t="n">
        <v>181170809</v>
      </c>
      <c r="AC609" s="16" t="n">
        <v>13.6</v>
      </c>
      <c r="AD609" s="16" t="n">
        <v>27.8</v>
      </c>
      <c r="AE609" s="13" t="n">
        <v>0.443</v>
      </c>
      <c r="AF609" s="13" t="n">
        <v>0.617</v>
      </c>
      <c r="AG609" s="13" t="n">
        <v>0.375</v>
      </c>
      <c r="AH609" s="13" t="n">
        <v>0.229</v>
      </c>
      <c r="AI609" s="17" t="n">
        <v>4.68</v>
      </c>
    </row>
    <row r="610" customFormat="false" ht="15" hidden="false" customHeight="false" outlineLevel="0" collapsed="false">
      <c r="A610" s="10" t="n">
        <v>45931</v>
      </c>
      <c r="B610" s="11" t="n">
        <f aca="false">YEAR(A610)</f>
        <v>2025</v>
      </c>
      <c r="C610" s="11" t="str">
        <f aca="false">"Q"&amp;ROUNDUP(MONTH(A610)/3,0)</f>
        <v>Q4</v>
      </c>
      <c r="D610" s="11" t="str">
        <f aca="false">B610&amp;"-"&amp;C610</f>
        <v>2025-Q4</v>
      </c>
      <c r="E610" s="11" t="n">
        <f aca="false">MONTH(A610)</f>
        <v>10</v>
      </c>
      <c r="F610" s="11" t="str">
        <f aca="false">TEXT(A610,"mmm")</f>
        <v>Oct</v>
      </c>
      <c r="G610" s="11" t="s">
        <v>209</v>
      </c>
      <c r="H610" s="11" t="s">
        <v>205</v>
      </c>
      <c r="I610" s="12" t="n">
        <v>1967059</v>
      </c>
      <c r="J610" s="12" t="n">
        <v>600393</v>
      </c>
      <c r="K610" s="13" t="n">
        <f aca="false">IF(I610=0,0,J610/I610)</f>
        <v>0.305223686732325</v>
      </c>
      <c r="L610" s="12" t="n">
        <v>168137</v>
      </c>
      <c r="M610" s="12" t="n">
        <v>28780</v>
      </c>
      <c r="N610" s="12" t="n">
        <v>3510</v>
      </c>
      <c r="O610" s="12" t="n">
        <v>557</v>
      </c>
      <c r="P610" s="12" t="n">
        <f aca="false">M610+N610+O610</f>
        <v>32847</v>
      </c>
      <c r="Q610" s="13" t="n">
        <f aca="false">IF(I610=0,0,P610/I610)</f>
        <v>0.0166985331909211</v>
      </c>
      <c r="R610" s="13" t="n">
        <v>0.0389</v>
      </c>
      <c r="S610" s="14" t="n">
        <v>202846</v>
      </c>
      <c r="T610" s="14" t="n">
        <v>11205</v>
      </c>
      <c r="U610" s="14" t="n">
        <v>11352</v>
      </c>
      <c r="V610" s="14" t="n">
        <v>10035</v>
      </c>
      <c r="W610" s="14" t="n">
        <f aca="false">S610+T610+U610+V610</f>
        <v>235438</v>
      </c>
      <c r="X610" s="15" t="n">
        <f aca="false">IF(P610=0,0,S610/P610)</f>
        <v>6.17548025694888</v>
      </c>
      <c r="Y610" s="15" t="n">
        <f aca="false">IF(J610=0,0,W610/J610)</f>
        <v>0.392139815087784</v>
      </c>
      <c r="Z610" s="14" t="n">
        <v>33830</v>
      </c>
      <c r="AA610" s="15" t="n">
        <f aca="false">IF(L610=0,0,Z610/L610)</f>
        <v>0.201204969756805</v>
      </c>
      <c r="AB610" s="12" t="n">
        <v>51650248</v>
      </c>
      <c r="AC610" s="16" t="n">
        <v>12.2</v>
      </c>
      <c r="AD610" s="16" t="n">
        <v>27.1</v>
      </c>
      <c r="AE610" s="13" t="n">
        <v>0.467</v>
      </c>
      <c r="AF610" s="13" t="n">
        <v>0.617</v>
      </c>
      <c r="AG610" s="13" t="n">
        <v>0.378</v>
      </c>
      <c r="AH610" s="13" t="n">
        <v>0.224</v>
      </c>
      <c r="AI610" s="17"/>
    </row>
    <row r="611" customFormat="false" ht="15" hidden="false" customHeight="false" outlineLevel="0" collapsed="false">
      <c r="A611" s="10" t="n">
        <v>45931</v>
      </c>
      <c r="B611" s="11" t="n">
        <f aca="false">YEAR(A611)</f>
        <v>2025</v>
      </c>
      <c r="C611" s="11" t="str">
        <f aca="false">"Q"&amp;ROUNDUP(MONTH(A611)/3,0)</f>
        <v>Q4</v>
      </c>
      <c r="D611" s="11" t="str">
        <f aca="false">B611&amp;"-"&amp;C611</f>
        <v>2025-Q4</v>
      </c>
      <c r="E611" s="11" t="n">
        <f aca="false">MONTH(A611)</f>
        <v>10</v>
      </c>
      <c r="F611" s="11" t="str">
        <f aca="false">TEXT(A611,"mmm")</f>
        <v>Oct</v>
      </c>
      <c r="G611" s="11" t="s">
        <v>210</v>
      </c>
      <c r="H611" s="11" t="s">
        <v>203</v>
      </c>
      <c r="I611" s="12" t="n">
        <v>8895525</v>
      </c>
      <c r="J611" s="12" t="n">
        <v>3235188</v>
      </c>
      <c r="K611" s="13" t="n">
        <f aca="false">IF(I611=0,0,J611/I611)</f>
        <v>0.363687134823408</v>
      </c>
      <c r="L611" s="12" t="n">
        <v>1005417</v>
      </c>
      <c r="M611" s="12" t="n">
        <v>343499</v>
      </c>
      <c r="N611" s="12" t="n">
        <v>41424</v>
      </c>
      <c r="O611" s="12" t="n">
        <v>13521</v>
      </c>
      <c r="P611" s="12" t="n">
        <f aca="false">M611+N611+O611</f>
        <v>398444</v>
      </c>
      <c r="Q611" s="13" t="n">
        <f aca="false">IF(I611=0,0,P611/I611)</f>
        <v>0.0447915103380632</v>
      </c>
      <c r="R611" s="13" t="n">
        <v>0.039</v>
      </c>
      <c r="S611" s="14" t="n">
        <v>2554665</v>
      </c>
      <c r="T611" s="14" t="n">
        <v>156088</v>
      </c>
      <c r="U611" s="14" t="n">
        <v>150487</v>
      </c>
      <c r="V611" s="14" t="n">
        <v>125713</v>
      </c>
      <c r="W611" s="14" t="n">
        <f aca="false">S611+T611+U611+V611</f>
        <v>2986953</v>
      </c>
      <c r="X611" s="15" t="n">
        <f aca="false">IF(P611=0,0,S611/P611)</f>
        <v>6.41160363815241</v>
      </c>
      <c r="Y611" s="15" t="n">
        <f aca="false">IF(J611=0,0,W611/J611)</f>
        <v>0.923270301447706</v>
      </c>
      <c r="Z611" s="14" t="n">
        <v>485308</v>
      </c>
      <c r="AA611" s="15" t="n">
        <f aca="false">IF(L611=0,0,Z611/L611)</f>
        <v>0.482693250661168</v>
      </c>
      <c r="AB611" s="12" t="n">
        <v>288578467</v>
      </c>
      <c r="AC611" s="16" t="n">
        <v>13.7</v>
      </c>
      <c r="AD611" s="16" t="n">
        <v>27.2</v>
      </c>
      <c r="AE611" s="13" t="n">
        <v>0.452</v>
      </c>
      <c r="AF611" s="13" t="n">
        <v>0.615</v>
      </c>
      <c r="AG611" s="13" t="n">
        <v>0.378</v>
      </c>
      <c r="AH611" s="13" t="n">
        <v>0.234</v>
      </c>
      <c r="AI611" s="17" t="n">
        <v>4.75</v>
      </c>
    </row>
    <row r="612" customFormat="false" ht="15" hidden="false" customHeight="false" outlineLevel="0" collapsed="false">
      <c r="A612" s="10" t="n">
        <v>45931</v>
      </c>
      <c r="B612" s="11" t="n">
        <f aca="false">YEAR(A612)</f>
        <v>2025</v>
      </c>
      <c r="C612" s="11" t="str">
        <f aca="false">"Q"&amp;ROUNDUP(MONTH(A612)/3,0)</f>
        <v>Q4</v>
      </c>
      <c r="D612" s="11" t="str">
        <f aca="false">B612&amp;"-"&amp;C612</f>
        <v>2025-Q4</v>
      </c>
      <c r="E612" s="11" t="n">
        <f aca="false">MONTH(A612)</f>
        <v>10</v>
      </c>
      <c r="F612" s="11" t="str">
        <f aca="false">TEXT(A612,"mmm")</f>
        <v>Oct</v>
      </c>
      <c r="G612" s="11" t="s">
        <v>210</v>
      </c>
      <c r="H612" s="11" t="s">
        <v>204</v>
      </c>
      <c r="I612" s="12" t="n">
        <v>10761335</v>
      </c>
      <c r="J612" s="12" t="n">
        <v>3644082</v>
      </c>
      <c r="K612" s="13" t="n">
        <f aca="false">IF(I612=0,0,J612/I612)</f>
        <v>0.338627317149777</v>
      </c>
      <c r="L612" s="12" t="n">
        <v>1106420</v>
      </c>
      <c r="M612" s="12" t="n">
        <v>210869</v>
      </c>
      <c r="N612" s="12" t="n">
        <v>28535</v>
      </c>
      <c r="O612" s="12" t="n">
        <v>6252</v>
      </c>
      <c r="P612" s="12" t="n">
        <f aca="false">M612+N612+O612</f>
        <v>245656</v>
      </c>
      <c r="Q612" s="13" t="n">
        <f aca="false">IF(I612=0,0,P612/I612)</f>
        <v>0.0228276510302857</v>
      </c>
      <c r="R612" s="13" t="n">
        <v>0.0347</v>
      </c>
      <c r="S612" s="14" t="n">
        <v>1577457</v>
      </c>
      <c r="T612" s="14" t="n">
        <v>86244</v>
      </c>
      <c r="U612" s="14" t="n">
        <v>91436</v>
      </c>
      <c r="V612" s="14" t="n">
        <v>76137</v>
      </c>
      <c r="W612" s="14" t="n">
        <f aca="false">S612+T612+U612+V612</f>
        <v>1831274</v>
      </c>
      <c r="X612" s="15" t="n">
        <f aca="false">IF(P612=0,0,S612/P612)</f>
        <v>6.42140635685674</v>
      </c>
      <c r="Y612" s="15" t="n">
        <f aca="false">IF(J612=0,0,W612/J612)</f>
        <v>0.502533697101218</v>
      </c>
      <c r="Z612" s="14" t="n">
        <v>311592</v>
      </c>
      <c r="AA612" s="15" t="n">
        <f aca="false">IF(L612=0,0,Z612/L612)</f>
        <v>0.281621807270295</v>
      </c>
      <c r="AB612" s="12" t="n">
        <v>310147872</v>
      </c>
      <c r="AC612" s="16" t="n">
        <v>13.7</v>
      </c>
      <c r="AD612" s="16" t="n">
        <v>27.6</v>
      </c>
      <c r="AE612" s="13" t="n">
        <v>0.464</v>
      </c>
      <c r="AF612" s="13" t="n">
        <v>0.622</v>
      </c>
      <c r="AG612" s="13" t="n">
        <v>0.375</v>
      </c>
      <c r="AH612" s="13" t="n">
        <v>0.228</v>
      </c>
      <c r="AI612" s="17" t="n">
        <v>4.7</v>
      </c>
    </row>
    <row r="613" customFormat="false" ht="15" hidden="false" customHeight="false" outlineLevel="0" collapsed="false">
      <c r="A613" s="10" t="n">
        <v>45931</v>
      </c>
      <c r="B613" s="11" t="n">
        <f aca="false">YEAR(A613)</f>
        <v>2025</v>
      </c>
      <c r="C613" s="11" t="str">
        <f aca="false">"Q"&amp;ROUNDUP(MONTH(A613)/3,0)</f>
        <v>Q4</v>
      </c>
      <c r="D613" s="11" t="str">
        <f aca="false">B613&amp;"-"&amp;C613</f>
        <v>2025-Q4</v>
      </c>
      <c r="E613" s="11" t="n">
        <f aca="false">MONTH(A613)</f>
        <v>10</v>
      </c>
      <c r="F613" s="11" t="str">
        <f aca="false">TEXT(A613,"mmm")</f>
        <v>Oct</v>
      </c>
      <c r="G613" s="11" t="s">
        <v>210</v>
      </c>
      <c r="H613" s="11" t="s">
        <v>205</v>
      </c>
      <c r="I613" s="12" t="n">
        <v>3734987</v>
      </c>
      <c r="J613" s="12" t="n">
        <v>1129851</v>
      </c>
      <c r="K613" s="13" t="n">
        <f aca="false">IF(I613=0,0,J613/I613)</f>
        <v>0.302504667352256</v>
      </c>
      <c r="L613" s="12" t="n">
        <v>318144</v>
      </c>
      <c r="M613" s="12" t="n">
        <v>53305</v>
      </c>
      <c r="N613" s="12" t="n">
        <v>7197</v>
      </c>
      <c r="O613" s="12" t="n">
        <v>1044</v>
      </c>
      <c r="P613" s="12" t="n">
        <f aca="false">M613+N613+O613</f>
        <v>61546</v>
      </c>
      <c r="Q613" s="13" t="n">
        <f aca="false">IF(I613=0,0,P613/I613)</f>
        <v>0.0164782367381734</v>
      </c>
      <c r="R613" s="13" t="n">
        <v>0.04</v>
      </c>
      <c r="S613" s="14" t="n">
        <v>445330</v>
      </c>
      <c r="T613" s="14" t="n">
        <v>24775</v>
      </c>
      <c r="U613" s="14" t="n">
        <v>23715</v>
      </c>
      <c r="V613" s="14" t="n">
        <v>21241</v>
      </c>
      <c r="W613" s="14" t="n">
        <f aca="false">S613+T613+U613+V613</f>
        <v>515061</v>
      </c>
      <c r="X613" s="15" t="n">
        <f aca="false">IF(P613=0,0,S613/P613)</f>
        <v>7.23572612354987</v>
      </c>
      <c r="Y613" s="15" t="n">
        <f aca="false">IF(J613=0,0,W613/J613)</f>
        <v>0.455866304495017</v>
      </c>
      <c r="Z613" s="14" t="n">
        <v>77310</v>
      </c>
      <c r="AA613" s="15" t="n">
        <f aca="false">IF(L613=0,0,Z613/L613)</f>
        <v>0.243003168376584</v>
      </c>
      <c r="AB613" s="12" t="n">
        <v>103314866</v>
      </c>
      <c r="AC613" s="16" t="n">
        <v>12.1</v>
      </c>
      <c r="AD613" s="16" t="n">
        <v>27.4</v>
      </c>
      <c r="AE613" s="13" t="n">
        <v>0.448</v>
      </c>
      <c r="AF613" s="13" t="n">
        <v>0.611</v>
      </c>
      <c r="AG613" s="13" t="n">
        <v>0.373</v>
      </c>
      <c r="AH613" s="13" t="n">
        <v>0.23</v>
      </c>
      <c r="AI613" s="17"/>
    </row>
    <row r="614" customFormat="false" ht="15" hidden="false" customHeight="false" outlineLevel="0" collapsed="false">
      <c r="A614" s="10" t="n">
        <v>45962</v>
      </c>
      <c r="B614" s="11" t="n">
        <f aca="false">YEAR(A614)</f>
        <v>2025</v>
      </c>
      <c r="C614" s="11" t="str">
        <f aca="false">"Q"&amp;ROUNDUP(MONTH(A614)/3,0)</f>
        <v>Q4</v>
      </c>
      <c r="D614" s="11" t="str">
        <f aca="false">B614&amp;"-"&amp;C614</f>
        <v>2025-Q4</v>
      </c>
      <c r="E614" s="11" t="n">
        <f aca="false">MONTH(A614)</f>
        <v>11</v>
      </c>
      <c r="F614" s="11" t="str">
        <f aca="false">TEXT(A614,"mmm")</f>
        <v>Nov</v>
      </c>
      <c r="G614" s="11" t="s">
        <v>202</v>
      </c>
      <c r="H614" s="11" t="s">
        <v>203</v>
      </c>
      <c r="I614" s="12" t="n">
        <v>9673852</v>
      </c>
      <c r="J614" s="12" t="n">
        <v>3774836</v>
      </c>
      <c r="K614" s="13" t="n">
        <f aca="false">IF(I614=0,0,J614/I614)</f>
        <v>0.390210228562521</v>
      </c>
      <c r="L614" s="12" t="n">
        <v>1105309</v>
      </c>
      <c r="M614" s="12" t="n">
        <v>2142002</v>
      </c>
      <c r="N614" s="12" t="n">
        <v>329812</v>
      </c>
      <c r="O614" s="12" t="n">
        <v>401951</v>
      </c>
      <c r="P614" s="12" t="n">
        <f aca="false">M614+N614+O614</f>
        <v>2873765</v>
      </c>
      <c r="Q614" s="13" t="n">
        <f aca="false">IF(I614=0,0,P614/I614)</f>
        <v>0.297065222829541</v>
      </c>
      <c r="R614" s="13" t="n">
        <v>0.0391</v>
      </c>
      <c r="S614" s="14" t="n">
        <v>21271554</v>
      </c>
      <c r="T614" s="14" t="n">
        <v>1330959</v>
      </c>
      <c r="U614" s="14" t="n">
        <v>1283612</v>
      </c>
      <c r="V614" s="14" t="n">
        <v>981190</v>
      </c>
      <c r="W614" s="14" t="n">
        <f aca="false">S614+T614+U614+V614</f>
        <v>24867315</v>
      </c>
      <c r="X614" s="15" t="n">
        <f aca="false">IF(P614=0,0,S614/P614)</f>
        <v>7.40198102489243</v>
      </c>
      <c r="Y614" s="15" t="n">
        <f aca="false">IF(J614=0,0,W614/J614)</f>
        <v>6.58765440405888</v>
      </c>
      <c r="Z614" s="14" t="n">
        <v>3763690</v>
      </c>
      <c r="AA614" s="15" t="n">
        <f aca="false">IF(L614=0,0,Z614/L614)</f>
        <v>3.40510210266993</v>
      </c>
      <c r="AB614" s="12" t="n">
        <v>326657773</v>
      </c>
      <c r="AC614" s="16" t="n">
        <v>13.9</v>
      </c>
      <c r="AD614" s="16" t="n">
        <v>28.4</v>
      </c>
      <c r="AE614" s="13" t="n">
        <v>0.448</v>
      </c>
      <c r="AF614" s="13" t="n">
        <v>0.62</v>
      </c>
      <c r="AG614" s="13" t="n">
        <v>0.373</v>
      </c>
      <c r="AH614" s="13" t="n">
        <v>0.23</v>
      </c>
      <c r="AI614" s="17" t="n">
        <v>4.78</v>
      </c>
    </row>
    <row r="615" customFormat="false" ht="15" hidden="false" customHeight="false" outlineLevel="0" collapsed="false">
      <c r="A615" s="10" t="n">
        <v>45962</v>
      </c>
      <c r="B615" s="11" t="n">
        <f aca="false">YEAR(A615)</f>
        <v>2025</v>
      </c>
      <c r="C615" s="11" t="str">
        <f aca="false">"Q"&amp;ROUNDUP(MONTH(A615)/3,0)</f>
        <v>Q4</v>
      </c>
      <c r="D615" s="11" t="str">
        <f aca="false">B615&amp;"-"&amp;C615</f>
        <v>2025-Q4</v>
      </c>
      <c r="E615" s="11" t="n">
        <f aca="false">MONTH(A615)</f>
        <v>11</v>
      </c>
      <c r="F615" s="11" t="str">
        <f aca="false">TEXT(A615,"mmm")</f>
        <v>Nov</v>
      </c>
      <c r="G615" s="11" t="s">
        <v>202</v>
      </c>
      <c r="H615" s="11" t="s">
        <v>204</v>
      </c>
      <c r="I615" s="12" t="n">
        <v>12159365</v>
      </c>
      <c r="J615" s="12" t="n">
        <v>4293236</v>
      </c>
      <c r="K615" s="13" t="n">
        <f aca="false">IF(I615=0,0,J615/I615)</f>
        <v>0.353080609061411</v>
      </c>
      <c r="L615" s="12" t="n">
        <v>1176901</v>
      </c>
      <c r="M615" s="12" t="n">
        <v>1418406</v>
      </c>
      <c r="N615" s="12" t="n">
        <v>206068</v>
      </c>
      <c r="O615" s="12" t="n">
        <v>190382</v>
      </c>
      <c r="P615" s="12" t="n">
        <f aca="false">M615+N615+O615</f>
        <v>1814856</v>
      </c>
      <c r="Q615" s="13" t="n">
        <f aca="false">IF(I615=0,0,P615/I615)</f>
        <v>0.149255820513653</v>
      </c>
      <c r="R615" s="13" t="n">
        <v>0.0391</v>
      </c>
      <c r="S615" s="14" t="n">
        <v>10863514</v>
      </c>
      <c r="T615" s="14" t="n">
        <v>642881</v>
      </c>
      <c r="U615" s="14" t="n">
        <v>676453</v>
      </c>
      <c r="V615" s="14" t="n">
        <v>540266</v>
      </c>
      <c r="W615" s="14" t="n">
        <f aca="false">S615+T615+U615+V615</f>
        <v>12723114</v>
      </c>
      <c r="X615" s="15" t="n">
        <f aca="false">IF(P615=0,0,S615/P615)</f>
        <v>5.98588207549249</v>
      </c>
      <c r="Y615" s="15" t="n">
        <f aca="false">IF(J615=0,0,W615/J615)</f>
        <v>2.96352541532774</v>
      </c>
      <c r="Z615" s="14" t="n">
        <v>1629848</v>
      </c>
      <c r="AA615" s="15" t="n">
        <f aca="false">IF(L615=0,0,Z615/L615)</f>
        <v>1.38486414745165</v>
      </c>
      <c r="AB615" s="12" t="n">
        <v>369454837</v>
      </c>
      <c r="AC615" s="16" t="n">
        <v>13.7</v>
      </c>
      <c r="AD615" s="16" t="n">
        <v>28.4</v>
      </c>
      <c r="AE615" s="13" t="n">
        <v>0.455</v>
      </c>
      <c r="AF615" s="13" t="n">
        <v>0.601</v>
      </c>
      <c r="AG615" s="13" t="n">
        <v>0.385</v>
      </c>
      <c r="AH615" s="13" t="n">
        <v>0.228</v>
      </c>
      <c r="AI615" s="17" t="n">
        <v>4.67</v>
      </c>
    </row>
    <row r="616" customFormat="false" ht="15" hidden="false" customHeight="false" outlineLevel="0" collapsed="false">
      <c r="A616" s="10" t="n">
        <v>45962</v>
      </c>
      <c r="B616" s="11" t="n">
        <f aca="false">YEAR(A616)</f>
        <v>2025</v>
      </c>
      <c r="C616" s="11" t="str">
        <f aca="false">"Q"&amp;ROUNDUP(MONTH(A616)/3,0)</f>
        <v>Q4</v>
      </c>
      <c r="D616" s="11" t="str">
        <f aca="false">B616&amp;"-"&amp;C616</f>
        <v>2025-Q4</v>
      </c>
      <c r="E616" s="11" t="n">
        <f aca="false">MONTH(A616)</f>
        <v>11</v>
      </c>
      <c r="F616" s="11" t="str">
        <f aca="false">TEXT(A616,"mmm")</f>
        <v>Nov</v>
      </c>
      <c r="G616" s="11" t="s">
        <v>202</v>
      </c>
      <c r="H616" s="11" t="s">
        <v>205</v>
      </c>
      <c r="I616" s="12" t="n">
        <v>3664788</v>
      </c>
      <c r="J616" s="12" t="n">
        <v>1234711</v>
      </c>
      <c r="K616" s="13" t="n">
        <f aca="false">IF(I616=0,0,J616/I616)</f>
        <v>0.336911985086177</v>
      </c>
      <c r="L616" s="12" t="n">
        <v>445030</v>
      </c>
      <c r="M616" s="12" t="n">
        <v>381906</v>
      </c>
      <c r="N616" s="12" t="n">
        <v>48537</v>
      </c>
      <c r="O616" s="12" t="n">
        <v>32366</v>
      </c>
      <c r="P616" s="12" t="n">
        <f aca="false">M616+N616+O616</f>
        <v>462809</v>
      </c>
      <c r="Q616" s="13" t="n">
        <f aca="false">IF(I616=0,0,P616/I616)</f>
        <v>0.126285340379853</v>
      </c>
      <c r="R616" s="13" t="n">
        <v>0.0431</v>
      </c>
      <c r="S616" s="14" t="n">
        <v>3048582</v>
      </c>
      <c r="T616" s="14" t="n">
        <v>182866</v>
      </c>
      <c r="U616" s="14" t="n">
        <v>185363</v>
      </c>
      <c r="V616" s="14" t="n">
        <v>142982</v>
      </c>
      <c r="W616" s="14" t="n">
        <f aca="false">S616+T616+U616+V616</f>
        <v>3559793</v>
      </c>
      <c r="X616" s="15" t="n">
        <f aca="false">IF(P616=0,0,S616/P616)</f>
        <v>6.58712773519962</v>
      </c>
      <c r="Y616" s="15" t="n">
        <f aca="false">IF(J616=0,0,W616/J616)</f>
        <v>2.88309815009342</v>
      </c>
      <c r="Z616" s="14" t="n">
        <v>496900</v>
      </c>
      <c r="AA616" s="15" t="n">
        <f aca="false">IF(L616=0,0,Z616/L616)</f>
        <v>1.11655394018381</v>
      </c>
      <c r="AB616" s="12" t="n">
        <v>111013240</v>
      </c>
      <c r="AC616" s="16" t="n">
        <v>12</v>
      </c>
      <c r="AD616" s="16" t="n">
        <v>28.8</v>
      </c>
      <c r="AE616" s="13" t="n">
        <v>0.457</v>
      </c>
      <c r="AF616" s="13" t="n">
        <v>0.588</v>
      </c>
      <c r="AG616" s="13" t="n">
        <v>0.38</v>
      </c>
      <c r="AH616" s="13" t="n">
        <v>0.225</v>
      </c>
      <c r="AI616" s="17"/>
    </row>
    <row r="617" customFormat="false" ht="15" hidden="false" customHeight="false" outlineLevel="0" collapsed="false">
      <c r="A617" s="10" t="n">
        <v>45962</v>
      </c>
      <c r="B617" s="11" t="n">
        <f aca="false">YEAR(A617)</f>
        <v>2025</v>
      </c>
      <c r="C617" s="11" t="str">
        <f aca="false">"Q"&amp;ROUNDUP(MONTH(A617)/3,0)</f>
        <v>Q4</v>
      </c>
      <c r="D617" s="11" t="str">
        <f aca="false">B617&amp;"-"&amp;C617</f>
        <v>2025-Q4</v>
      </c>
      <c r="E617" s="11" t="n">
        <f aca="false">MONTH(A617)</f>
        <v>11</v>
      </c>
      <c r="F617" s="11" t="str">
        <f aca="false">TEXT(A617,"mmm")</f>
        <v>Nov</v>
      </c>
      <c r="G617" s="11" t="s">
        <v>206</v>
      </c>
      <c r="H617" s="11" t="s">
        <v>203</v>
      </c>
      <c r="I617" s="12" t="n">
        <v>11688781</v>
      </c>
      <c r="J617" s="12" t="n">
        <v>4649609</v>
      </c>
      <c r="K617" s="13" t="n">
        <f aca="false">IF(I617=0,0,J617/I617)</f>
        <v>0.397783909203192</v>
      </c>
      <c r="L617" s="12" t="n">
        <v>1267454</v>
      </c>
      <c r="M617" s="12" t="n">
        <v>1451006</v>
      </c>
      <c r="N617" s="12" t="n">
        <v>196228</v>
      </c>
      <c r="O617" s="12" t="n">
        <v>157792</v>
      </c>
      <c r="P617" s="12" t="n">
        <f aca="false">M617+N617+O617</f>
        <v>1805026</v>
      </c>
      <c r="Q617" s="13" t="n">
        <f aca="false">IF(I617=0,0,P617/I617)</f>
        <v>0.154423801763417</v>
      </c>
      <c r="R617" s="13" t="n">
        <v>0.0362</v>
      </c>
      <c r="S617" s="14" t="n">
        <v>13081251</v>
      </c>
      <c r="T617" s="14" t="n">
        <v>806161</v>
      </c>
      <c r="U617" s="14" t="n">
        <v>751748</v>
      </c>
      <c r="V617" s="14" t="n">
        <v>595705</v>
      </c>
      <c r="W617" s="14" t="n">
        <f aca="false">S617+T617+U617+V617</f>
        <v>15234865</v>
      </c>
      <c r="X617" s="15" t="n">
        <f aca="false">IF(P617=0,0,S617/P617)</f>
        <v>7.24712608017835</v>
      </c>
      <c r="Y617" s="15" t="n">
        <f aca="false">IF(J617=0,0,W617/J617)</f>
        <v>3.27659056922851</v>
      </c>
      <c r="Z617" s="14" t="n">
        <v>2359337</v>
      </c>
      <c r="AA617" s="15" t="n">
        <f aca="false">IF(L617=0,0,Z617/L617)</f>
        <v>1.86147741850986</v>
      </c>
      <c r="AB617" s="12" t="n">
        <v>379918871</v>
      </c>
      <c r="AC617" s="16" t="n">
        <v>14</v>
      </c>
      <c r="AD617" s="16" t="n">
        <v>27.1</v>
      </c>
      <c r="AE617" s="13" t="n">
        <v>0.454</v>
      </c>
      <c r="AF617" s="13" t="n">
        <v>0.605</v>
      </c>
      <c r="AG617" s="13" t="n">
        <v>0.363</v>
      </c>
      <c r="AH617" s="13" t="n">
        <v>0.225</v>
      </c>
      <c r="AI617" s="17" t="n">
        <v>4.75</v>
      </c>
    </row>
    <row r="618" customFormat="false" ht="15" hidden="false" customHeight="false" outlineLevel="0" collapsed="false">
      <c r="A618" s="10" t="n">
        <v>45962</v>
      </c>
      <c r="B618" s="11" t="n">
        <f aca="false">YEAR(A618)</f>
        <v>2025</v>
      </c>
      <c r="C618" s="11" t="str">
        <f aca="false">"Q"&amp;ROUNDUP(MONTH(A618)/3,0)</f>
        <v>Q4</v>
      </c>
      <c r="D618" s="11" t="str">
        <f aca="false">B618&amp;"-"&amp;C618</f>
        <v>2025-Q4</v>
      </c>
      <c r="E618" s="11" t="n">
        <f aca="false">MONTH(A618)</f>
        <v>11</v>
      </c>
      <c r="F618" s="11" t="str">
        <f aca="false">TEXT(A618,"mmm")</f>
        <v>Nov</v>
      </c>
      <c r="G618" s="11" t="s">
        <v>206</v>
      </c>
      <c r="H618" s="11" t="s">
        <v>204</v>
      </c>
      <c r="I618" s="12" t="n">
        <v>14219559</v>
      </c>
      <c r="J618" s="12" t="n">
        <v>5242744</v>
      </c>
      <c r="K618" s="13" t="n">
        <f aca="false">IF(I618=0,0,J618/I618)</f>
        <v>0.368699479357975</v>
      </c>
      <c r="L618" s="12" t="n">
        <v>1538616</v>
      </c>
      <c r="M618" s="12" t="n">
        <v>814185</v>
      </c>
      <c r="N618" s="12" t="n">
        <v>113394</v>
      </c>
      <c r="O618" s="12" t="n">
        <v>65083</v>
      </c>
      <c r="P618" s="12" t="n">
        <f aca="false">M618+N618+O618</f>
        <v>992662</v>
      </c>
      <c r="Q618" s="13" t="n">
        <f aca="false">IF(I618=0,0,P618/I618)</f>
        <v>0.0698096192715963</v>
      </c>
      <c r="R618" s="13" t="n">
        <v>0.0414</v>
      </c>
      <c r="S618" s="14" t="n">
        <v>6693346</v>
      </c>
      <c r="T618" s="14" t="n">
        <v>411572</v>
      </c>
      <c r="U618" s="14" t="n">
        <v>383679</v>
      </c>
      <c r="V618" s="14" t="n">
        <v>307319</v>
      </c>
      <c r="W618" s="14" t="n">
        <f aca="false">S618+T618+U618+V618</f>
        <v>7795916</v>
      </c>
      <c r="X618" s="15" t="n">
        <f aca="false">IF(P618=0,0,S618/P618)</f>
        <v>6.74282484874006</v>
      </c>
      <c r="Y618" s="15" t="n">
        <f aca="false">IF(J618=0,0,W618/J618)</f>
        <v>1.48699154488566</v>
      </c>
      <c r="Z618" s="14" t="n">
        <v>1065317</v>
      </c>
      <c r="AA618" s="15" t="n">
        <f aca="false">IF(L618=0,0,Z618/L618)</f>
        <v>0.692386534391947</v>
      </c>
      <c r="AB618" s="12" t="n">
        <v>458800515</v>
      </c>
      <c r="AC618" s="16" t="n">
        <v>13.8</v>
      </c>
      <c r="AD618" s="16" t="n">
        <v>27.1</v>
      </c>
      <c r="AE618" s="13" t="n">
        <v>0.442</v>
      </c>
      <c r="AF618" s="13" t="n">
        <v>0.612</v>
      </c>
      <c r="AG618" s="13" t="n">
        <v>0.386</v>
      </c>
      <c r="AH618" s="13" t="n">
        <v>0.228</v>
      </c>
      <c r="AI618" s="17" t="n">
        <v>4.69</v>
      </c>
    </row>
    <row r="619" customFormat="false" ht="15" hidden="false" customHeight="false" outlineLevel="0" collapsed="false">
      <c r="A619" s="10" t="n">
        <v>45962</v>
      </c>
      <c r="B619" s="11" t="n">
        <f aca="false">YEAR(A619)</f>
        <v>2025</v>
      </c>
      <c r="C619" s="11" t="str">
        <f aca="false">"Q"&amp;ROUNDUP(MONTH(A619)/3,0)</f>
        <v>Q4</v>
      </c>
      <c r="D619" s="11" t="str">
        <f aca="false">B619&amp;"-"&amp;C619</f>
        <v>2025-Q4</v>
      </c>
      <c r="E619" s="11" t="n">
        <f aca="false">MONTH(A619)</f>
        <v>11</v>
      </c>
      <c r="F619" s="11" t="str">
        <f aca="false">TEXT(A619,"mmm")</f>
        <v>Nov</v>
      </c>
      <c r="G619" s="11" t="s">
        <v>206</v>
      </c>
      <c r="H619" s="11" t="s">
        <v>205</v>
      </c>
      <c r="I619" s="12" t="n">
        <v>4467757</v>
      </c>
      <c r="J619" s="12" t="n">
        <v>1458353</v>
      </c>
      <c r="K619" s="13" t="n">
        <f aca="false">IF(I619=0,0,J619/I619)</f>
        <v>0.326417260383678</v>
      </c>
      <c r="L619" s="12" t="n">
        <v>406082</v>
      </c>
      <c r="M619" s="12" t="n">
        <v>234265</v>
      </c>
      <c r="N619" s="12" t="n">
        <v>30154</v>
      </c>
      <c r="O619" s="12" t="n">
        <v>12086</v>
      </c>
      <c r="P619" s="12" t="n">
        <f aca="false">M619+N619+O619</f>
        <v>276505</v>
      </c>
      <c r="Q619" s="13" t="n">
        <f aca="false">IF(I619=0,0,P619/I619)</f>
        <v>0.0618889970963058</v>
      </c>
      <c r="R619" s="13" t="n">
        <v>0.0378</v>
      </c>
      <c r="S619" s="14" t="n">
        <v>1951698</v>
      </c>
      <c r="T619" s="14" t="n">
        <v>117055</v>
      </c>
      <c r="U619" s="14" t="n">
        <v>106859</v>
      </c>
      <c r="V619" s="14" t="n">
        <v>81909</v>
      </c>
      <c r="W619" s="14" t="n">
        <f aca="false">S619+T619+U619+V619</f>
        <v>2257521</v>
      </c>
      <c r="X619" s="15" t="n">
        <f aca="false">IF(P619=0,0,S619/P619)</f>
        <v>7.05845463915662</v>
      </c>
      <c r="Y619" s="15" t="n">
        <f aca="false">IF(J619=0,0,W619/J619)</f>
        <v>1.54799352420162</v>
      </c>
      <c r="Z619" s="14" t="n">
        <v>344295</v>
      </c>
      <c r="AA619" s="15" t="n">
        <f aca="false">IF(L619=0,0,Z619/L619)</f>
        <v>0.847846001546486</v>
      </c>
      <c r="AB619" s="12" t="n">
        <v>121639456</v>
      </c>
      <c r="AC619" s="16" t="n">
        <v>12</v>
      </c>
      <c r="AD619" s="16" t="n">
        <v>26.7</v>
      </c>
      <c r="AE619" s="13" t="n">
        <v>0.46</v>
      </c>
      <c r="AF619" s="13" t="n">
        <v>0.609</v>
      </c>
      <c r="AG619" s="13" t="n">
        <v>0.386</v>
      </c>
      <c r="AH619" s="13" t="n">
        <v>0.228</v>
      </c>
      <c r="AI619" s="17"/>
    </row>
    <row r="620" customFormat="false" ht="15" hidden="false" customHeight="false" outlineLevel="0" collapsed="false">
      <c r="A620" s="10" t="n">
        <v>45962</v>
      </c>
      <c r="B620" s="11" t="n">
        <f aca="false">YEAR(A620)</f>
        <v>2025</v>
      </c>
      <c r="C620" s="11" t="str">
        <f aca="false">"Q"&amp;ROUNDUP(MONTH(A620)/3,0)</f>
        <v>Q4</v>
      </c>
      <c r="D620" s="11" t="str">
        <f aca="false">B620&amp;"-"&amp;C620</f>
        <v>2025-Q4</v>
      </c>
      <c r="E620" s="11" t="n">
        <f aca="false">MONTH(A620)</f>
        <v>11</v>
      </c>
      <c r="F620" s="11" t="str">
        <f aca="false">TEXT(A620,"mmm")</f>
        <v>Nov</v>
      </c>
      <c r="G620" s="11" t="s">
        <v>207</v>
      </c>
      <c r="H620" s="11" t="s">
        <v>203</v>
      </c>
      <c r="I620" s="12" t="n">
        <v>10810782</v>
      </c>
      <c r="J620" s="12" t="n">
        <v>4078256</v>
      </c>
      <c r="K620" s="13" t="n">
        <f aca="false">IF(I620=0,0,J620/I620)</f>
        <v>0.377239685343761</v>
      </c>
      <c r="L620" s="12" t="n">
        <v>1129824</v>
      </c>
      <c r="M620" s="12" t="n">
        <v>875053</v>
      </c>
      <c r="N620" s="12" t="n">
        <v>113590</v>
      </c>
      <c r="O620" s="12" t="n">
        <v>64441</v>
      </c>
      <c r="P620" s="12" t="n">
        <f aca="false">M620+N620+O620</f>
        <v>1053084</v>
      </c>
      <c r="Q620" s="13" t="n">
        <f aca="false">IF(I620=0,0,P620/I620)</f>
        <v>0.0974105295990614</v>
      </c>
      <c r="R620" s="13" t="n">
        <v>0.0346</v>
      </c>
      <c r="S620" s="14" t="n">
        <v>7353912</v>
      </c>
      <c r="T620" s="14" t="n">
        <v>447711</v>
      </c>
      <c r="U620" s="14" t="n">
        <v>398282</v>
      </c>
      <c r="V620" s="14" t="n">
        <v>363285</v>
      </c>
      <c r="W620" s="14" t="n">
        <f aca="false">S620+T620+U620+V620</f>
        <v>8563190</v>
      </c>
      <c r="X620" s="15" t="n">
        <f aca="false">IF(P620=0,0,S620/P620)</f>
        <v>6.9832150141869</v>
      </c>
      <c r="Y620" s="15" t="n">
        <f aca="false">IF(J620=0,0,W620/J620)</f>
        <v>2.09971860520772</v>
      </c>
      <c r="Z620" s="14" t="n">
        <v>1318408</v>
      </c>
      <c r="AA620" s="15" t="n">
        <f aca="false">IF(L620=0,0,Z620/L620)</f>
        <v>1.16691449287677</v>
      </c>
      <c r="AB620" s="12" t="n">
        <v>358389909</v>
      </c>
      <c r="AC620" s="16" t="n">
        <v>13.8</v>
      </c>
      <c r="AD620" s="16" t="n">
        <v>28.2</v>
      </c>
      <c r="AE620" s="13" t="n">
        <v>0.461</v>
      </c>
      <c r="AF620" s="13" t="n">
        <v>0.61</v>
      </c>
      <c r="AG620" s="13" t="n">
        <v>0.38</v>
      </c>
      <c r="AH620" s="13" t="n">
        <v>0.216</v>
      </c>
      <c r="AI620" s="17" t="n">
        <v>4.72</v>
      </c>
    </row>
    <row r="621" customFormat="false" ht="15" hidden="false" customHeight="false" outlineLevel="0" collapsed="false">
      <c r="A621" s="10" t="n">
        <v>45962</v>
      </c>
      <c r="B621" s="11" t="n">
        <f aca="false">YEAR(A621)</f>
        <v>2025</v>
      </c>
      <c r="C621" s="11" t="str">
        <f aca="false">"Q"&amp;ROUNDUP(MONTH(A621)/3,0)</f>
        <v>Q4</v>
      </c>
      <c r="D621" s="11" t="str">
        <f aca="false">B621&amp;"-"&amp;C621</f>
        <v>2025-Q4</v>
      </c>
      <c r="E621" s="11" t="n">
        <f aca="false">MONTH(A621)</f>
        <v>11</v>
      </c>
      <c r="F621" s="11" t="str">
        <f aca="false">TEXT(A621,"mmm")</f>
        <v>Nov</v>
      </c>
      <c r="G621" s="11" t="s">
        <v>207</v>
      </c>
      <c r="H621" s="11" t="s">
        <v>204</v>
      </c>
      <c r="I621" s="12" t="n">
        <v>13968725</v>
      </c>
      <c r="J621" s="12" t="n">
        <v>4723610</v>
      </c>
      <c r="K621" s="13" t="n">
        <f aca="false">IF(I621=0,0,J621/I621)</f>
        <v>0.338156130928199</v>
      </c>
      <c r="L621" s="12" t="n">
        <v>1413958</v>
      </c>
      <c r="M621" s="12" t="n">
        <v>491072</v>
      </c>
      <c r="N621" s="12" t="n">
        <v>58388</v>
      </c>
      <c r="O621" s="12" t="n">
        <v>26430</v>
      </c>
      <c r="P621" s="12" t="n">
        <f aca="false">M621+N621+O621</f>
        <v>575890</v>
      </c>
      <c r="Q621" s="13" t="n">
        <f aca="false">IF(I621=0,0,P621/I621)</f>
        <v>0.0412270983930173</v>
      </c>
      <c r="R621" s="13" t="n">
        <v>0.0384</v>
      </c>
      <c r="S621" s="14" t="n">
        <v>4033408</v>
      </c>
      <c r="T621" s="14" t="n">
        <v>237889</v>
      </c>
      <c r="U621" s="14" t="n">
        <v>238532</v>
      </c>
      <c r="V621" s="14" t="n">
        <v>170191</v>
      </c>
      <c r="W621" s="14" t="n">
        <f aca="false">S621+T621+U621+V621</f>
        <v>4680020</v>
      </c>
      <c r="X621" s="15" t="n">
        <f aca="false">IF(P621=0,0,S621/P621)</f>
        <v>7.00378197225165</v>
      </c>
      <c r="Y621" s="15" t="n">
        <f aca="false">IF(J621=0,0,W621/J621)</f>
        <v>0.990771888449724</v>
      </c>
      <c r="Z621" s="14" t="n">
        <v>685880</v>
      </c>
      <c r="AA621" s="15" t="n">
        <f aca="false">IF(L621=0,0,Z621/L621)</f>
        <v>0.485078057481198</v>
      </c>
      <c r="AB621" s="12" t="n">
        <v>412846702</v>
      </c>
      <c r="AC621" s="16" t="n">
        <v>13.7</v>
      </c>
      <c r="AD621" s="16" t="n">
        <v>28.1</v>
      </c>
      <c r="AE621" s="13" t="n">
        <v>0.439</v>
      </c>
      <c r="AF621" s="13" t="n">
        <v>0.609</v>
      </c>
      <c r="AG621" s="13" t="n">
        <v>0.384</v>
      </c>
      <c r="AH621" s="13" t="n">
        <v>0.225</v>
      </c>
      <c r="AI621" s="17" t="n">
        <v>4.68</v>
      </c>
    </row>
    <row r="622" customFormat="false" ht="15" hidden="false" customHeight="false" outlineLevel="0" collapsed="false">
      <c r="A622" s="10" t="n">
        <v>45962</v>
      </c>
      <c r="B622" s="11" t="n">
        <f aca="false">YEAR(A622)</f>
        <v>2025</v>
      </c>
      <c r="C622" s="11" t="str">
        <f aca="false">"Q"&amp;ROUNDUP(MONTH(A622)/3,0)</f>
        <v>Q4</v>
      </c>
      <c r="D622" s="11" t="str">
        <f aca="false">B622&amp;"-"&amp;C622</f>
        <v>2025-Q4</v>
      </c>
      <c r="E622" s="11" t="n">
        <f aca="false">MONTH(A622)</f>
        <v>11</v>
      </c>
      <c r="F622" s="11" t="str">
        <f aca="false">TEXT(A622,"mmm")</f>
        <v>Nov</v>
      </c>
      <c r="G622" s="11" t="s">
        <v>207</v>
      </c>
      <c r="H622" s="11" t="s">
        <v>205</v>
      </c>
      <c r="I622" s="12" t="n">
        <v>4438495</v>
      </c>
      <c r="J622" s="12" t="n">
        <v>1383998</v>
      </c>
      <c r="K622" s="13" t="n">
        <f aca="false">IF(I622=0,0,J622/I622)</f>
        <v>0.311816955972689</v>
      </c>
      <c r="L622" s="12" t="n">
        <v>396169</v>
      </c>
      <c r="M622" s="12" t="n">
        <v>139617</v>
      </c>
      <c r="N622" s="12" t="n">
        <v>18637</v>
      </c>
      <c r="O622" s="12" t="n">
        <v>4995</v>
      </c>
      <c r="P622" s="12" t="n">
        <f aca="false">M622+N622+O622</f>
        <v>163249</v>
      </c>
      <c r="Q622" s="13" t="n">
        <f aca="false">IF(I622=0,0,P622/I622)</f>
        <v>0.0367802599755097</v>
      </c>
      <c r="R622" s="13" t="n">
        <v>0.0403</v>
      </c>
      <c r="S622" s="14" t="n">
        <v>1185251</v>
      </c>
      <c r="T622" s="14" t="n">
        <v>67523</v>
      </c>
      <c r="U622" s="14" t="n">
        <v>65509</v>
      </c>
      <c r="V622" s="14" t="n">
        <v>54131</v>
      </c>
      <c r="W622" s="14" t="n">
        <f aca="false">S622+T622+U622+V622</f>
        <v>1372414</v>
      </c>
      <c r="X622" s="15" t="n">
        <f aca="false">IF(P622=0,0,S622/P622)</f>
        <v>7.26038750620218</v>
      </c>
      <c r="Y622" s="15" t="n">
        <f aca="false">IF(J622=0,0,W622/J622)</f>
        <v>0.991630045708159</v>
      </c>
      <c r="Z622" s="14" t="n">
        <v>209172</v>
      </c>
      <c r="AA622" s="15" t="n">
        <f aca="false">IF(L622=0,0,Z622/L622)</f>
        <v>0.527986793514889</v>
      </c>
      <c r="AB622" s="12" t="n">
        <v>118358409</v>
      </c>
      <c r="AC622" s="16" t="n">
        <v>12.1</v>
      </c>
      <c r="AD622" s="16" t="n">
        <v>28.3</v>
      </c>
      <c r="AE622" s="13" t="n">
        <v>0.444</v>
      </c>
      <c r="AF622" s="13" t="n">
        <v>0.605</v>
      </c>
      <c r="AG622" s="13" t="n">
        <v>0.376</v>
      </c>
      <c r="AH622" s="13" t="n">
        <v>0.213</v>
      </c>
      <c r="AI622" s="17"/>
    </row>
    <row r="623" customFormat="false" ht="15" hidden="false" customHeight="false" outlineLevel="0" collapsed="false">
      <c r="A623" s="10" t="n">
        <v>45962</v>
      </c>
      <c r="B623" s="11" t="n">
        <f aca="false">YEAR(A623)</f>
        <v>2025</v>
      </c>
      <c r="C623" s="11" t="str">
        <f aca="false">"Q"&amp;ROUNDUP(MONTH(A623)/3,0)</f>
        <v>Q4</v>
      </c>
      <c r="D623" s="11" t="str">
        <f aca="false">B623&amp;"-"&amp;C623</f>
        <v>2025-Q4</v>
      </c>
      <c r="E623" s="11" t="n">
        <f aca="false">MONTH(A623)</f>
        <v>11</v>
      </c>
      <c r="F623" s="11" t="str">
        <f aca="false">TEXT(A623,"mmm")</f>
        <v>Nov</v>
      </c>
      <c r="G623" s="11" t="s">
        <v>208</v>
      </c>
      <c r="H623" s="11" t="s">
        <v>203</v>
      </c>
      <c r="I623" s="12" t="n">
        <v>9121329</v>
      </c>
      <c r="J623" s="12" t="n">
        <v>3421643</v>
      </c>
      <c r="K623" s="13" t="n">
        <f aca="false">IF(I623=0,0,J623/I623)</f>
        <v>0.375125488840497</v>
      </c>
      <c r="L623" s="12" t="n">
        <v>894236</v>
      </c>
      <c r="M623" s="12" t="n">
        <v>439415</v>
      </c>
      <c r="N623" s="12" t="n">
        <v>52478</v>
      </c>
      <c r="O623" s="12" t="n">
        <v>22483</v>
      </c>
      <c r="P623" s="12" t="n">
        <f aca="false">M623+N623+O623</f>
        <v>514376</v>
      </c>
      <c r="Q623" s="13" t="n">
        <f aca="false">IF(I623=0,0,P623/I623)</f>
        <v>0.0563926594468854</v>
      </c>
      <c r="R623" s="13" t="n">
        <v>0.0362</v>
      </c>
      <c r="S623" s="14" t="n">
        <v>3264422</v>
      </c>
      <c r="T623" s="14" t="n">
        <v>190922</v>
      </c>
      <c r="U623" s="14" t="n">
        <v>184812</v>
      </c>
      <c r="V623" s="14" t="n">
        <v>165463</v>
      </c>
      <c r="W623" s="14" t="n">
        <f aca="false">S623+T623+U623+V623</f>
        <v>3805619</v>
      </c>
      <c r="X623" s="15" t="n">
        <f aca="false">IF(P623=0,0,S623/P623)</f>
        <v>6.3463730811702</v>
      </c>
      <c r="Y623" s="15" t="n">
        <f aca="false">IF(J623=0,0,W623/J623)</f>
        <v>1.11221977278167</v>
      </c>
      <c r="Z623" s="14" t="n">
        <v>524415</v>
      </c>
      <c r="AA623" s="15" t="n">
        <f aca="false">IF(L623=0,0,Z623/L623)</f>
        <v>0.586439150291422</v>
      </c>
      <c r="AB623" s="12" t="n">
        <v>316008228</v>
      </c>
      <c r="AC623" s="16" t="n">
        <v>13.9</v>
      </c>
      <c r="AD623" s="16" t="n">
        <v>26.3</v>
      </c>
      <c r="AE623" s="13" t="n">
        <v>0.48</v>
      </c>
      <c r="AF623" s="13" t="n">
        <v>0.595</v>
      </c>
      <c r="AG623" s="13" t="n">
        <v>0.379</v>
      </c>
      <c r="AH623" s="13" t="n">
        <v>0.229</v>
      </c>
      <c r="AI623" s="17" t="n">
        <v>4.76</v>
      </c>
    </row>
    <row r="624" customFormat="false" ht="15" hidden="false" customHeight="false" outlineLevel="0" collapsed="false">
      <c r="A624" s="10" t="n">
        <v>45962</v>
      </c>
      <c r="B624" s="11" t="n">
        <f aca="false">YEAR(A624)</f>
        <v>2025</v>
      </c>
      <c r="C624" s="11" t="str">
        <f aca="false">"Q"&amp;ROUNDUP(MONTH(A624)/3,0)</f>
        <v>Q4</v>
      </c>
      <c r="D624" s="11" t="str">
        <f aca="false">B624&amp;"-"&amp;C624</f>
        <v>2025-Q4</v>
      </c>
      <c r="E624" s="11" t="n">
        <f aca="false">MONTH(A624)</f>
        <v>11</v>
      </c>
      <c r="F624" s="11" t="str">
        <f aca="false">TEXT(A624,"mmm")</f>
        <v>Nov</v>
      </c>
      <c r="G624" s="11" t="s">
        <v>208</v>
      </c>
      <c r="H624" s="11" t="s">
        <v>204</v>
      </c>
      <c r="I624" s="12" t="n">
        <v>12037442</v>
      </c>
      <c r="J624" s="12" t="n">
        <v>4236617</v>
      </c>
      <c r="K624" s="13" t="n">
        <f aca="false">IF(I624=0,0,J624/I624)</f>
        <v>0.351953263824656</v>
      </c>
      <c r="L624" s="12" t="n">
        <v>1205410</v>
      </c>
      <c r="M624" s="12" t="n">
        <v>241802</v>
      </c>
      <c r="N624" s="12" t="n">
        <v>31481</v>
      </c>
      <c r="O624" s="12" t="n">
        <v>9262</v>
      </c>
      <c r="P624" s="12" t="n">
        <f aca="false">M624+N624+O624</f>
        <v>282545</v>
      </c>
      <c r="Q624" s="13" t="n">
        <f aca="false">IF(I624=0,0,P624/I624)</f>
        <v>0.0234721795544269</v>
      </c>
      <c r="R624" s="13" t="n">
        <v>0.0355</v>
      </c>
      <c r="S624" s="14" t="n">
        <v>1964124</v>
      </c>
      <c r="T624" s="14" t="n">
        <v>108002</v>
      </c>
      <c r="U624" s="14" t="n">
        <v>107989</v>
      </c>
      <c r="V624" s="14" t="n">
        <v>87360</v>
      </c>
      <c r="W624" s="14" t="n">
        <f aca="false">S624+T624+U624+V624</f>
        <v>2267475</v>
      </c>
      <c r="X624" s="15" t="n">
        <f aca="false">IF(P624=0,0,S624/P624)</f>
        <v>6.95154400184042</v>
      </c>
      <c r="Y624" s="15" t="n">
        <f aca="false">IF(J624=0,0,W624/J624)</f>
        <v>0.535208870662607</v>
      </c>
      <c r="Z624" s="14" t="n">
        <v>369883</v>
      </c>
      <c r="AA624" s="15" t="n">
        <f aca="false">IF(L624=0,0,Z624/L624)</f>
        <v>0.306852440248546</v>
      </c>
      <c r="AB624" s="12" t="n">
        <v>373012022</v>
      </c>
      <c r="AC624" s="16" t="n">
        <v>13.5</v>
      </c>
      <c r="AD624" s="16" t="n">
        <v>27.4</v>
      </c>
      <c r="AE624" s="13" t="n">
        <v>0.444</v>
      </c>
      <c r="AF624" s="13" t="n">
        <v>0.597</v>
      </c>
      <c r="AG624" s="13" t="n">
        <v>0.374</v>
      </c>
      <c r="AH624" s="13" t="n">
        <v>0.222</v>
      </c>
      <c r="AI624" s="17" t="n">
        <v>4.69</v>
      </c>
    </row>
    <row r="625" customFormat="false" ht="15" hidden="false" customHeight="false" outlineLevel="0" collapsed="false">
      <c r="A625" s="10" t="n">
        <v>45962</v>
      </c>
      <c r="B625" s="11" t="n">
        <f aca="false">YEAR(A625)</f>
        <v>2025</v>
      </c>
      <c r="C625" s="11" t="str">
        <f aca="false">"Q"&amp;ROUNDUP(MONTH(A625)/3,0)</f>
        <v>Q4</v>
      </c>
      <c r="D625" s="11" t="str">
        <f aca="false">B625&amp;"-"&amp;C625</f>
        <v>2025-Q4</v>
      </c>
      <c r="E625" s="11" t="n">
        <f aca="false">MONTH(A625)</f>
        <v>11</v>
      </c>
      <c r="F625" s="11" t="str">
        <f aca="false">TEXT(A625,"mmm")</f>
        <v>Nov</v>
      </c>
      <c r="G625" s="11" t="s">
        <v>208</v>
      </c>
      <c r="H625" s="11" t="s">
        <v>205</v>
      </c>
      <c r="I625" s="12" t="n">
        <v>3209939</v>
      </c>
      <c r="J625" s="12" t="n">
        <v>1047101</v>
      </c>
      <c r="K625" s="13" t="n">
        <f aca="false">IF(I625=0,0,J625/I625)</f>
        <v>0.326205887401599</v>
      </c>
      <c r="L625" s="12" t="n">
        <v>347829</v>
      </c>
      <c r="M625" s="12" t="n">
        <v>67910</v>
      </c>
      <c r="N625" s="12" t="n">
        <v>8459</v>
      </c>
      <c r="O625" s="12" t="n">
        <v>1706</v>
      </c>
      <c r="P625" s="12" t="n">
        <f aca="false">M625+N625+O625</f>
        <v>78075</v>
      </c>
      <c r="Q625" s="13" t="n">
        <f aca="false">IF(I625=0,0,P625/I625)</f>
        <v>0.0243228921172645</v>
      </c>
      <c r="R625" s="13" t="n">
        <v>0.0442</v>
      </c>
      <c r="S625" s="14" t="n">
        <v>492790</v>
      </c>
      <c r="T625" s="14" t="n">
        <v>28822</v>
      </c>
      <c r="U625" s="14" t="n">
        <v>30579</v>
      </c>
      <c r="V625" s="14" t="n">
        <v>23190</v>
      </c>
      <c r="W625" s="14" t="n">
        <f aca="false">S625+T625+U625+V625</f>
        <v>575381</v>
      </c>
      <c r="X625" s="15" t="n">
        <f aca="false">IF(P625=0,0,S625/P625)</f>
        <v>6.31175152097342</v>
      </c>
      <c r="Y625" s="15" t="n">
        <f aca="false">IF(J625=0,0,W625/J625)</f>
        <v>0.549499045459798</v>
      </c>
      <c r="Z625" s="14" t="n">
        <v>94216</v>
      </c>
      <c r="AA625" s="15" t="n">
        <f aca="false">IF(L625=0,0,Z625/L625)</f>
        <v>0.270868731474374</v>
      </c>
      <c r="AB625" s="12" t="n">
        <v>90680086</v>
      </c>
      <c r="AC625" s="16" t="n">
        <v>12.5</v>
      </c>
      <c r="AD625" s="16" t="n">
        <v>26.5</v>
      </c>
      <c r="AE625" s="13" t="n">
        <v>0.467</v>
      </c>
      <c r="AF625" s="13" t="n">
        <v>0.611</v>
      </c>
      <c r="AG625" s="13" t="n">
        <v>0.379</v>
      </c>
      <c r="AH625" s="13" t="n">
        <v>0.222</v>
      </c>
      <c r="AI625" s="17"/>
    </row>
    <row r="626" customFormat="false" ht="15" hidden="false" customHeight="false" outlineLevel="0" collapsed="false">
      <c r="A626" s="10" t="n">
        <v>45962</v>
      </c>
      <c r="B626" s="11" t="n">
        <f aca="false">YEAR(A626)</f>
        <v>2025</v>
      </c>
      <c r="C626" s="11" t="str">
        <f aca="false">"Q"&amp;ROUNDUP(MONTH(A626)/3,0)</f>
        <v>Q4</v>
      </c>
      <c r="D626" s="11" t="str">
        <f aca="false">B626&amp;"-"&amp;C626</f>
        <v>2025-Q4</v>
      </c>
      <c r="E626" s="11" t="n">
        <f aca="false">MONTH(A626)</f>
        <v>11</v>
      </c>
      <c r="F626" s="11" t="str">
        <f aca="false">TEXT(A626,"mmm")</f>
        <v>Nov</v>
      </c>
      <c r="G626" s="11" t="s">
        <v>209</v>
      </c>
      <c r="H626" s="11" t="s">
        <v>203</v>
      </c>
      <c r="I626" s="12" t="n">
        <v>5530057</v>
      </c>
      <c r="J626" s="12" t="n">
        <v>2026802</v>
      </c>
      <c r="K626" s="13" t="n">
        <f aca="false">IF(I626=0,0,J626/I626)</f>
        <v>0.366506529679531</v>
      </c>
      <c r="L626" s="12" t="n">
        <v>551709</v>
      </c>
      <c r="M626" s="12" t="n">
        <v>177212</v>
      </c>
      <c r="N626" s="12" t="n">
        <v>23095</v>
      </c>
      <c r="O626" s="12" t="n">
        <v>7258</v>
      </c>
      <c r="P626" s="12" t="n">
        <f aca="false">M626+N626+O626</f>
        <v>207565</v>
      </c>
      <c r="Q626" s="13" t="n">
        <f aca="false">IF(I626=0,0,P626/I626)</f>
        <v>0.0375339711688324</v>
      </c>
      <c r="R626" s="13" t="n">
        <v>0.0354</v>
      </c>
      <c r="S626" s="14" t="n">
        <v>1334612</v>
      </c>
      <c r="T626" s="14" t="n">
        <v>75994</v>
      </c>
      <c r="U626" s="14" t="n">
        <v>82824</v>
      </c>
      <c r="V626" s="14" t="n">
        <v>66026</v>
      </c>
      <c r="W626" s="14" t="n">
        <f aca="false">S626+T626+U626+V626</f>
        <v>1559456</v>
      </c>
      <c r="X626" s="15" t="n">
        <f aca="false">IF(P626=0,0,S626/P626)</f>
        <v>6.42985089008263</v>
      </c>
      <c r="Y626" s="15" t="n">
        <f aca="false">IF(J626=0,0,W626/J626)</f>
        <v>0.769417042217247</v>
      </c>
      <c r="Z626" s="14" t="n">
        <v>243609</v>
      </c>
      <c r="AA626" s="15" t="n">
        <f aca="false">IF(L626=0,0,Z626/L626)</f>
        <v>0.44155342762217</v>
      </c>
      <c r="AB626" s="12" t="n">
        <v>177388343</v>
      </c>
      <c r="AC626" s="16" t="n">
        <v>14.1</v>
      </c>
      <c r="AD626" s="16" t="n">
        <v>28.5</v>
      </c>
      <c r="AE626" s="13" t="n">
        <v>0.443</v>
      </c>
      <c r="AF626" s="13" t="n">
        <v>0.609</v>
      </c>
      <c r="AG626" s="13" t="n">
        <v>0.366</v>
      </c>
      <c r="AH626" s="13" t="n">
        <v>0.23</v>
      </c>
      <c r="AI626" s="17" t="n">
        <v>4.7</v>
      </c>
    </row>
    <row r="627" customFormat="false" ht="15" hidden="false" customHeight="false" outlineLevel="0" collapsed="false">
      <c r="A627" s="10" t="n">
        <v>45962</v>
      </c>
      <c r="B627" s="11" t="n">
        <f aca="false">YEAR(A627)</f>
        <v>2025</v>
      </c>
      <c r="C627" s="11" t="str">
        <f aca="false">"Q"&amp;ROUNDUP(MONTH(A627)/3,0)</f>
        <v>Q4</v>
      </c>
      <c r="D627" s="11" t="str">
        <f aca="false">B627&amp;"-"&amp;C627</f>
        <v>2025-Q4</v>
      </c>
      <c r="E627" s="11" t="n">
        <f aca="false">MONTH(A627)</f>
        <v>11</v>
      </c>
      <c r="F627" s="11" t="str">
        <f aca="false">TEXT(A627,"mmm")</f>
        <v>Nov</v>
      </c>
      <c r="G627" s="11" t="s">
        <v>209</v>
      </c>
      <c r="H627" s="11" t="s">
        <v>204</v>
      </c>
      <c r="I627" s="12" t="n">
        <v>6814005</v>
      </c>
      <c r="J627" s="12" t="n">
        <v>2339271</v>
      </c>
      <c r="K627" s="13" t="n">
        <f aca="false">IF(I627=0,0,J627/I627)</f>
        <v>0.343303387655278</v>
      </c>
      <c r="L627" s="12" t="n">
        <v>627486</v>
      </c>
      <c r="M627" s="12" t="n">
        <v>101212</v>
      </c>
      <c r="N627" s="12" t="n">
        <v>12373</v>
      </c>
      <c r="O627" s="12" t="n">
        <v>3059</v>
      </c>
      <c r="P627" s="12" t="n">
        <f aca="false">M627+N627+O627</f>
        <v>116644</v>
      </c>
      <c r="Q627" s="13" t="n">
        <f aca="false">IF(I627=0,0,P627/I627)</f>
        <v>0.0171182733209031</v>
      </c>
      <c r="R627" s="13" t="n">
        <v>0.036</v>
      </c>
      <c r="S627" s="14" t="n">
        <v>810425</v>
      </c>
      <c r="T627" s="14" t="n">
        <v>50737</v>
      </c>
      <c r="U627" s="14" t="n">
        <v>46043</v>
      </c>
      <c r="V627" s="14" t="n">
        <v>41024</v>
      </c>
      <c r="W627" s="14" t="n">
        <f aca="false">S627+T627+U627+V627</f>
        <v>948229</v>
      </c>
      <c r="X627" s="15" t="n">
        <f aca="false">IF(P627=0,0,S627/P627)</f>
        <v>6.94784986797435</v>
      </c>
      <c r="Y627" s="15" t="n">
        <f aca="false">IF(J627=0,0,W627/J627)</f>
        <v>0.40535235122395</v>
      </c>
      <c r="Z627" s="14" t="n">
        <v>128445</v>
      </c>
      <c r="AA627" s="15" t="n">
        <f aca="false">IF(L627=0,0,Z627/L627)</f>
        <v>0.204697794054369</v>
      </c>
      <c r="AB627" s="12" t="n">
        <v>204502337</v>
      </c>
      <c r="AC627" s="16" t="n">
        <v>13.6</v>
      </c>
      <c r="AD627" s="16" t="n">
        <v>27.5</v>
      </c>
      <c r="AE627" s="13" t="n">
        <v>0.459</v>
      </c>
      <c r="AF627" s="13" t="n">
        <v>0.605</v>
      </c>
      <c r="AG627" s="13" t="n">
        <v>0.377</v>
      </c>
      <c r="AH627" s="13" t="n">
        <v>0.236</v>
      </c>
      <c r="AI627" s="17" t="n">
        <v>4.71</v>
      </c>
    </row>
    <row r="628" customFormat="false" ht="15" hidden="false" customHeight="false" outlineLevel="0" collapsed="false">
      <c r="A628" s="10" t="n">
        <v>45962</v>
      </c>
      <c r="B628" s="11" t="n">
        <f aca="false">YEAR(A628)</f>
        <v>2025</v>
      </c>
      <c r="C628" s="11" t="str">
        <f aca="false">"Q"&amp;ROUNDUP(MONTH(A628)/3,0)</f>
        <v>Q4</v>
      </c>
      <c r="D628" s="11" t="str">
        <f aca="false">B628&amp;"-"&amp;C628</f>
        <v>2025-Q4</v>
      </c>
      <c r="E628" s="11" t="n">
        <f aca="false">MONTH(A628)</f>
        <v>11</v>
      </c>
      <c r="F628" s="11" t="str">
        <f aca="false">TEXT(A628,"mmm")</f>
        <v>Nov</v>
      </c>
      <c r="G628" s="11" t="s">
        <v>209</v>
      </c>
      <c r="H628" s="11" t="s">
        <v>205</v>
      </c>
      <c r="I628" s="12" t="n">
        <v>2031534</v>
      </c>
      <c r="J628" s="12" t="n">
        <v>621065</v>
      </c>
      <c r="K628" s="13" t="n">
        <f aca="false">IF(I628=0,0,J628/I628)</f>
        <v>0.305712333635568</v>
      </c>
      <c r="L628" s="12" t="n">
        <v>153963</v>
      </c>
      <c r="M628" s="12" t="n">
        <v>27096</v>
      </c>
      <c r="N628" s="12" t="n">
        <v>3162</v>
      </c>
      <c r="O628" s="12" t="n">
        <v>538</v>
      </c>
      <c r="P628" s="12" t="n">
        <f aca="false">M628+N628+O628</f>
        <v>30796</v>
      </c>
      <c r="Q628" s="13" t="n">
        <f aca="false">IF(I628=0,0,P628/I628)</f>
        <v>0.0151589882325376</v>
      </c>
      <c r="R628" s="13" t="n">
        <v>0.0395</v>
      </c>
      <c r="S628" s="14" t="n">
        <v>209987</v>
      </c>
      <c r="T628" s="14" t="n">
        <v>12508</v>
      </c>
      <c r="U628" s="14" t="n">
        <v>12156</v>
      </c>
      <c r="V628" s="14" t="n">
        <v>9450</v>
      </c>
      <c r="W628" s="14" t="n">
        <f aca="false">S628+T628+U628+V628</f>
        <v>244101</v>
      </c>
      <c r="X628" s="15" t="n">
        <f aca="false">IF(P628=0,0,S628/P628)</f>
        <v>6.81864527860761</v>
      </c>
      <c r="Y628" s="15" t="n">
        <f aca="false">IF(J628=0,0,W628/J628)</f>
        <v>0.393036155635884</v>
      </c>
      <c r="Z628" s="14" t="n">
        <v>38733</v>
      </c>
      <c r="AA628" s="15" t="n">
        <f aca="false">IF(L628=0,0,Z628/L628)</f>
        <v>0.25157342997993</v>
      </c>
      <c r="AB628" s="12" t="n">
        <v>55083895</v>
      </c>
      <c r="AC628" s="16" t="n">
        <v>12.1</v>
      </c>
      <c r="AD628" s="16" t="n">
        <v>28.4</v>
      </c>
      <c r="AE628" s="13" t="n">
        <v>0.442</v>
      </c>
      <c r="AF628" s="13" t="n">
        <v>0.616</v>
      </c>
      <c r="AG628" s="13" t="n">
        <v>0.361</v>
      </c>
      <c r="AH628" s="13" t="n">
        <v>0.222</v>
      </c>
      <c r="AI628" s="17"/>
    </row>
    <row r="629" customFormat="false" ht="15" hidden="false" customHeight="false" outlineLevel="0" collapsed="false">
      <c r="A629" s="10" t="n">
        <v>45962</v>
      </c>
      <c r="B629" s="11" t="n">
        <f aca="false">YEAR(A629)</f>
        <v>2025</v>
      </c>
      <c r="C629" s="11" t="str">
        <f aca="false">"Q"&amp;ROUNDUP(MONTH(A629)/3,0)</f>
        <v>Q4</v>
      </c>
      <c r="D629" s="11" t="str">
        <f aca="false">B629&amp;"-"&amp;C629</f>
        <v>2025-Q4</v>
      </c>
      <c r="E629" s="11" t="n">
        <f aca="false">MONTH(A629)</f>
        <v>11</v>
      </c>
      <c r="F629" s="11" t="str">
        <f aca="false">TEXT(A629,"mmm")</f>
        <v>Nov</v>
      </c>
      <c r="G629" s="11" t="s">
        <v>210</v>
      </c>
      <c r="H629" s="11" t="s">
        <v>203</v>
      </c>
      <c r="I629" s="12" t="n">
        <v>10141751</v>
      </c>
      <c r="J629" s="12" t="n">
        <v>3547917</v>
      </c>
      <c r="K629" s="13" t="n">
        <f aca="false">IF(I629=0,0,J629/I629)</f>
        <v>0.349832785285302</v>
      </c>
      <c r="L629" s="12" t="n">
        <v>937996</v>
      </c>
      <c r="M629" s="12" t="n">
        <v>346973</v>
      </c>
      <c r="N629" s="12" t="n">
        <v>44185</v>
      </c>
      <c r="O629" s="12" t="n">
        <v>14173</v>
      </c>
      <c r="P629" s="12" t="n">
        <f aca="false">M629+N629+O629</f>
        <v>405331</v>
      </c>
      <c r="Q629" s="13" t="n">
        <f aca="false">IF(I629=0,0,P629/I629)</f>
        <v>0.0399665698753598</v>
      </c>
      <c r="R629" s="13" t="n">
        <v>0.0375</v>
      </c>
      <c r="S629" s="14" t="n">
        <v>2843336</v>
      </c>
      <c r="T629" s="14" t="n">
        <v>166256</v>
      </c>
      <c r="U629" s="14" t="n">
        <v>167352</v>
      </c>
      <c r="V629" s="14" t="n">
        <v>130697</v>
      </c>
      <c r="W629" s="14" t="n">
        <f aca="false">S629+T629+U629+V629</f>
        <v>3307641</v>
      </c>
      <c r="X629" s="15" t="n">
        <f aca="false">IF(P629=0,0,S629/P629)</f>
        <v>7.0148495920618</v>
      </c>
      <c r="Y629" s="15" t="n">
        <f aca="false">IF(J629=0,0,W629/J629)</f>
        <v>0.93227688246371</v>
      </c>
      <c r="Z629" s="14" t="n">
        <v>468876</v>
      </c>
      <c r="AA629" s="15" t="n">
        <f aca="false">IF(L629=0,0,Z629/L629)</f>
        <v>0.499869935479469</v>
      </c>
      <c r="AB629" s="12" t="n">
        <v>311525703</v>
      </c>
      <c r="AC629" s="16" t="n">
        <v>14</v>
      </c>
      <c r="AD629" s="16" t="n">
        <v>27</v>
      </c>
      <c r="AE629" s="13" t="n">
        <v>0.48</v>
      </c>
      <c r="AF629" s="13" t="n">
        <v>0.622</v>
      </c>
      <c r="AG629" s="13" t="n">
        <v>0.37</v>
      </c>
      <c r="AH629" s="13" t="n">
        <v>0.222</v>
      </c>
      <c r="AI629" s="17" t="n">
        <v>4.75</v>
      </c>
    </row>
    <row r="630" customFormat="false" ht="15" hidden="false" customHeight="false" outlineLevel="0" collapsed="false">
      <c r="A630" s="10" t="n">
        <v>45962</v>
      </c>
      <c r="B630" s="11" t="n">
        <f aca="false">YEAR(A630)</f>
        <v>2025</v>
      </c>
      <c r="C630" s="11" t="str">
        <f aca="false">"Q"&amp;ROUNDUP(MONTH(A630)/3,0)</f>
        <v>Q4</v>
      </c>
      <c r="D630" s="11" t="str">
        <f aca="false">B630&amp;"-"&amp;C630</f>
        <v>2025-Q4</v>
      </c>
      <c r="E630" s="11" t="n">
        <f aca="false">MONTH(A630)</f>
        <v>11</v>
      </c>
      <c r="F630" s="11" t="str">
        <f aca="false">TEXT(A630,"mmm")</f>
        <v>Nov</v>
      </c>
      <c r="G630" s="11" t="s">
        <v>210</v>
      </c>
      <c r="H630" s="11" t="s">
        <v>204</v>
      </c>
      <c r="I630" s="12" t="n">
        <v>12058006</v>
      </c>
      <c r="J630" s="12" t="n">
        <v>3887484</v>
      </c>
      <c r="K630" s="13" t="n">
        <f aca="false">IF(I630=0,0,J630/I630)</f>
        <v>0.3223985790022</v>
      </c>
      <c r="L630" s="12" t="n">
        <v>1116415</v>
      </c>
      <c r="M630" s="12" t="n">
        <v>213765</v>
      </c>
      <c r="N630" s="12" t="n">
        <v>26439</v>
      </c>
      <c r="O630" s="12" t="n">
        <v>6469</v>
      </c>
      <c r="P630" s="12" t="n">
        <f aca="false">M630+N630+O630</f>
        <v>246673</v>
      </c>
      <c r="Q630" s="13" t="n">
        <f aca="false">IF(I630=0,0,P630/I630)</f>
        <v>0.0204571966542395</v>
      </c>
      <c r="R630" s="13" t="n">
        <v>0.0408</v>
      </c>
      <c r="S630" s="14" t="n">
        <v>1569019</v>
      </c>
      <c r="T630" s="14" t="n">
        <v>100389</v>
      </c>
      <c r="U630" s="14" t="n">
        <v>90471</v>
      </c>
      <c r="V630" s="14" t="n">
        <v>79320</v>
      </c>
      <c r="W630" s="14" t="n">
        <f aca="false">S630+T630+U630+V630</f>
        <v>1839199</v>
      </c>
      <c r="X630" s="15" t="n">
        <f aca="false">IF(P630=0,0,S630/P630)</f>
        <v>6.36072452193795</v>
      </c>
      <c r="Y630" s="15" t="n">
        <f aca="false">IF(J630=0,0,W630/J630)</f>
        <v>0.473107799286119</v>
      </c>
      <c r="Z630" s="14" t="n">
        <v>279477</v>
      </c>
      <c r="AA630" s="15" t="n">
        <f aca="false">IF(L630=0,0,Z630/L630)</f>
        <v>0.250334329080136</v>
      </c>
      <c r="AB630" s="12" t="n">
        <v>348241738</v>
      </c>
      <c r="AC630" s="16" t="n">
        <v>13.5</v>
      </c>
      <c r="AD630" s="16" t="n">
        <v>28.9</v>
      </c>
      <c r="AE630" s="13" t="n">
        <v>0.451</v>
      </c>
      <c r="AF630" s="13" t="n">
        <v>0.609</v>
      </c>
      <c r="AG630" s="13" t="n">
        <v>0.374</v>
      </c>
      <c r="AH630" s="13" t="n">
        <v>0.219</v>
      </c>
      <c r="AI630" s="17" t="n">
        <v>4.7</v>
      </c>
    </row>
    <row r="631" customFormat="false" ht="15" hidden="false" customHeight="false" outlineLevel="0" collapsed="false">
      <c r="A631" s="10" t="n">
        <v>45962</v>
      </c>
      <c r="B631" s="11" t="n">
        <f aca="false">YEAR(A631)</f>
        <v>2025</v>
      </c>
      <c r="C631" s="11" t="str">
        <f aca="false">"Q"&amp;ROUNDUP(MONTH(A631)/3,0)</f>
        <v>Q4</v>
      </c>
      <c r="D631" s="11" t="str">
        <f aca="false">B631&amp;"-"&amp;C631</f>
        <v>2025-Q4</v>
      </c>
      <c r="E631" s="11" t="n">
        <f aca="false">MONTH(A631)</f>
        <v>11</v>
      </c>
      <c r="F631" s="11" t="str">
        <f aca="false">TEXT(A631,"mmm")</f>
        <v>Nov</v>
      </c>
      <c r="G631" s="11" t="s">
        <v>210</v>
      </c>
      <c r="H631" s="11" t="s">
        <v>205</v>
      </c>
      <c r="I631" s="12" t="n">
        <v>3339631</v>
      </c>
      <c r="J631" s="12" t="n">
        <v>1032747</v>
      </c>
      <c r="K631" s="13" t="n">
        <f aca="false">IF(I631=0,0,J631/I631)</f>
        <v>0.309239853145452</v>
      </c>
      <c r="L631" s="12" t="n">
        <v>307615</v>
      </c>
      <c r="M631" s="12" t="n">
        <v>57973</v>
      </c>
      <c r="N631" s="12" t="n">
        <v>7674</v>
      </c>
      <c r="O631" s="12" t="n">
        <v>1168</v>
      </c>
      <c r="P631" s="12" t="n">
        <f aca="false">M631+N631+O631</f>
        <v>66815</v>
      </c>
      <c r="Q631" s="13" t="n">
        <f aca="false">IF(I631=0,0,P631/I631)</f>
        <v>0.0200067013391599</v>
      </c>
      <c r="R631" s="13" t="n">
        <v>0.0426</v>
      </c>
      <c r="S631" s="14" t="n">
        <v>449973</v>
      </c>
      <c r="T631" s="14" t="n">
        <v>25947</v>
      </c>
      <c r="U631" s="14" t="n">
        <v>28921</v>
      </c>
      <c r="V631" s="14" t="n">
        <v>22288</v>
      </c>
      <c r="W631" s="14" t="n">
        <f aca="false">S631+T631+U631+V631</f>
        <v>527129</v>
      </c>
      <c r="X631" s="15" t="n">
        <f aca="false">IF(P631=0,0,S631/P631)</f>
        <v>6.73461049165607</v>
      </c>
      <c r="Y631" s="15" t="n">
        <f aca="false">IF(J631=0,0,W631/J631)</f>
        <v>0.510414457751996</v>
      </c>
      <c r="Z631" s="14" t="n">
        <v>70962</v>
      </c>
      <c r="AA631" s="15" t="n">
        <f aca="false">IF(L631=0,0,Z631/L631)</f>
        <v>0.230684459470442</v>
      </c>
      <c r="AB631" s="12" t="n">
        <v>92516166</v>
      </c>
      <c r="AC631" s="16" t="n">
        <v>12.2</v>
      </c>
      <c r="AD631" s="16" t="n">
        <v>28.6</v>
      </c>
      <c r="AE631" s="13" t="n">
        <v>0.46</v>
      </c>
      <c r="AF631" s="13" t="n">
        <v>0.606</v>
      </c>
      <c r="AG631" s="13" t="n">
        <v>0.381</v>
      </c>
      <c r="AH631" s="13" t="n">
        <v>0.216</v>
      </c>
      <c r="AI631" s="17"/>
    </row>
    <row r="632" customFormat="false" ht="15" hidden="false" customHeight="false" outlineLevel="0" collapsed="false">
      <c r="A632" s="10" t="n">
        <v>45992</v>
      </c>
      <c r="B632" s="11" t="n">
        <f aca="false">YEAR(A632)</f>
        <v>2025</v>
      </c>
      <c r="C632" s="11" t="str">
        <f aca="false">"Q"&amp;ROUNDUP(MONTH(A632)/3,0)</f>
        <v>Q4</v>
      </c>
      <c r="D632" s="11" t="str">
        <f aca="false">B632&amp;"-"&amp;C632</f>
        <v>2025-Q4</v>
      </c>
      <c r="E632" s="11" t="n">
        <f aca="false">MONTH(A632)</f>
        <v>12</v>
      </c>
      <c r="F632" s="11" t="str">
        <f aca="false">TEXT(A632,"mmm")</f>
        <v>Dec</v>
      </c>
      <c r="G632" s="11" t="s">
        <v>202</v>
      </c>
      <c r="H632" s="11" t="s">
        <v>203</v>
      </c>
      <c r="I632" s="12" t="n">
        <v>9821052</v>
      </c>
      <c r="J632" s="12" t="n">
        <v>3899942</v>
      </c>
      <c r="K632" s="13" t="n">
        <f aca="false">IF(I632=0,0,J632/I632)</f>
        <v>0.397100229181151</v>
      </c>
      <c r="L632" s="12" t="n">
        <v>1185957</v>
      </c>
      <c r="M632" s="12" t="n">
        <v>2253683</v>
      </c>
      <c r="N632" s="12" t="n">
        <v>335885</v>
      </c>
      <c r="O632" s="12" t="n">
        <v>435628</v>
      </c>
      <c r="P632" s="12" t="n">
        <f aca="false">M632+N632+O632</f>
        <v>3025196</v>
      </c>
      <c r="Q632" s="13" t="n">
        <f aca="false">IF(I632=0,0,P632/I632)</f>
        <v>0.308031766861636</v>
      </c>
      <c r="R632" s="13" t="n">
        <v>0.0403</v>
      </c>
      <c r="S632" s="14" t="n">
        <v>21791820</v>
      </c>
      <c r="T632" s="14" t="n">
        <v>1312932</v>
      </c>
      <c r="U632" s="14" t="n">
        <v>1284423</v>
      </c>
      <c r="V632" s="14" t="n">
        <v>958885</v>
      </c>
      <c r="W632" s="14" t="n">
        <f aca="false">S632+T632+U632+V632</f>
        <v>25348060</v>
      </c>
      <c r="X632" s="15" t="n">
        <f aca="false">IF(P632=0,0,S632/P632)</f>
        <v>7.20344070268505</v>
      </c>
      <c r="Y632" s="15" t="n">
        <f aca="false">IF(J632=0,0,W632/J632)</f>
        <v>6.49959922480899</v>
      </c>
      <c r="Z632" s="14" t="n">
        <v>3299920</v>
      </c>
      <c r="AA632" s="15" t="n">
        <f aca="false">IF(L632=0,0,Z632/L632)</f>
        <v>2.78249548676723</v>
      </c>
      <c r="AB632" s="12" t="n">
        <v>332993939</v>
      </c>
      <c r="AC632" s="16" t="n">
        <v>13.9</v>
      </c>
      <c r="AD632" s="16" t="n">
        <v>27.9</v>
      </c>
      <c r="AE632" s="13" t="n">
        <v>0.462</v>
      </c>
      <c r="AF632" s="13" t="n">
        <v>0.624</v>
      </c>
      <c r="AG632" s="13" t="n">
        <v>0.375</v>
      </c>
      <c r="AH632" s="13" t="n">
        <v>0.219</v>
      </c>
      <c r="AI632" s="17" t="n">
        <v>4.78</v>
      </c>
    </row>
    <row r="633" customFormat="false" ht="15" hidden="false" customHeight="false" outlineLevel="0" collapsed="false">
      <c r="A633" s="10" t="n">
        <v>45992</v>
      </c>
      <c r="B633" s="11" t="n">
        <f aca="false">YEAR(A633)</f>
        <v>2025</v>
      </c>
      <c r="C633" s="11" t="str">
        <f aca="false">"Q"&amp;ROUNDUP(MONTH(A633)/3,0)</f>
        <v>Q4</v>
      </c>
      <c r="D633" s="11" t="str">
        <f aca="false">B633&amp;"-"&amp;C633</f>
        <v>2025-Q4</v>
      </c>
      <c r="E633" s="11" t="n">
        <f aca="false">MONTH(A633)</f>
        <v>12</v>
      </c>
      <c r="F633" s="11" t="str">
        <f aca="false">TEXT(A633,"mmm")</f>
        <v>Dec</v>
      </c>
      <c r="G633" s="11" t="s">
        <v>202</v>
      </c>
      <c r="H633" s="11" t="s">
        <v>204</v>
      </c>
      <c r="I633" s="12" t="n">
        <v>13314549</v>
      </c>
      <c r="J633" s="12" t="n">
        <v>4633232</v>
      </c>
      <c r="K633" s="13" t="n">
        <f aca="false">IF(I633=0,0,J633/I633)</f>
        <v>0.34798264665217</v>
      </c>
      <c r="L633" s="12" t="n">
        <v>1384468</v>
      </c>
      <c r="M633" s="12" t="n">
        <v>1331332</v>
      </c>
      <c r="N633" s="12" t="n">
        <v>171796</v>
      </c>
      <c r="O633" s="12" t="n">
        <v>181993</v>
      </c>
      <c r="P633" s="12" t="n">
        <f aca="false">M633+N633+O633</f>
        <v>1685121</v>
      </c>
      <c r="Q633" s="13" t="n">
        <f aca="false">IF(I633=0,0,P633/I633)</f>
        <v>0.126562379243938</v>
      </c>
      <c r="R633" s="13" t="n">
        <v>0.039</v>
      </c>
      <c r="S633" s="14" t="n">
        <v>13175054</v>
      </c>
      <c r="T633" s="14" t="n">
        <v>766062</v>
      </c>
      <c r="U633" s="14" t="n">
        <v>714942</v>
      </c>
      <c r="V633" s="14" t="n">
        <v>610068</v>
      </c>
      <c r="W633" s="14" t="n">
        <f aca="false">S633+T633+U633+V633</f>
        <v>15266126</v>
      </c>
      <c r="X633" s="15" t="n">
        <f aca="false">IF(P633=0,0,S633/P633)</f>
        <v>7.81846170096984</v>
      </c>
      <c r="Y633" s="15" t="n">
        <f aca="false">IF(J633=0,0,W633/J633)</f>
        <v>3.29491939967608</v>
      </c>
      <c r="Z633" s="14" t="n">
        <v>2261588</v>
      </c>
      <c r="AA633" s="15" t="n">
        <f aca="false">IF(L633=0,0,Z633/L633)</f>
        <v>1.63354299268744</v>
      </c>
      <c r="AB633" s="12" t="n">
        <v>402926380</v>
      </c>
      <c r="AC633" s="16" t="n">
        <v>13.5</v>
      </c>
      <c r="AD633" s="16" t="n">
        <v>27.3</v>
      </c>
      <c r="AE633" s="13" t="n">
        <v>0.465</v>
      </c>
      <c r="AF633" s="13" t="n">
        <v>0.623</v>
      </c>
      <c r="AG633" s="13" t="n">
        <v>0.37</v>
      </c>
      <c r="AH633" s="13" t="n">
        <v>0.226</v>
      </c>
      <c r="AI633" s="17" t="n">
        <v>4.67</v>
      </c>
    </row>
    <row r="634" customFormat="false" ht="15" hidden="false" customHeight="false" outlineLevel="0" collapsed="false">
      <c r="A634" s="10" t="n">
        <v>45992</v>
      </c>
      <c r="B634" s="11" t="n">
        <f aca="false">YEAR(A634)</f>
        <v>2025</v>
      </c>
      <c r="C634" s="11" t="str">
        <f aca="false">"Q"&amp;ROUNDUP(MONTH(A634)/3,0)</f>
        <v>Q4</v>
      </c>
      <c r="D634" s="11" t="str">
        <f aca="false">B634&amp;"-"&amp;C634</f>
        <v>2025-Q4</v>
      </c>
      <c r="E634" s="11" t="n">
        <f aca="false">MONTH(A634)</f>
        <v>12</v>
      </c>
      <c r="F634" s="11" t="str">
        <f aca="false">TEXT(A634,"mmm")</f>
        <v>Dec</v>
      </c>
      <c r="G634" s="11" t="s">
        <v>202</v>
      </c>
      <c r="H634" s="11" t="s">
        <v>205</v>
      </c>
      <c r="I634" s="12" t="n">
        <v>3987888</v>
      </c>
      <c r="J634" s="12" t="n">
        <v>1283389</v>
      </c>
      <c r="K634" s="13" t="n">
        <f aca="false">IF(I634=0,0,J634/I634)</f>
        <v>0.321821726186894</v>
      </c>
      <c r="L634" s="12" t="n">
        <v>371956</v>
      </c>
      <c r="M634" s="12" t="n">
        <v>421086</v>
      </c>
      <c r="N634" s="12" t="n">
        <v>55605</v>
      </c>
      <c r="O634" s="12" t="n">
        <v>36985</v>
      </c>
      <c r="P634" s="12" t="n">
        <f aca="false">M634+N634+O634</f>
        <v>513676</v>
      </c>
      <c r="Q634" s="13" t="n">
        <f aca="false">IF(I634=0,0,P634/I634)</f>
        <v>0.128809033754208</v>
      </c>
      <c r="R634" s="13" t="n">
        <v>0.0383</v>
      </c>
      <c r="S634" s="14" t="n">
        <v>3450431</v>
      </c>
      <c r="T634" s="14" t="n">
        <v>196994</v>
      </c>
      <c r="U634" s="14" t="n">
        <v>189486</v>
      </c>
      <c r="V634" s="14" t="n">
        <v>172313</v>
      </c>
      <c r="W634" s="14" t="n">
        <f aca="false">S634+T634+U634+V634</f>
        <v>4009224</v>
      </c>
      <c r="X634" s="15" t="n">
        <f aca="false">IF(P634=0,0,S634/P634)</f>
        <v>6.71713492551725</v>
      </c>
      <c r="Y634" s="15" t="n">
        <f aca="false">IF(J634=0,0,W634/J634)</f>
        <v>3.12393514359247</v>
      </c>
      <c r="Z634" s="14" t="n">
        <v>635596</v>
      </c>
      <c r="AA634" s="15" t="n">
        <f aca="false">IF(L634=0,0,Z634/L634)</f>
        <v>1.70879351321124</v>
      </c>
      <c r="AB634" s="12" t="n">
        <v>116286096</v>
      </c>
      <c r="AC634" s="16" t="n">
        <v>12.3</v>
      </c>
      <c r="AD634" s="16" t="n">
        <v>27.7</v>
      </c>
      <c r="AE634" s="13" t="n">
        <v>0.467</v>
      </c>
      <c r="AF634" s="13" t="n">
        <v>0.601</v>
      </c>
      <c r="AG634" s="13" t="n">
        <v>0.37</v>
      </c>
      <c r="AH634" s="13" t="n">
        <v>0.225</v>
      </c>
      <c r="AI634" s="17"/>
    </row>
    <row r="635" customFormat="false" ht="15" hidden="false" customHeight="false" outlineLevel="0" collapsed="false">
      <c r="A635" s="10" t="n">
        <v>45992</v>
      </c>
      <c r="B635" s="11" t="n">
        <f aca="false">YEAR(A635)</f>
        <v>2025</v>
      </c>
      <c r="C635" s="11" t="str">
        <f aca="false">"Q"&amp;ROUNDUP(MONTH(A635)/3,0)</f>
        <v>Q4</v>
      </c>
      <c r="D635" s="11" t="str">
        <f aca="false">B635&amp;"-"&amp;C635</f>
        <v>2025-Q4</v>
      </c>
      <c r="E635" s="11" t="n">
        <f aca="false">MONTH(A635)</f>
        <v>12</v>
      </c>
      <c r="F635" s="11" t="str">
        <f aca="false">TEXT(A635,"mmm")</f>
        <v>Dec</v>
      </c>
      <c r="G635" s="11" t="s">
        <v>206</v>
      </c>
      <c r="H635" s="11" t="s">
        <v>203</v>
      </c>
      <c r="I635" s="12" t="n">
        <v>11756641</v>
      </c>
      <c r="J635" s="12" t="n">
        <v>4729707</v>
      </c>
      <c r="K635" s="13" t="n">
        <f aca="false">IF(I635=0,0,J635/I635)</f>
        <v>0.402300878286579</v>
      </c>
      <c r="L635" s="12" t="n">
        <v>1471445</v>
      </c>
      <c r="M635" s="12" t="n">
        <v>1485730</v>
      </c>
      <c r="N635" s="12" t="n">
        <v>209096</v>
      </c>
      <c r="O635" s="12" t="n">
        <v>167620</v>
      </c>
      <c r="P635" s="12" t="n">
        <f aca="false">M635+N635+O635</f>
        <v>1862446</v>
      </c>
      <c r="Q635" s="13" t="n">
        <f aca="false">IF(I635=0,0,P635/I635)</f>
        <v>0.158416506891722</v>
      </c>
      <c r="R635" s="13" t="n">
        <v>0.0406</v>
      </c>
      <c r="S635" s="14" t="n">
        <v>13202658</v>
      </c>
      <c r="T635" s="14" t="n">
        <v>756396</v>
      </c>
      <c r="U635" s="14" t="n">
        <v>757482</v>
      </c>
      <c r="V635" s="14" t="n">
        <v>559744</v>
      </c>
      <c r="W635" s="14" t="n">
        <f aca="false">S635+T635+U635+V635</f>
        <v>15276280</v>
      </c>
      <c r="X635" s="15" t="n">
        <f aca="false">IF(P635=0,0,S635/P635)</f>
        <v>7.08888096621325</v>
      </c>
      <c r="Y635" s="15" t="n">
        <f aca="false">IF(J635=0,0,W635/J635)</f>
        <v>3.22985757891557</v>
      </c>
      <c r="Z635" s="14" t="n">
        <v>2404812</v>
      </c>
      <c r="AA635" s="15" t="n">
        <f aca="false">IF(L635=0,0,Z635/L635)</f>
        <v>1.63432000516499</v>
      </c>
      <c r="AB635" s="12" t="n">
        <v>430234445</v>
      </c>
      <c r="AC635" s="16" t="n">
        <v>14</v>
      </c>
      <c r="AD635" s="16" t="n">
        <v>27.9</v>
      </c>
      <c r="AE635" s="13" t="n">
        <v>0.458</v>
      </c>
      <c r="AF635" s="13" t="n">
        <v>0.613</v>
      </c>
      <c r="AG635" s="13" t="n">
        <v>0.378</v>
      </c>
      <c r="AH635" s="13" t="n">
        <v>0.24</v>
      </c>
      <c r="AI635" s="17" t="n">
        <v>4.75</v>
      </c>
    </row>
    <row r="636" customFormat="false" ht="15" hidden="false" customHeight="false" outlineLevel="0" collapsed="false">
      <c r="A636" s="10" t="n">
        <v>45992</v>
      </c>
      <c r="B636" s="11" t="n">
        <f aca="false">YEAR(A636)</f>
        <v>2025</v>
      </c>
      <c r="C636" s="11" t="str">
        <f aca="false">"Q"&amp;ROUNDUP(MONTH(A636)/3,0)</f>
        <v>Q4</v>
      </c>
      <c r="D636" s="11" t="str">
        <f aca="false">B636&amp;"-"&amp;C636</f>
        <v>2025-Q4</v>
      </c>
      <c r="E636" s="11" t="n">
        <f aca="false">MONTH(A636)</f>
        <v>12</v>
      </c>
      <c r="F636" s="11" t="str">
        <f aca="false">TEXT(A636,"mmm")</f>
        <v>Dec</v>
      </c>
      <c r="G636" s="11" t="s">
        <v>206</v>
      </c>
      <c r="H636" s="11" t="s">
        <v>204</v>
      </c>
      <c r="I636" s="12" t="n">
        <v>14729940</v>
      </c>
      <c r="J636" s="12" t="n">
        <v>5416281</v>
      </c>
      <c r="K636" s="13" t="n">
        <f aca="false">IF(I636=0,0,J636/I636)</f>
        <v>0.367705571102123</v>
      </c>
      <c r="L636" s="12" t="n">
        <v>1411158</v>
      </c>
      <c r="M636" s="12" t="n">
        <v>849438</v>
      </c>
      <c r="N636" s="12" t="n">
        <v>105649</v>
      </c>
      <c r="O636" s="12" t="n">
        <v>69135</v>
      </c>
      <c r="P636" s="12" t="n">
        <f aca="false">M636+N636+O636</f>
        <v>1024222</v>
      </c>
      <c r="Q636" s="13" t="n">
        <f aca="false">IF(I636=0,0,P636/I636)</f>
        <v>0.0695333450102309</v>
      </c>
      <c r="R636" s="13" t="n">
        <v>0.0357</v>
      </c>
      <c r="S636" s="14" t="n">
        <v>8026648</v>
      </c>
      <c r="T636" s="14" t="n">
        <v>482264</v>
      </c>
      <c r="U636" s="14" t="n">
        <v>429697</v>
      </c>
      <c r="V636" s="14" t="n">
        <v>383405</v>
      </c>
      <c r="W636" s="14" t="n">
        <f aca="false">S636+T636+U636+V636</f>
        <v>9322014</v>
      </c>
      <c r="X636" s="15" t="n">
        <f aca="false">IF(P636=0,0,S636/P636)</f>
        <v>7.83682443845182</v>
      </c>
      <c r="Y636" s="15" t="n">
        <f aca="false">IF(J636=0,0,W636/J636)</f>
        <v>1.7211097430137</v>
      </c>
      <c r="Z636" s="14" t="n">
        <v>1284488</v>
      </c>
      <c r="AA636" s="15" t="n">
        <f aca="false">IF(L636=0,0,Z636/L636)</f>
        <v>0.910236840949065</v>
      </c>
      <c r="AB636" s="12" t="n">
        <v>452933004</v>
      </c>
      <c r="AC636" s="16" t="n">
        <v>13.7</v>
      </c>
      <c r="AD636" s="16" t="n">
        <v>27.4</v>
      </c>
      <c r="AE636" s="13" t="n">
        <v>0.456</v>
      </c>
      <c r="AF636" s="13" t="n">
        <v>0.612</v>
      </c>
      <c r="AG636" s="13" t="n">
        <v>0.366</v>
      </c>
      <c r="AH636" s="13" t="n">
        <v>0.22</v>
      </c>
      <c r="AI636" s="17" t="n">
        <v>4.69</v>
      </c>
    </row>
    <row r="637" customFormat="false" ht="15" hidden="false" customHeight="false" outlineLevel="0" collapsed="false">
      <c r="A637" s="10" t="n">
        <v>45992</v>
      </c>
      <c r="B637" s="11" t="n">
        <f aca="false">YEAR(A637)</f>
        <v>2025</v>
      </c>
      <c r="C637" s="11" t="str">
        <f aca="false">"Q"&amp;ROUNDUP(MONTH(A637)/3,0)</f>
        <v>Q4</v>
      </c>
      <c r="D637" s="11" t="str">
        <f aca="false">B637&amp;"-"&amp;C637</f>
        <v>2025-Q4</v>
      </c>
      <c r="E637" s="11" t="n">
        <f aca="false">MONTH(A637)</f>
        <v>12</v>
      </c>
      <c r="F637" s="11" t="str">
        <f aca="false">TEXT(A637,"mmm")</f>
        <v>Dec</v>
      </c>
      <c r="G637" s="11" t="s">
        <v>206</v>
      </c>
      <c r="H637" s="11" t="s">
        <v>205</v>
      </c>
      <c r="I637" s="12" t="n">
        <v>4307737</v>
      </c>
      <c r="J637" s="12" t="n">
        <v>1437490</v>
      </c>
      <c r="K637" s="13" t="n">
        <f aca="false">IF(I637=0,0,J637/I637)</f>
        <v>0.33369957358121</v>
      </c>
      <c r="L637" s="12" t="n">
        <v>434174</v>
      </c>
      <c r="M637" s="12" t="n">
        <v>250903</v>
      </c>
      <c r="N637" s="12" t="n">
        <v>34257</v>
      </c>
      <c r="O637" s="12" t="n">
        <v>13437</v>
      </c>
      <c r="P637" s="12" t="n">
        <f aca="false">M637+N637+O637</f>
        <v>298597</v>
      </c>
      <c r="Q637" s="13" t="n">
        <f aca="false">IF(I637=0,0,P637/I637)</f>
        <v>0.0693164415562046</v>
      </c>
      <c r="R637" s="13" t="n">
        <v>0.0373</v>
      </c>
      <c r="S637" s="14" t="n">
        <v>2092468</v>
      </c>
      <c r="T637" s="14" t="n">
        <v>121583</v>
      </c>
      <c r="U637" s="14" t="n">
        <v>118355</v>
      </c>
      <c r="V637" s="14" t="n">
        <v>98183</v>
      </c>
      <c r="W637" s="14" t="n">
        <f aca="false">S637+T637+U637+V637</f>
        <v>2430589</v>
      </c>
      <c r="X637" s="15" t="n">
        <f aca="false">IF(P637=0,0,S637/P637)</f>
        <v>7.0076658506281</v>
      </c>
      <c r="Y637" s="15" t="n">
        <f aca="false">IF(J637=0,0,W637/J637)</f>
        <v>1.69085628421763</v>
      </c>
      <c r="Z637" s="14" t="n">
        <v>378382</v>
      </c>
      <c r="AA637" s="15" t="n">
        <f aca="false">IF(L637=0,0,Z637/L637)</f>
        <v>0.871498523633382</v>
      </c>
      <c r="AB637" s="12" t="n">
        <v>127847976</v>
      </c>
      <c r="AC637" s="16" t="n">
        <v>12</v>
      </c>
      <c r="AD637" s="16" t="n">
        <v>27.6</v>
      </c>
      <c r="AE637" s="13" t="n">
        <v>0.457</v>
      </c>
      <c r="AF637" s="13" t="n">
        <v>0.614</v>
      </c>
      <c r="AG637" s="13" t="n">
        <v>0.369</v>
      </c>
      <c r="AH637" s="13" t="n">
        <v>0.226</v>
      </c>
      <c r="AI637" s="17"/>
    </row>
    <row r="638" customFormat="false" ht="15" hidden="false" customHeight="false" outlineLevel="0" collapsed="false">
      <c r="A638" s="10" t="n">
        <v>45992</v>
      </c>
      <c r="B638" s="11" t="n">
        <f aca="false">YEAR(A638)</f>
        <v>2025</v>
      </c>
      <c r="C638" s="11" t="str">
        <f aca="false">"Q"&amp;ROUNDUP(MONTH(A638)/3,0)</f>
        <v>Q4</v>
      </c>
      <c r="D638" s="11" t="str">
        <f aca="false">B638&amp;"-"&amp;C638</f>
        <v>2025-Q4</v>
      </c>
      <c r="E638" s="11" t="n">
        <f aca="false">MONTH(A638)</f>
        <v>12</v>
      </c>
      <c r="F638" s="11" t="str">
        <f aca="false">TEXT(A638,"mmm")</f>
        <v>Dec</v>
      </c>
      <c r="G638" s="11" t="s">
        <v>207</v>
      </c>
      <c r="H638" s="11" t="s">
        <v>203</v>
      </c>
      <c r="I638" s="12" t="n">
        <v>10873841</v>
      </c>
      <c r="J638" s="12" t="n">
        <v>4018465</v>
      </c>
      <c r="K638" s="13" t="n">
        <f aca="false">IF(I638=0,0,J638/I638)</f>
        <v>0.369553408036774</v>
      </c>
      <c r="L638" s="12" t="n">
        <v>1278547</v>
      </c>
      <c r="M638" s="12" t="n">
        <v>846749</v>
      </c>
      <c r="N638" s="12" t="n">
        <v>108940</v>
      </c>
      <c r="O638" s="12" t="n">
        <v>64257</v>
      </c>
      <c r="P638" s="12" t="n">
        <f aca="false">M638+N638+O638</f>
        <v>1019946</v>
      </c>
      <c r="Q638" s="13" t="n">
        <f aca="false">IF(I638=0,0,P638/I638)</f>
        <v>0.093798134440259</v>
      </c>
      <c r="R638" s="13" t="n">
        <v>0.0386</v>
      </c>
      <c r="S638" s="14" t="n">
        <v>7962991</v>
      </c>
      <c r="T638" s="14" t="n">
        <v>424020</v>
      </c>
      <c r="U638" s="14" t="n">
        <v>506862</v>
      </c>
      <c r="V638" s="14" t="n">
        <v>393314</v>
      </c>
      <c r="W638" s="14" t="n">
        <f aca="false">S638+T638+U638+V638</f>
        <v>9287187</v>
      </c>
      <c r="X638" s="15" t="n">
        <f aca="false">IF(P638=0,0,S638/P638)</f>
        <v>7.80726724748173</v>
      </c>
      <c r="Y638" s="15" t="n">
        <f aca="false">IF(J638=0,0,W638/J638)</f>
        <v>2.31112800534532</v>
      </c>
      <c r="Z638" s="14" t="n">
        <v>1470002</v>
      </c>
      <c r="AA638" s="15" t="n">
        <f aca="false">IF(L638=0,0,Z638/L638)</f>
        <v>1.14974420181659</v>
      </c>
      <c r="AB638" s="12" t="n">
        <v>354000325</v>
      </c>
      <c r="AC638" s="16" t="n">
        <v>14.3</v>
      </c>
      <c r="AD638" s="16" t="n">
        <v>29.1</v>
      </c>
      <c r="AE638" s="13" t="n">
        <v>0.469</v>
      </c>
      <c r="AF638" s="13" t="n">
        <v>0.615</v>
      </c>
      <c r="AG638" s="13" t="n">
        <v>0.381</v>
      </c>
      <c r="AH638" s="13" t="n">
        <v>0.227</v>
      </c>
      <c r="AI638" s="17" t="n">
        <v>4.76</v>
      </c>
    </row>
    <row r="639" customFormat="false" ht="15" hidden="false" customHeight="false" outlineLevel="0" collapsed="false">
      <c r="A639" s="10" t="n">
        <v>45992</v>
      </c>
      <c r="B639" s="11" t="n">
        <f aca="false">YEAR(A639)</f>
        <v>2025</v>
      </c>
      <c r="C639" s="11" t="str">
        <f aca="false">"Q"&amp;ROUNDUP(MONTH(A639)/3,0)</f>
        <v>Q4</v>
      </c>
      <c r="D639" s="11" t="str">
        <f aca="false">B639&amp;"-"&amp;C639</f>
        <v>2025-Q4</v>
      </c>
      <c r="E639" s="11" t="n">
        <f aca="false">MONTH(A639)</f>
        <v>12</v>
      </c>
      <c r="F639" s="11" t="str">
        <f aca="false">TEXT(A639,"mmm")</f>
        <v>Dec</v>
      </c>
      <c r="G639" s="11" t="s">
        <v>207</v>
      </c>
      <c r="H639" s="11" t="s">
        <v>204</v>
      </c>
      <c r="I639" s="12" t="n">
        <v>14489782</v>
      </c>
      <c r="J639" s="12" t="n">
        <v>4913073</v>
      </c>
      <c r="K639" s="13" t="n">
        <f aca="false">IF(I639=0,0,J639/I639)</f>
        <v>0.339071560910992</v>
      </c>
      <c r="L639" s="12" t="n">
        <v>1398855</v>
      </c>
      <c r="M639" s="12" t="n">
        <v>502152</v>
      </c>
      <c r="N639" s="12" t="n">
        <v>68341</v>
      </c>
      <c r="O639" s="12" t="n">
        <v>28293</v>
      </c>
      <c r="P639" s="12" t="n">
        <f aca="false">M639+N639+O639</f>
        <v>598786</v>
      </c>
      <c r="Q639" s="13" t="n">
        <f aca="false">IF(I639=0,0,P639/I639)</f>
        <v>0.0413247073006343</v>
      </c>
      <c r="R639" s="13" t="n">
        <v>0.0366</v>
      </c>
      <c r="S639" s="14" t="n">
        <v>4379708</v>
      </c>
      <c r="T639" s="14" t="n">
        <v>269987</v>
      </c>
      <c r="U639" s="14" t="n">
        <v>256974</v>
      </c>
      <c r="V639" s="14" t="n">
        <v>203878</v>
      </c>
      <c r="W639" s="14" t="n">
        <f aca="false">S639+T639+U639+V639</f>
        <v>5110547</v>
      </c>
      <c r="X639" s="15" t="n">
        <f aca="false">IF(P639=0,0,S639/P639)</f>
        <v>7.3143126258797</v>
      </c>
      <c r="Y639" s="15" t="n">
        <f aca="false">IF(J639=0,0,W639/J639)</f>
        <v>1.04019358149167</v>
      </c>
      <c r="Z639" s="14" t="n">
        <v>816571</v>
      </c>
      <c r="AA639" s="15" t="n">
        <f aca="false">IF(L639=0,0,Z639/L639)</f>
        <v>0.583742417906073</v>
      </c>
      <c r="AB639" s="12" t="n">
        <v>420443791</v>
      </c>
      <c r="AC639" s="16" t="n">
        <v>13.6</v>
      </c>
      <c r="AD639" s="16" t="n">
        <v>27.1</v>
      </c>
      <c r="AE639" s="13" t="n">
        <v>0.466</v>
      </c>
      <c r="AF639" s="13" t="n">
        <v>0.615</v>
      </c>
      <c r="AG639" s="13" t="n">
        <v>0.383</v>
      </c>
      <c r="AH639" s="13" t="n">
        <v>0.23</v>
      </c>
      <c r="AI639" s="17" t="n">
        <v>4.7</v>
      </c>
    </row>
    <row r="640" customFormat="false" ht="15" hidden="false" customHeight="false" outlineLevel="0" collapsed="false">
      <c r="A640" s="10" t="n">
        <v>45992</v>
      </c>
      <c r="B640" s="11" t="n">
        <f aca="false">YEAR(A640)</f>
        <v>2025</v>
      </c>
      <c r="C640" s="11" t="str">
        <f aca="false">"Q"&amp;ROUNDUP(MONTH(A640)/3,0)</f>
        <v>Q4</v>
      </c>
      <c r="D640" s="11" t="str">
        <f aca="false">B640&amp;"-"&amp;C640</f>
        <v>2025-Q4</v>
      </c>
      <c r="E640" s="11" t="n">
        <f aca="false">MONTH(A640)</f>
        <v>12</v>
      </c>
      <c r="F640" s="11" t="str">
        <f aca="false">TEXT(A640,"mmm")</f>
        <v>Dec</v>
      </c>
      <c r="G640" s="11" t="s">
        <v>207</v>
      </c>
      <c r="H640" s="11" t="s">
        <v>205</v>
      </c>
      <c r="I640" s="12" t="n">
        <v>4682919</v>
      </c>
      <c r="J640" s="12" t="n">
        <v>1427654</v>
      </c>
      <c r="K640" s="13" t="n">
        <f aca="false">IF(I640=0,0,J640/I640)</f>
        <v>0.304864124278041</v>
      </c>
      <c r="L640" s="12" t="n">
        <v>413069</v>
      </c>
      <c r="M640" s="12" t="n">
        <v>132308</v>
      </c>
      <c r="N640" s="12" t="n">
        <v>16562</v>
      </c>
      <c r="O640" s="12" t="n">
        <v>4842</v>
      </c>
      <c r="P640" s="12" t="n">
        <f aca="false">M640+N640+O640</f>
        <v>153712</v>
      </c>
      <c r="Q640" s="13" t="n">
        <f aca="false">IF(I640=0,0,P640/I640)</f>
        <v>0.0328239715442441</v>
      </c>
      <c r="R640" s="13" t="n">
        <v>0.0391</v>
      </c>
      <c r="S640" s="14" t="n">
        <v>1145399</v>
      </c>
      <c r="T640" s="14" t="n">
        <v>62062</v>
      </c>
      <c r="U640" s="14" t="n">
        <v>69356</v>
      </c>
      <c r="V640" s="14" t="n">
        <v>50212</v>
      </c>
      <c r="W640" s="14" t="n">
        <f aca="false">S640+T640+U640+V640</f>
        <v>1327029</v>
      </c>
      <c r="X640" s="15" t="n">
        <f aca="false">IF(P640=0,0,S640/P640)</f>
        <v>7.45159128760279</v>
      </c>
      <c r="Y640" s="15" t="n">
        <f aca="false">IF(J640=0,0,W640/J640)</f>
        <v>0.929517235968939</v>
      </c>
      <c r="Z640" s="14" t="n">
        <v>217322</v>
      </c>
      <c r="AA640" s="15" t="n">
        <f aca="false">IF(L640=0,0,Z640/L640)</f>
        <v>0.526115491600677</v>
      </c>
      <c r="AB640" s="12" t="n">
        <v>128577406</v>
      </c>
      <c r="AC640" s="16" t="n">
        <v>12.3</v>
      </c>
      <c r="AD640" s="16" t="n">
        <v>28.3</v>
      </c>
      <c r="AE640" s="13" t="n">
        <v>0.454</v>
      </c>
      <c r="AF640" s="13" t="n">
        <v>0.63</v>
      </c>
      <c r="AG640" s="13" t="n">
        <v>0.38</v>
      </c>
      <c r="AH640" s="13" t="n">
        <v>0.225</v>
      </c>
      <c r="AI640" s="17"/>
    </row>
    <row r="641" customFormat="false" ht="15" hidden="false" customHeight="false" outlineLevel="0" collapsed="false">
      <c r="A641" s="10" t="n">
        <v>45992</v>
      </c>
      <c r="B641" s="11" t="n">
        <f aca="false">YEAR(A641)</f>
        <v>2025</v>
      </c>
      <c r="C641" s="11" t="str">
        <f aca="false">"Q"&amp;ROUNDUP(MONTH(A641)/3,0)</f>
        <v>Q4</v>
      </c>
      <c r="D641" s="11" t="str">
        <f aca="false">B641&amp;"-"&amp;C641</f>
        <v>2025-Q4</v>
      </c>
      <c r="E641" s="11" t="n">
        <f aca="false">MONTH(A641)</f>
        <v>12</v>
      </c>
      <c r="F641" s="11" t="str">
        <f aca="false">TEXT(A641,"mmm")</f>
        <v>Dec</v>
      </c>
      <c r="G641" s="11" t="s">
        <v>208</v>
      </c>
      <c r="H641" s="11" t="s">
        <v>203</v>
      </c>
      <c r="I641" s="12" t="n">
        <v>9270510</v>
      </c>
      <c r="J641" s="12" t="n">
        <v>3601652</v>
      </c>
      <c r="K641" s="13" t="n">
        <f aca="false">IF(I641=0,0,J641/I641)</f>
        <v>0.388506349704601</v>
      </c>
      <c r="L641" s="12" t="n">
        <v>1028326</v>
      </c>
      <c r="M641" s="12" t="n">
        <v>447884</v>
      </c>
      <c r="N641" s="12" t="n">
        <v>61049</v>
      </c>
      <c r="O641" s="12" t="n">
        <v>23981</v>
      </c>
      <c r="P641" s="12" t="n">
        <f aca="false">M641+N641+O641</f>
        <v>532914</v>
      </c>
      <c r="Q641" s="13" t="n">
        <f aca="false">IF(I641=0,0,P641/I641)</f>
        <v>0.0574848632923108</v>
      </c>
      <c r="R641" s="13" t="n">
        <v>0.0391</v>
      </c>
      <c r="S641" s="14" t="n">
        <v>3721256</v>
      </c>
      <c r="T641" s="14" t="n">
        <v>215690</v>
      </c>
      <c r="U641" s="14" t="n">
        <v>222032</v>
      </c>
      <c r="V641" s="14" t="n">
        <v>172296</v>
      </c>
      <c r="W641" s="14" t="n">
        <f aca="false">S641+T641+U641+V641</f>
        <v>4331274</v>
      </c>
      <c r="X641" s="15" t="n">
        <f aca="false">IF(P641=0,0,S641/P641)</f>
        <v>6.98284526208732</v>
      </c>
      <c r="Y641" s="15" t="n">
        <f aca="false">IF(J641=0,0,W641/J641)</f>
        <v>1.20257981615103</v>
      </c>
      <c r="Z641" s="14" t="n">
        <v>686581</v>
      </c>
      <c r="AA641" s="15" t="n">
        <f aca="false">IF(L641=0,0,Z641/L641)</f>
        <v>0.667668618706519</v>
      </c>
      <c r="AB641" s="12" t="n">
        <v>329646402</v>
      </c>
      <c r="AC641" s="16" t="n">
        <v>14.1</v>
      </c>
      <c r="AD641" s="16" t="n">
        <v>28.8</v>
      </c>
      <c r="AE641" s="13" t="n">
        <v>0.466</v>
      </c>
      <c r="AF641" s="13" t="n">
        <v>0.613</v>
      </c>
      <c r="AG641" s="13" t="n">
        <v>0.38</v>
      </c>
      <c r="AH641" s="13" t="n">
        <v>0.232</v>
      </c>
      <c r="AI641" s="17" t="n">
        <v>4.72</v>
      </c>
    </row>
    <row r="642" customFormat="false" ht="15" hidden="false" customHeight="false" outlineLevel="0" collapsed="false">
      <c r="A642" s="10" t="n">
        <v>45992</v>
      </c>
      <c r="B642" s="11" t="n">
        <f aca="false">YEAR(A642)</f>
        <v>2025</v>
      </c>
      <c r="C642" s="11" t="str">
        <f aca="false">"Q"&amp;ROUNDUP(MONTH(A642)/3,0)</f>
        <v>Q4</v>
      </c>
      <c r="D642" s="11" t="str">
        <f aca="false">B642&amp;"-"&amp;C642</f>
        <v>2025-Q4</v>
      </c>
      <c r="E642" s="11" t="n">
        <f aca="false">MONTH(A642)</f>
        <v>12</v>
      </c>
      <c r="F642" s="11" t="str">
        <f aca="false">TEXT(A642,"mmm")</f>
        <v>Dec</v>
      </c>
      <c r="G642" s="11" t="s">
        <v>208</v>
      </c>
      <c r="H642" s="11" t="s">
        <v>204</v>
      </c>
      <c r="I642" s="12" t="n">
        <v>10062542</v>
      </c>
      <c r="J642" s="12" t="n">
        <v>3684648</v>
      </c>
      <c r="K642" s="13" t="n">
        <f aca="false">IF(I642=0,0,J642/I642)</f>
        <v>0.366174670376531</v>
      </c>
      <c r="L642" s="12" t="n">
        <v>1145344</v>
      </c>
      <c r="M642" s="12" t="n">
        <v>252988</v>
      </c>
      <c r="N642" s="12" t="n">
        <v>32997</v>
      </c>
      <c r="O642" s="12" t="n">
        <v>9989</v>
      </c>
      <c r="P642" s="12" t="n">
        <f aca="false">M642+N642+O642</f>
        <v>295974</v>
      </c>
      <c r="Q642" s="13" t="n">
        <f aca="false">IF(I642=0,0,P642/I642)</f>
        <v>0.0294134424482402</v>
      </c>
      <c r="R642" s="13" t="n">
        <v>0.0416</v>
      </c>
      <c r="S642" s="14" t="n">
        <v>2189923</v>
      </c>
      <c r="T642" s="14" t="n">
        <v>121724</v>
      </c>
      <c r="U642" s="14" t="n">
        <v>121479</v>
      </c>
      <c r="V642" s="14" t="n">
        <v>98273</v>
      </c>
      <c r="W642" s="14" t="n">
        <f aca="false">S642+T642+U642+V642</f>
        <v>2531399</v>
      </c>
      <c r="X642" s="15" t="n">
        <f aca="false">IF(P642=0,0,S642/P642)</f>
        <v>7.3990384290512</v>
      </c>
      <c r="Y642" s="15" t="n">
        <f aca="false">IF(J642=0,0,W642/J642)</f>
        <v>0.687012436466116</v>
      </c>
      <c r="Z642" s="14" t="n">
        <v>384251</v>
      </c>
      <c r="AA642" s="15" t="n">
        <f aca="false">IF(L642=0,0,Z642/L642)</f>
        <v>0.335489599631203</v>
      </c>
      <c r="AB642" s="12" t="n">
        <v>336374830</v>
      </c>
      <c r="AC642" s="16" t="n">
        <v>13.4</v>
      </c>
      <c r="AD642" s="16" t="n">
        <v>28.2</v>
      </c>
      <c r="AE642" s="13" t="n">
        <v>0.448</v>
      </c>
      <c r="AF642" s="13" t="n">
        <v>0.607</v>
      </c>
      <c r="AG642" s="13" t="n">
        <v>0.38</v>
      </c>
      <c r="AH642" s="13" t="n">
        <v>0.233</v>
      </c>
      <c r="AI642" s="17" t="n">
        <v>4.7</v>
      </c>
    </row>
    <row r="643" customFormat="false" ht="15" hidden="false" customHeight="false" outlineLevel="0" collapsed="false">
      <c r="A643" s="10" t="n">
        <v>45992</v>
      </c>
      <c r="B643" s="11" t="n">
        <f aca="false">YEAR(A643)</f>
        <v>2025</v>
      </c>
      <c r="C643" s="11" t="str">
        <f aca="false">"Q"&amp;ROUNDUP(MONTH(A643)/3,0)</f>
        <v>Q4</v>
      </c>
      <c r="D643" s="11" t="str">
        <f aca="false">B643&amp;"-"&amp;C643</f>
        <v>2025-Q4</v>
      </c>
      <c r="E643" s="11" t="n">
        <f aca="false">MONTH(A643)</f>
        <v>12</v>
      </c>
      <c r="F643" s="11" t="str">
        <f aca="false">TEXT(A643,"mmm")</f>
        <v>Dec</v>
      </c>
      <c r="G643" s="11" t="s">
        <v>208</v>
      </c>
      <c r="H643" s="11" t="s">
        <v>205</v>
      </c>
      <c r="I643" s="12" t="n">
        <v>3389585</v>
      </c>
      <c r="J643" s="12" t="n">
        <v>1119162</v>
      </c>
      <c r="K643" s="13" t="n">
        <f aca="false">IF(I643=0,0,J643/I643)</f>
        <v>0.330176703047718</v>
      </c>
      <c r="L643" s="12" t="n">
        <v>351353</v>
      </c>
      <c r="M643" s="12" t="n">
        <v>62949</v>
      </c>
      <c r="N643" s="12" t="n">
        <v>8355</v>
      </c>
      <c r="O643" s="12" t="n">
        <v>1641</v>
      </c>
      <c r="P643" s="12" t="n">
        <f aca="false">M643+N643+O643</f>
        <v>72945</v>
      </c>
      <c r="Q643" s="13" t="n">
        <f aca="false">IF(I643=0,0,P643/I643)</f>
        <v>0.0215203336101617</v>
      </c>
      <c r="R643" s="13" t="n">
        <v>0.038</v>
      </c>
      <c r="S643" s="14" t="n">
        <v>553635</v>
      </c>
      <c r="T643" s="14" t="n">
        <v>31572</v>
      </c>
      <c r="U643" s="14" t="n">
        <v>33115</v>
      </c>
      <c r="V643" s="14" t="n">
        <v>25739</v>
      </c>
      <c r="W643" s="14" t="n">
        <f aca="false">S643+T643+U643+V643</f>
        <v>644061</v>
      </c>
      <c r="X643" s="15" t="n">
        <f aca="false">IF(P643=0,0,S643/P643)</f>
        <v>7.58975940777298</v>
      </c>
      <c r="Y643" s="15" t="n">
        <f aca="false">IF(J643=0,0,W643/J643)</f>
        <v>0.575485050421655</v>
      </c>
      <c r="Z643" s="14" t="n">
        <v>103852</v>
      </c>
      <c r="AA643" s="15" t="n">
        <f aca="false">IF(L643=0,0,Z643/L643)</f>
        <v>0.295577382290745</v>
      </c>
      <c r="AB643" s="12" t="n">
        <v>99976894</v>
      </c>
      <c r="AC643" s="16" t="n">
        <v>12</v>
      </c>
      <c r="AD643" s="16" t="n">
        <v>28</v>
      </c>
      <c r="AE643" s="13" t="n">
        <v>0.458</v>
      </c>
      <c r="AF643" s="13" t="n">
        <v>0.601</v>
      </c>
      <c r="AG643" s="13" t="n">
        <v>0.392</v>
      </c>
      <c r="AH643" s="13" t="n">
        <v>0.229</v>
      </c>
      <c r="AI643" s="17"/>
    </row>
    <row r="644" customFormat="false" ht="15" hidden="false" customHeight="false" outlineLevel="0" collapsed="false">
      <c r="A644" s="10" t="n">
        <v>45992</v>
      </c>
      <c r="B644" s="11" t="n">
        <f aca="false">YEAR(A644)</f>
        <v>2025</v>
      </c>
      <c r="C644" s="11" t="str">
        <f aca="false">"Q"&amp;ROUNDUP(MONTH(A644)/3,0)</f>
        <v>Q4</v>
      </c>
      <c r="D644" s="11" t="str">
        <f aca="false">B644&amp;"-"&amp;C644</f>
        <v>2025-Q4</v>
      </c>
      <c r="E644" s="11" t="n">
        <f aca="false">MONTH(A644)</f>
        <v>12</v>
      </c>
      <c r="F644" s="11" t="str">
        <f aca="false">TEXT(A644,"mmm")</f>
        <v>Dec</v>
      </c>
      <c r="G644" s="11" t="s">
        <v>209</v>
      </c>
      <c r="H644" s="11" t="s">
        <v>203</v>
      </c>
      <c r="I644" s="12" t="n">
        <v>5041497</v>
      </c>
      <c r="J644" s="12" t="n">
        <v>1854759</v>
      </c>
      <c r="K644" s="13" t="n">
        <f aca="false">IF(I644=0,0,J644/I644)</f>
        <v>0.367898463492094</v>
      </c>
      <c r="L644" s="12" t="n">
        <v>582702</v>
      </c>
      <c r="M644" s="12" t="n">
        <v>182101</v>
      </c>
      <c r="N644" s="12" t="n">
        <v>22255</v>
      </c>
      <c r="O644" s="12" t="n">
        <v>7632</v>
      </c>
      <c r="P644" s="12" t="n">
        <f aca="false">M644+N644+O644</f>
        <v>211988</v>
      </c>
      <c r="Q644" s="13" t="n">
        <f aca="false">IF(I644=0,0,P644/I644)</f>
        <v>0.0420486216693177</v>
      </c>
      <c r="R644" s="13" t="n">
        <v>0.0356</v>
      </c>
      <c r="S644" s="14" t="n">
        <v>1577601</v>
      </c>
      <c r="T644" s="14" t="n">
        <v>91430</v>
      </c>
      <c r="U644" s="14" t="n">
        <v>91816</v>
      </c>
      <c r="V644" s="14" t="n">
        <v>71375</v>
      </c>
      <c r="W644" s="14" t="n">
        <f aca="false">S644+T644+U644+V644</f>
        <v>1832222</v>
      </c>
      <c r="X644" s="15" t="n">
        <f aca="false">IF(P644=0,0,S644/P644)</f>
        <v>7.44193539256939</v>
      </c>
      <c r="Y644" s="15" t="n">
        <f aca="false">IF(J644=0,0,W644/J644)</f>
        <v>0.987849095219379</v>
      </c>
      <c r="Z644" s="14" t="n">
        <v>257426</v>
      </c>
      <c r="AA644" s="15" t="n">
        <f aca="false">IF(L644=0,0,Z644/L644)</f>
        <v>0.441779846302227</v>
      </c>
      <c r="AB644" s="12" t="n">
        <v>156982478</v>
      </c>
      <c r="AC644" s="16" t="n">
        <v>14.3</v>
      </c>
      <c r="AD644" s="16" t="n">
        <v>27.9</v>
      </c>
      <c r="AE644" s="13" t="n">
        <v>0.455</v>
      </c>
      <c r="AF644" s="13" t="n">
        <v>0.609</v>
      </c>
      <c r="AG644" s="13" t="n">
        <v>0.37</v>
      </c>
      <c r="AH644" s="13" t="n">
        <v>0.228</v>
      </c>
      <c r="AI644" s="17" t="n">
        <v>4.73</v>
      </c>
    </row>
    <row r="645" customFormat="false" ht="15" hidden="false" customHeight="false" outlineLevel="0" collapsed="false">
      <c r="A645" s="10" t="n">
        <v>45992</v>
      </c>
      <c r="B645" s="11" t="n">
        <f aca="false">YEAR(A645)</f>
        <v>2025</v>
      </c>
      <c r="C645" s="11" t="str">
        <f aca="false">"Q"&amp;ROUNDUP(MONTH(A645)/3,0)</f>
        <v>Q4</v>
      </c>
      <c r="D645" s="11" t="str">
        <f aca="false">B645&amp;"-"&amp;C645</f>
        <v>2025-Q4</v>
      </c>
      <c r="E645" s="11" t="n">
        <f aca="false">MONTH(A645)</f>
        <v>12</v>
      </c>
      <c r="F645" s="11" t="str">
        <f aca="false">TEXT(A645,"mmm")</f>
        <v>Dec</v>
      </c>
      <c r="G645" s="11" t="s">
        <v>209</v>
      </c>
      <c r="H645" s="11" t="s">
        <v>204</v>
      </c>
      <c r="I645" s="12" t="n">
        <v>6317531</v>
      </c>
      <c r="J645" s="12" t="n">
        <v>2219403</v>
      </c>
      <c r="K645" s="13" t="n">
        <f aca="false">IF(I645=0,0,J645/I645)</f>
        <v>0.351308604579859</v>
      </c>
      <c r="L645" s="12" t="n">
        <v>641681</v>
      </c>
      <c r="M645" s="12" t="n">
        <v>109040</v>
      </c>
      <c r="N645" s="12" t="n">
        <v>13236</v>
      </c>
      <c r="O645" s="12" t="n">
        <v>3393</v>
      </c>
      <c r="P645" s="12" t="n">
        <f aca="false">M645+N645+O645</f>
        <v>125669</v>
      </c>
      <c r="Q645" s="13" t="n">
        <f aca="false">IF(I645=0,0,P645/I645)</f>
        <v>0.0198921065840437</v>
      </c>
      <c r="R645" s="13" t="n">
        <v>0.038</v>
      </c>
      <c r="S645" s="14" t="n">
        <v>877121</v>
      </c>
      <c r="T645" s="14" t="n">
        <v>52476</v>
      </c>
      <c r="U645" s="14" t="n">
        <v>51837</v>
      </c>
      <c r="V645" s="14" t="n">
        <v>43694</v>
      </c>
      <c r="W645" s="14" t="n">
        <f aca="false">S645+T645+U645+V645</f>
        <v>1025128</v>
      </c>
      <c r="X645" s="15" t="n">
        <f aca="false">IF(P645=0,0,S645/P645)</f>
        <v>6.9796131106319</v>
      </c>
      <c r="Y645" s="15" t="n">
        <f aca="false">IF(J645=0,0,W645/J645)</f>
        <v>0.461893581291906</v>
      </c>
      <c r="Z645" s="14" t="n">
        <v>145834</v>
      </c>
      <c r="AA645" s="15" t="n">
        <f aca="false">IF(L645=0,0,Z645/L645)</f>
        <v>0.227268689582518</v>
      </c>
      <c r="AB645" s="12" t="n">
        <v>188629019</v>
      </c>
      <c r="AC645" s="16" t="n">
        <v>13.8</v>
      </c>
      <c r="AD645" s="16" t="n">
        <v>27.5</v>
      </c>
      <c r="AE645" s="13" t="n">
        <v>0.448</v>
      </c>
      <c r="AF645" s="13" t="n">
        <v>0.607</v>
      </c>
      <c r="AG645" s="13" t="n">
        <v>0.39</v>
      </c>
      <c r="AH645" s="13" t="n">
        <v>0.224</v>
      </c>
      <c r="AI645" s="17" t="n">
        <v>4.7</v>
      </c>
    </row>
    <row r="646" customFormat="false" ht="15" hidden="false" customHeight="false" outlineLevel="0" collapsed="false">
      <c r="A646" s="10" t="n">
        <v>45992</v>
      </c>
      <c r="B646" s="11" t="n">
        <f aca="false">YEAR(A646)</f>
        <v>2025</v>
      </c>
      <c r="C646" s="11" t="str">
        <f aca="false">"Q"&amp;ROUNDUP(MONTH(A646)/3,0)</f>
        <v>Q4</v>
      </c>
      <c r="D646" s="11" t="str">
        <f aca="false">B646&amp;"-"&amp;C646</f>
        <v>2025-Q4</v>
      </c>
      <c r="E646" s="11" t="n">
        <f aca="false">MONTH(A646)</f>
        <v>12</v>
      </c>
      <c r="F646" s="11" t="str">
        <f aca="false">TEXT(A646,"mmm")</f>
        <v>Dec</v>
      </c>
      <c r="G646" s="11" t="s">
        <v>209</v>
      </c>
      <c r="H646" s="11" t="s">
        <v>205</v>
      </c>
      <c r="I646" s="12" t="n">
        <v>2101696</v>
      </c>
      <c r="J646" s="12" t="n">
        <v>645545</v>
      </c>
      <c r="K646" s="13" t="n">
        <f aca="false">IF(I646=0,0,J646/I646)</f>
        <v>0.307154317275191</v>
      </c>
      <c r="L646" s="12" t="n">
        <v>199362</v>
      </c>
      <c r="M646" s="12" t="n">
        <v>28884</v>
      </c>
      <c r="N646" s="12" t="n">
        <v>3699</v>
      </c>
      <c r="O646" s="12" t="n">
        <v>597</v>
      </c>
      <c r="P646" s="12" t="n">
        <f aca="false">M646+N646+O646</f>
        <v>33180</v>
      </c>
      <c r="Q646" s="13" t="n">
        <f aca="false">IF(I646=0,0,P646/I646)</f>
        <v>0.0157872499162581</v>
      </c>
      <c r="R646" s="13" t="n">
        <v>0.0401</v>
      </c>
      <c r="S646" s="14" t="n">
        <v>246869</v>
      </c>
      <c r="T646" s="14" t="n">
        <v>13561</v>
      </c>
      <c r="U646" s="14" t="n">
        <v>14204</v>
      </c>
      <c r="V646" s="14" t="n">
        <v>11610</v>
      </c>
      <c r="W646" s="14" t="n">
        <f aca="false">S646+T646+U646+V646</f>
        <v>286244</v>
      </c>
      <c r="X646" s="15" t="n">
        <f aca="false">IF(P646=0,0,S646/P646)</f>
        <v>7.44029535864979</v>
      </c>
      <c r="Y646" s="15" t="n">
        <f aca="false">IF(J646=0,0,W646/J646)</f>
        <v>0.443414479238473</v>
      </c>
      <c r="Z646" s="14" t="n">
        <v>48143</v>
      </c>
      <c r="AA646" s="15" t="n">
        <f aca="false">IF(L646=0,0,Z646/L646)</f>
        <v>0.24148533822895</v>
      </c>
      <c r="AB646" s="12" t="n">
        <v>52897638</v>
      </c>
      <c r="AC646" s="16" t="n">
        <v>12.5</v>
      </c>
      <c r="AD646" s="16" t="n">
        <v>27.9</v>
      </c>
      <c r="AE646" s="13" t="n">
        <v>0.452</v>
      </c>
      <c r="AF646" s="13" t="n">
        <v>0.619</v>
      </c>
      <c r="AG646" s="13" t="n">
        <v>0.372</v>
      </c>
      <c r="AH646" s="13" t="n">
        <v>0.219</v>
      </c>
      <c r="AI646" s="17"/>
    </row>
    <row r="647" customFormat="false" ht="15" hidden="false" customHeight="false" outlineLevel="0" collapsed="false">
      <c r="A647" s="10" t="n">
        <v>45992</v>
      </c>
      <c r="B647" s="11" t="n">
        <f aca="false">YEAR(A647)</f>
        <v>2025</v>
      </c>
      <c r="C647" s="11" t="str">
        <f aca="false">"Q"&amp;ROUNDUP(MONTH(A647)/3,0)</f>
        <v>Q4</v>
      </c>
      <c r="D647" s="11" t="str">
        <f aca="false">B647&amp;"-"&amp;C647</f>
        <v>2025-Q4</v>
      </c>
      <c r="E647" s="11" t="n">
        <f aca="false">MONTH(A647)</f>
        <v>12</v>
      </c>
      <c r="F647" s="11" t="str">
        <f aca="false">TEXT(A647,"mmm")</f>
        <v>Dec</v>
      </c>
      <c r="G647" s="11" t="s">
        <v>210</v>
      </c>
      <c r="H647" s="11" t="s">
        <v>203</v>
      </c>
      <c r="I647" s="12" t="n">
        <v>10106357</v>
      </c>
      <c r="J647" s="12" t="n">
        <v>3523142</v>
      </c>
      <c r="K647" s="13" t="n">
        <f aca="false">IF(I647=0,0,J647/I647)</f>
        <v>0.348606525575932</v>
      </c>
      <c r="L647" s="12" t="n">
        <v>985185</v>
      </c>
      <c r="M647" s="12" t="n">
        <v>376437</v>
      </c>
      <c r="N647" s="12" t="n">
        <v>48589</v>
      </c>
      <c r="O647" s="12" t="n">
        <v>15872</v>
      </c>
      <c r="P647" s="12" t="n">
        <f aca="false">M647+N647+O647</f>
        <v>440898</v>
      </c>
      <c r="Q647" s="13" t="n">
        <f aca="false">IF(I647=0,0,P647/I647)</f>
        <v>0.0436258089833953</v>
      </c>
      <c r="R647" s="13" t="n">
        <v>0.0374</v>
      </c>
      <c r="S647" s="14" t="n">
        <v>3115658</v>
      </c>
      <c r="T647" s="14" t="n">
        <v>197784</v>
      </c>
      <c r="U647" s="14" t="n">
        <v>193323</v>
      </c>
      <c r="V647" s="14" t="n">
        <v>147848</v>
      </c>
      <c r="W647" s="14" t="n">
        <f aca="false">S647+T647+U647+V647</f>
        <v>3654613</v>
      </c>
      <c r="X647" s="15" t="n">
        <f aca="false">IF(P647=0,0,S647/P647)</f>
        <v>7.06661858298291</v>
      </c>
      <c r="Y647" s="15" t="n">
        <f aca="false">IF(J647=0,0,W647/J647)</f>
        <v>1.03731640677554</v>
      </c>
      <c r="Z647" s="14" t="n">
        <v>577554</v>
      </c>
      <c r="AA647" s="15" t="n">
        <f aca="false">IF(L647=0,0,Z647/L647)</f>
        <v>0.586239132751717</v>
      </c>
      <c r="AB647" s="12" t="n">
        <v>303167979</v>
      </c>
      <c r="AC647" s="16" t="n">
        <v>14.1</v>
      </c>
      <c r="AD647" s="16" t="n">
        <v>27.4</v>
      </c>
      <c r="AE647" s="13" t="n">
        <v>0.461</v>
      </c>
      <c r="AF647" s="13" t="n">
        <v>0.612</v>
      </c>
      <c r="AG647" s="13" t="n">
        <v>0.377</v>
      </c>
      <c r="AH647" s="13" t="n">
        <v>0.218</v>
      </c>
      <c r="AI647" s="17" t="n">
        <v>4.72</v>
      </c>
    </row>
    <row r="648" customFormat="false" ht="15" hidden="false" customHeight="false" outlineLevel="0" collapsed="false">
      <c r="A648" s="10" t="n">
        <v>45992</v>
      </c>
      <c r="B648" s="11" t="n">
        <f aca="false">YEAR(A648)</f>
        <v>2025</v>
      </c>
      <c r="C648" s="11" t="str">
        <f aca="false">"Q"&amp;ROUNDUP(MONTH(A648)/3,0)</f>
        <v>Q4</v>
      </c>
      <c r="D648" s="11" t="str">
        <f aca="false">B648&amp;"-"&amp;C648</f>
        <v>2025-Q4</v>
      </c>
      <c r="E648" s="11" t="n">
        <f aca="false">MONTH(A648)</f>
        <v>12</v>
      </c>
      <c r="F648" s="11" t="str">
        <f aca="false">TEXT(A648,"mmm")</f>
        <v>Dec</v>
      </c>
      <c r="G648" s="11" t="s">
        <v>210</v>
      </c>
      <c r="H648" s="11" t="s">
        <v>204</v>
      </c>
      <c r="I648" s="12" t="n">
        <v>12277067</v>
      </c>
      <c r="J648" s="12" t="n">
        <v>4083477</v>
      </c>
      <c r="K648" s="13" t="n">
        <f aca="false">IF(I648=0,0,J648/I648)</f>
        <v>0.332610142145514</v>
      </c>
      <c r="L648" s="12" t="n">
        <v>1222018</v>
      </c>
      <c r="M648" s="12" t="n">
        <v>210512</v>
      </c>
      <c r="N648" s="12" t="n">
        <v>26813</v>
      </c>
      <c r="O648" s="12" t="n">
        <v>6586</v>
      </c>
      <c r="P648" s="12" t="n">
        <f aca="false">M648+N648+O648</f>
        <v>243911</v>
      </c>
      <c r="Q648" s="13" t="n">
        <f aca="false">IF(I648=0,0,P648/I648)</f>
        <v>0.0198672044389755</v>
      </c>
      <c r="R648" s="13" t="n">
        <v>0.0357</v>
      </c>
      <c r="S648" s="14" t="n">
        <v>1698272</v>
      </c>
      <c r="T648" s="14" t="n">
        <v>100664</v>
      </c>
      <c r="U648" s="14" t="n">
        <v>105062</v>
      </c>
      <c r="V648" s="14" t="n">
        <v>75742</v>
      </c>
      <c r="W648" s="14" t="n">
        <f aca="false">S648+T648+U648+V648</f>
        <v>1979740</v>
      </c>
      <c r="X648" s="15" t="n">
        <f aca="false">IF(P648=0,0,S648/P648)</f>
        <v>6.96267081025456</v>
      </c>
      <c r="Y648" s="15" t="n">
        <f aca="false">IF(J648=0,0,W648/J648)</f>
        <v>0.484817228063241</v>
      </c>
      <c r="Z648" s="14" t="n">
        <v>288470</v>
      </c>
      <c r="AA648" s="15" t="n">
        <f aca="false">IF(L648=0,0,Z648/L648)</f>
        <v>0.23606035262983</v>
      </c>
      <c r="AB648" s="12" t="n">
        <v>368715632</v>
      </c>
      <c r="AC648" s="16" t="n">
        <v>13.5</v>
      </c>
      <c r="AD648" s="16" t="n">
        <v>28.4</v>
      </c>
      <c r="AE648" s="13" t="n">
        <v>0.455</v>
      </c>
      <c r="AF648" s="13" t="n">
        <v>0.609</v>
      </c>
      <c r="AG648" s="13" t="n">
        <v>0.373</v>
      </c>
      <c r="AH648" s="13" t="n">
        <v>0.226</v>
      </c>
      <c r="AI648" s="17" t="n">
        <v>4.71</v>
      </c>
    </row>
    <row r="649" customFormat="false" ht="15" hidden="false" customHeight="false" outlineLevel="0" collapsed="false">
      <c r="A649" s="10" t="n">
        <v>45992</v>
      </c>
      <c r="B649" s="11" t="n">
        <f aca="false">YEAR(A649)</f>
        <v>2025</v>
      </c>
      <c r="C649" s="11" t="str">
        <f aca="false">"Q"&amp;ROUNDUP(MONTH(A649)/3,0)</f>
        <v>Q4</v>
      </c>
      <c r="D649" s="11" t="str">
        <f aca="false">B649&amp;"-"&amp;C649</f>
        <v>2025-Q4</v>
      </c>
      <c r="E649" s="11" t="n">
        <f aca="false">MONTH(A649)</f>
        <v>12</v>
      </c>
      <c r="F649" s="11" t="str">
        <f aca="false">TEXT(A649,"mmm")</f>
        <v>Dec</v>
      </c>
      <c r="G649" s="11" t="s">
        <v>210</v>
      </c>
      <c r="H649" s="11" t="s">
        <v>205</v>
      </c>
      <c r="I649" s="12" t="n">
        <v>3569608</v>
      </c>
      <c r="J649" s="12" t="n">
        <v>1073145</v>
      </c>
      <c r="K649" s="13" t="n">
        <f aca="false">IF(I649=0,0,J649/I649)</f>
        <v>0.300633851111943</v>
      </c>
      <c r="L649" s="12" t="n">
        <v>304401</v>
      </c>
      <c r="M649" s="12" t="n">
        <v>52826</v>
      </c>
      <c r="N649" s="12" t="n">
        <v>6898</v>
      </c>
      <c r="O649" s="12" t="n">
        <v>1095</v>
      </c>
      <c r="P649" s="12" t="n">
        <f aca="false">M649+N649+O649</f>
        <v>60819</v>
      </c>
      <c r="Q649" s="13" t="n">
        <f aca="false">IF(I649=0,0,P649/I649)</f>
        <v>0.0170380052935785</v>
      </c>
      <c r="R649" s="13" t="n">
        <v>0.0414</v>
      </c>
      <c r="S649" s="14" t="n">
        <v>467068</v>
      </c>
      <c r="T649" s="14" t="n">
        <v>28640</v>
      </c>
      <c r="U649" s="14" t="n">
        <v>26262</v>
      </c>
      <c r="V649" s="14" t="n">
        <v>19871</v>
      </c>
      <c r="W649" s="14" t="n">
        <f aca="false">S649+T649+U649+V649</f>
        <v>541841</v>
      </c>
      <c r="X649" s="15" t="n">
        <f aca="false">IF(P649=0,0,S649/P649)</f>
        <v>7.67963958631349</v>
      </c>
      <c r="Y649" s="15" t="n">
        <f aca="false">IF(J649=0,0,W649/J649)</f>
        <v>0.504909401804975</v>
      </c>
      <c r="Z649" s="14" t="n">
        <v>80331</v>
      </c>
      <c r="AA649" s="15" t="n">
        <f aca="false">IF(L649=0,0,Z649/L649)</f>
        <v>0.263898607429016</v>
      </c>
      <c r="AB649" s="12" t="n">
        <v>96591576</v>
      </c>
      <c r="AC649" s="16" t="n">
        <v>12.2</v>
      </c>
      <c r="AD649" s="16" t="n">
        <v>27.9</v>
      </c>
      <c r="AE649" s="13" t="n">
        <v>0.464</v>
      </c>
      <c r="AF649" s="13" t="n">
        <v>0.621</v>
      </c>
      <c r="AG649" s="13" t="n">
        <v>0.375</v>
      </c>
      <c r="AH649" s="13" t="n">
        <v>0.23</v>
      </c>
      <c r="AI649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10" min="9" style="0" width="20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31.5" hidden="false" customHeight="true" outlineLevel="0" collapsed="false">
      <c r="A1" s="6" t="s">
        <v>30</v>
      </c>
      <c r="B1" s="6" t="s">
        <v>36</v>
      </c>
      <c r="C1" s="6" t="s">
        <v>41</v>
      </c>
      <c r="D1" s="6" t="s">
        <v>161</v>
      </c>
      <c r="E1" s="6" t="s">
        <v>164</v>
      </c>
      <c r="F1" s="6" t="s">
        <v>167</v>
      </c>
      <c r="G1" s="6" t="s">
        <v>170</v>
      </c>
      <c r="H1" s="6" t="s">
        <v>130</v>
      </c>
      <c r="I1" s="6" t="s">
        <v>175</v>
      </c>
      <c r="J1" s="6" t="s">
        <v>178</v>
      </c>
      <c r="K1" s="6" t="s">
        <v>137</v>
      </c>
      <c r="L1" s="6" t="s">
        <v>183</v>
      </c>
    </row>
    <row r="2" customFormat="false" ht="15" hidden="false" customHeight="false" outlineLevel="0" collapsed="false">
      <c r="A2" s="10" t="n">
        <v>44927</v>
      </c>
      <c r="B2" s="18" t="n">
        <f aca="false">YEAR(A2)</f>
        <v>2023</v>
      </c>
      <c r="C2" s="19" t="str">
        <f aca="false">"Q"&amp;ROUNDUP(MONTH(A2)/3,0)</f>
        <v>Q1</v>
      </c>
      <c r="D2" s="19" t="s">
        <v>211</v>
      </c>
      <c r="E2" s="19" t="s">
        <v>212</v>
      </c>
      <c r="F2" s="12" t="n">
        <v>24999265</v>
      </c>
      <c r="G2" s="12" t="n">
        <v>4855994</v>
      </c>
      <c r="H2" s="12" t="n">
        <v>348273398</v>
      </c>
      <c r="I2" s="16" t="n">
        <v>37.7</v>
      </c>
      <c r="J2" s="13" t="n">
        <v>0.104</v>
      </c>
      <c r="K2" s="16" t="n">
        <v>19.4</v>
      </c>
      <c r="L2" s="13" t="n">
        <f aca="false">IF(SUMIFS($F$2:$F$397,$A$2:$A$397,A2)=0,0,F2/SUMIFS($F$2:$F$397,$A$2:$A$397,A2))</f>
        <v>0.304446784261192</v>
      </c>
    </row>
    <row r="3" customFormat="false" ht="15" hidden="false" customHeight="false" outlineLevel="0" collapsed="false">
      <c r="A3" s="10" t="n">
        <v>44927</v>
      </c>
      <c r="B3" s="18" t="n">
        <f aca="false">YEAR(A3)</f>
        <v>2023</v>
      </c>
      <c r="C3" s="19" t="str">
        <f aca="false">"Q"&amp;ROUNDUP(MONTH(A3)/3,0)</f>
        <v>Q1</v>
      </c>
      <c r="D3" s="19" t="s">
        <v>213</v>
      </c>
      <c r="E3" s="19" t="s">
        <v>214</v>
      </c>
      <c r="F3" s="12" t="n">
        <v>14002081</v>
      </c>
      <c r="G3" s="12" t="n">
        <v>2476884</v>
      </c>
      <c r="H3" s="12" t="n">
        <v>194523308</v>
      </c>
      <c r="I3" s="16" t="n">
        <v>38.3</v>
      </c>
      <c r="J3" s="13" t="n">
        <v>0.129</v>
      </c>
      <c r="K3" s="16" t="n">
        <v>20</v>
      </c>
      <c r="L3" s="13" t="n">
        <f aca="false">IF(SUMIFS($F$2:$F$397,$A$2:$A$397,A3)=0,0,F3/SUMIFS($F$2:$F$397,$A$2:$A$397,A3))</f>
        <v>0.170520554640896</v>
      </c>
    </row>
    <row r="4" customFormat="false" ht="15" hidden="false" customHeight="false" outlineLevel="0" collapsed="false">
      <c r="A4" s="10" t="n">
        <v>44927</v>
      </c>
      <c r="B4" s="18" t="n">
        <f aca="false">YEAR(A4)</f>
        <v>2023</v>
      </c>
      <c r="C4" s="19" t="str">
        <f aca="false">"Q"&amp;ROUNDUP(MONTH(A4)/3,0)</f>
        <v>Q1</v>
      </c>
      <c r="D4" s="19" t="s">
        <v>215</v>
      </c>
      <c r="E4" s="19" t="s">
        <v>214</v>
      </c>
      <c r="F4" s="12" t="n">
        <v>7614069</v>
      </c>
      <c r="G4" s="12" t="n">
        <v>1322542</v>
      </c>
      <c r="H4" s="12" t="n">
        <v>108008787</v>
      </c>
      <c r="I4" s="16" t="n">
        <v>38</v>
      </c>
      <c r="J4" s="13" t="n">
        <v>0.125</v>
      </c>
      <c r="K4" s="16" t="n">
        <v>17.7</v>
      </c>
      <c r="L4" s="13" t="n">
        <f aca="false">IF(SUMIFS($F$2:$F$397,$A$2:$A$397,A4)=0,0,F4/SUMIFS($F$2:$F$397,$A$2:$A$397,A4))</f>
        <v>0.0927258790285568</v>
      </c>
    </row>
    <row r="5" customFormat="false" ht="15" hidden="false" customHeight="false" outlineLevel="0" collapsed="false">
      <c r="A5" s="10" t="n">
        <v>44927</v>
      </c>
      <c r="B5" s="18" t="n">
        <f aca="false">YEAR(A5)</f>
        <v>2023</v>
      </c>
      <c r="C5" s="19" t="str">
        <f aca="false">"Q"&amp;ROUNDUP(MONTH(A5)/3,0)</f>
        <v>Q1</v>
      </c>
      <c r="D5" s="19" t="s">
        <v>216</v>
      </c>
      <c r="E5" s="19" t="s">
        <v>212</v>
      </c>
      <c r="F5" s="12" t="n">
        <v>4871624</v>
      </c>
      <c r="G5" s="12" t="n">
        <v>864676</v>
      </c>
      <c r="H5" s="12" t="n">
        <v>67117354</v>
      </c>
      <c r="I5" s="16" t="n">
        <v>37.2</v>
      </c>
      <c r="J5" s="13" t="n">
        <v>0.114</v>
      </c>
      <c r="K5" s="16" t="n">
        <v>17.2</v>
      </c>
      <c r="L5" s="13" t="n">
        <f aca="false">IF(SUMIFS($F$2:$F$397,$A$2:$A$397,A5)=0,0,F5/SUMIFS($F$2:$F$397,$A$2:$A$397,A5))</f>
        <v>0.0593277546731733</v>
      </c>
    </row>
    <row r="6" customFormat="false" ht="15" hidden="false" customHeight="false" outlineLevel="0" collapsed="false">
      <c r="A6" s="10" t="n">
        <v>44927</v>
      </c>
      <c r="B6" s="18" t="n">
        <f aca="false">YEAR(A6)</f>
        <v>2023</v>
      </c>
      <c r="C6" s="19" t="str">
        <f aca="false">"Q"&amp;ROUNDUP(MONTH(A6)/3,0)</f>
        <v>Q1</v>
      </c>
      <c r="D6" s="19" t="s">
        <v>217</v>
      </c>
      <c r="E6" s="19" t="s">
        <v>218</v>
      </c>
      <c r="F6" s="12" t="n">
        <v>5698586</v>
      </c>
      <c r="G6" s="12" t="n">
        <v>1012918</v>
      </c>
      <c r="H6" s="12" t="n">
        <v>92388858</v>
      </c>
      <c r="I6" s="16" t="n">
        <v>43</v>
      </c>
      <c r="J6" s="13" t="n">
        <v>0.078</v>
      </c>
      <c r="K6" s="16" t="n">
        <v>24</v>
      </c>
      <c r="L6" s="13" t="n">
        <f aca="false">IF(SUMIFS($F$2:$F$397,$A$2:$A$397,A6)=0,0,F6/SUMIFS($F$2:$F$397,$A$2:$A$397,A6))</f>
        <v>0.0693986876228502</v>
      </c>
    </row>
    <row r="7" customFormat="false" ht="15" hidden="false" customHeight="false" outlineLevel="0" collapsed="false">
      <c r="A7" s="10" t="n">
        <v>44927</v>
      </c>
      <c r="B7" s="18" t="n">
        <f aca="false">YEAR(A7)</f>
        <v>2023</v>
      </c>
      <c r="C7" s="19" t="str">
        <f aca="false">"Q"&amp;ROUNDUP(MONTH(A7)/3,0)</f>
        <v>Q1</v>
      </c>
      <c r="D7" s="19" t="s">
        <v>219</v>
      </c>
      <c r="E7" s="19" t="s">
        <v>218</v>
      </c>
      <c r="F7" s="12" t="n">
        <v>4266572</v>
      </c>
      <c r="G7" s="12" t="n">
        <v>722438</v>
      </c>
      <c r="H7" s="12" t="n">
        <v>65635808</v>
      </c>
      <c r="I7" s="16" t="n">
        <v>42.7</v>
      </c>
      <c r="J7" s="13" t="n">
        <v>0.094</v>
      </c>
      <c r="K7" s="16" t="n">
        <v>22.9</v>
      </c>
      <c r="L7" s="13" t="n">
        <f aca="false">IF(SUMIFS($F$2:$F$397,$A$2:$A$397,A7)=0,0,F7/SUMIFS($F$2:$F$397,$A$2:$A$397,A7))</f>
        <v>0.0519592926119566</v>
      </c>
    </row>
    <row r="8" customFormat="false" ht="15" hidden="false" customHeight="false" outlineLevel="0" collapsed="false">
      <c r="A8" s="10" t="n">
        <v>44927</v>
      </c>
      <c r="B8" s="18" t="n">
        <f aca="false">YEAR(A8)</f>
        <v>2023</v>
      </c>
      <c r="C8" s="19" t="str">
        <f aca="false">"Q"&amp;ROUNDUP(MONTH(A8)/3,0)</f>
        <v>Q1</v>
      </c>
      <c r="D8" s="19" t="s">
        <v>220</v>
      </c>
      <c r="E8" s="19" t="s">
        <v>214</v>
      </c>
      <c r="F8" s="12" t="n">
        <v>4379227</v>
      </c>
      <c r="G8" s="12" t="n">
        <v>803282</v>
      </c>
      <c r="H8" s="12" t="n">
        <v>58796910</v>
      </c>
      <c r="I8" s="16" t="n">
        <v>37.9</v>
      </c>
      <c r="J8" s="13" t="n">
        <v>0.117</v>
      </c>
      <c r="K8" s="16" t="n">
        <v>16.8</v>
      </c>
      <c r="L8" s="13" t="n">
        <f aca="false">IF(SUMIFS($F$2:$F$397,$A$2:$A$397,A8)=0,0,F8/SUMIFS($F$2:$F$397,$A$2:$A$397,A8))</f>
        <v>0.0533312310461843</v>
      </c>
    </row>
    <row r="9" customFormat="false" ht="15" hidden="false" customHeight="false" outlineLevel="0" collapsed="false">
      <c r="A9" s="10" t="n">
        <v>44927</v>
      </c>
      <c r="B9" s="18" t="n">
        <f aca="false">YEAR(A9)</f>
        <v>2023</v>
      </c>
      <c r="C9" s="19" t="str">
        <f aca="false">"Q"&amp;ROUNDUP(MONTH(A9)/3,0)</f>
        <v>Q1</v>
      </c>
      <c r="D9" s="19" t="s">
        <v>221</v>
      </c>
      <c r="E9" s="19" t="s">
        <v>214</v>
      </c>
      <c r="F9" s="12" t="n">
        <v>3155719</v>
      </c>
      <c r="G9" s="12" t="n">
        <v>502270</v>
      </c>
      <c r="H9" s="12" t="n">
        <v>44054990</v>
      </c>
      <c r="I9" s="16" t="n">
        <v>36.1</v>
      </c>
      <c r="J9" s="13" t="n">
        <v>0.122</v>
      </c>
      <c r="K9" s="16" t="n">
        <v>16.9</v>
      </c>
      <c r="L9" s="13" t="n">
        <f aca="false">IF(SUMIFS($F$2:$F$397,$A$2:$A$397,A9)=0,0,F9/SUMIFS($F$2:$F$397,$A$2:$A$397,A9))</f>
        <v>0.038431069936734</v>
      </c>
    </row>
    <row r="10" customFormat="false" ht="15" hidden="false" customHeight="false" outlineLevel="0" collapsed="false">
      <c r="A10" s="10" t="n">
        <v>44927</v>
      </c>
      <c r="B10" s="18" t="n">
        <f aca="false">YEAR(A10)</f>
        <v>2023</v>
      </c>
      <c r="C10" s="19" t="str">
        <f aca="false">"Q"&amp;ROUNDUP(MONTH(A10)/3,0)</f>
        <v>Q1</v>
      </c>
      <c r="D10" s="19" t="s">
        <v>222</v>
      </c>
      <c r="E10" s="19" t="s">
        <v>218</v>
      </c>
      <c r="F10" s="12" t="n">
        <v>3346604</v>
      </c>
      <c r="G10" s="12" t="n">
        <v>597410</v>
      </c>
      <c r="H10" s="12" t="n">
        <v>50073937</v>
      </c>
      <c r="I10" s="16" t="n">
        <v>41.2</v>
      </c>
      <c r="J10" s="13" t="n">
        <v>0.067</v>
      </c>
      <c r="K10" s="16" t="n">
        <v>21.8</v>
      </c>
      <c r="L10" s="13" t="n">
        <f aca="false">IF(SUMIFS($F$2:$F$397,$A$2:$A$397,A10)=0,0,F10/SUMIFS($F$2:$F$397,$A$2:$A$397,A10))</f>
        <v>0.0407557112577367</v>
      </c>
    </row>
    <row r="11" customFormat="false" ht="15" hidden="false" customHeight="false" outlineLevel="0" collapsed="false">
      <c r="A11" s="10" t="n">
        <v>44927</v>
      </c>
      <c r="B11" s="18" t="n">
        <f aca="false">YEAR(A11)</f>
        <v>2023</v>
      </c>
      <c r="C11" s="19" t="str">
        <f aca="false">"Q"&amp;ROUNDUP(MONTH(A11)/3,0)</f>
        <v>Q1</v>
      </c>
      <c r="D11" s="19" t="s">
        <v>223</v>
      </c>
      <c r="E11" s="19" t="s">
        <v>224</v>
      </c>
      <c r="F11" s="12" t="n">
        <v>2615084</v>
      </c>
      <c r="G11" s="12" t="n">
        <v>477706</v>
      </c>
      <c r="H11" s="12" t="n">
        <v>34747739</v>
      </c>
      <c r="I11" s="16" t="n">
        <v>38.2</v>
      </c>
      <c r="J11" s="13" t="n">
        <v>0.101</v>
      </c>
      <c r="K11" s="16" t="n">
        <v>15.7</v>
      </c>
      <c r="L11" s="13" t="n">
        <f aca="false">IF(SUMIFS($F$2:$F$397,$A$2:$A$397,A11)=0,0,F11/SUMIFS($F$2:$F$397,$A$2:$A$397,A11))</f>
        <v>0.0318470928794465</v>
      </c>
    </row>
    <row r="12" customFormat="false" ht="15" hidden="false" customHeight="false" outlineLevel="0" collapsed="false">
      <c r="A12" s="10" t="n">
        <v>44927</v>
      </c>
      <c r="B12" s="18" t="n">
        <f aca="false">YEAR(A12)</f>
        <v>2023</v>
      </c>
      <c r="C12" s="19" t="str">
        <f aca="false">"Q"&amp;ROUNDUP(MONTH(A12)/3,0)</f>
        <v>Q1</v>
      </c>
      <c r="D12" s="19" t="s">
        <v>225</v>
      </c>
      <c r="E12" s="19" t="s">
        <v>226</v>
      </c>
      <c r="F12" s="12" t="n">
        <v>7164912</v>
      </c>
      <c r="G12" s="12" t="n">
        <v>1436051</v>
      </c>
      <c r="H12" s="12" t="n">
        <v>97810082</v>
      </c>
      <c r="I12" s="16" t="n">
        <v>35.3</v>
      </c>
      <c r="J12" s="13" t="n">
        <v>0.092</v>
      </c>
      <c r="K12" s="16" t="n">
        <v>14.6</v>
      </c>
      <c r="L12" s="13" t="n">
        <f aca="false">IF(SUMIFS($F$2:$F$397,$A$2:$A$397,A12)=0,0,F12/SUMIFS($F$2:$F$397,$A$2:$A$397,A12))</f>
        <v>0.0872559420412732</v>
      </c>
    </row>
    <row r="13" customFormat="false" ht="15" hidden="false" customHeight="false" outlineLevel="0" collapsed="false">
      <c r="A13" s="10" t="n">
        <v>44958</v>
      </c>
      <c r="B13" s="18" t="n">
        <f aca="false">YEAR(A13)</f>
        <v>2023</v>
      </c>
      <c r="C13" s="19" t="str">
        <f aca="false">"Q"&amp;ROUNDUP(MONTH(A13)/3,0)</f>
        <v>Q1</v>
      </c>
      <c r="D13" s="19" t="s">
        <v>211</v>
      </c>
      <c r="E13" s="19" t="s">
        <v>212</v>
      </c>
      <c r="F13" s="12" t="n">
        <v>25580557</v>
      </c>
      <c r="G13" s="12" t="n">
        <v>4390131</v>
      </c>
      <c r="H13" s="12" t="n">
        <v>342762112</v>
      </c>
      <c r="I13" s="16" t="n">
        <v>37.9</v>
      </c>
      <c r="J13" s="13" t="n">
        <v>0.108</v>
      </c>
      <c r="K13" s="16" t="n">
        <v>19.3</v>
      </c>
      <c r="L13" s="13" t="n">
        <f aca="false">IF(SUMIFS($F$2:$F$397,$A$2:$A$397,A13)=0,0,F13/SUMIFS($F$2:$F$397,$A$2:$A$397,A13))</f>
        <v>0.305613030979431</v>
      </c>
    </row>
    <row r="14" customFormat="false" ht="15" hidden="false" customHeight="false" outlineLevel="0" collapsed="false">
      <c r="A14" s="10" t="n">
        <v>44958</v>
      </c>
      <c r="B14" s="18" t="n">
        <f aca="false">YEAR(A14)</f>
        <v>2023</v>
      </c>
      <c r="C14" s="19" t="str">
        <f aca="false">"Q"&amp;ROUNDUP(MONTH(A14)/3,0)</f>
        <v>Q1</v>
      </c>
      <c r="D14" s="19" t="s">
        <v>213</v>
      </c>
      <c r="E14" s="19" t="s">
        <v>214</v>
      </c>
      <c r="F14" s="12" t="n">
        <v>14493625</v>
      </c>
      <c r="G14" s="12" t="n">
        <v>2638088</v>
      </c>
      <c r="H14" s="12" t="n">
        <v>197105334</v>
      </c>
      <c r="I14" s="16" t="n">
        <v>38.3</v>
      </c>
      <c r="J14" s="13" t="n">
        <v>0.131</v>
      </c>
      <c r="K14" s="16" t="n">
        <v>19.8</v>
      </c>
      <c r="L14" s="13" t="n">
        <f aca="false">IF(SUMIFS($F$2:$F$397,$A$2:$A$397,A14)=0,0,F14/SUMIFS($F$2:$F$397,$A$2:$A$397,A14))</f>
        <v>0.173156537057784</v>
      </c>
    </row>
    <row r="15" customFormat="false" ht="15" hidden="false" customHeight="false" outlineLevel="0" collapsed="false">
      <c r="A15" s="10" t="n">
        <v>44958</v>
      </c>
      <c r="B15" s="18" t="n">
        <f aca="false">YEAR(A15)</f>
        <v>2023</v>
      </c>
      <c r="C15" s="19" t="str">
        <f aca="false">"Q"&amp;ROUNDUP(MONTH(A15)/3,0)</f>
        <v>Q1</v>
      </c>
      <c r="D15" s="19" t="s">
        <v>215</v>
      </c>
      <c r="E15" s="19" t="s">
        <v>214</v>
      </c>
      <c r="F15" s="12" t="n">
        <v>7793857</v>
      </c>
      <c r="G15" s="12" t="n">
        <v>1251474</v>
      </c>
      <c r="H15" s="12" t="n">
        <v>109659975</v>
      </c>
      <c r="I15" s="16" t="n">
        <v>37.7</v>
      </c>
      <c r="J15" s="13" t="n">
        <v>0.111</v>
      </c>
      <c r="K15" s="16" t="n">
        <v>17.6</v>
      </c>
      <c r="L15" s="13" t="n">
        <f aca="false">IF(SUMIFS($F$2:$F$397,$A$2:$A$397,A15)=0,0,F15/SUMIFS($F$2:$F$397,$A$2:$A$397,A15))</f>
        <v>0.0931138544321084</v>
      </c>
    </row>
    <row r="16" customFormat="false" ht="15" hidden="false" customHeight="false" outlineLevel="0" collapsed="false">
      <c r="A16" s="10" t="n">
        <v>44958</v>
      </c>
      <c r="B16" s="18" t="n">
        <f aca="false">YEAR(A16)</f>
        <v>2023</v>
      </c>
      <c r="C16" s="19" t="str">
        <f aca="false">"Q"&amp;ROUNDUP(MONTH(A16)/3,0)</f>
        <v>Q1</v>
      </c>
      <c r="D16" s="19" t="s">
        <v>216</v>
      </c>
      <c r="E16" s="19" t="s">
        <v>212</v>
      </c>
      <c r="F16" s="12" t="n">
        <v>4913550</v>
      </c>
      <c r="G16" s="12" t="n">
        <v>840056</v>
      </c>
      <c r="H16" s="12" t="n">
        <v>64208917</v>
      </c>
      <c r="I16" s="16" t="n">
        <v>37.6</v>
      </c>
      <c r="J16" s="13" t="n">
        <v>0.115</v>
      </c>
      <c r="K16" s="16" t="n">
        <v>18.3</v>
      </c>
      <c r="L16" s="13" t="n">
        <f aca="false">IF(SUMIFS($F$2:$F$397,$A$2:$A$397,A16)=0,0,F16/SUMIFS($F$2:$F$397,$A$2:$A$397,A16))</f>
        <v>0.0587025883904319</v>
      </c>
    </row>
    <row r="17" customFormat="false" ht="15" hidden="false" customHeight="false" outlineLevel="0" collapsed="false">
      <c r="A17" s="10" t="n">
        <v>44958</v>
      </c>
      <c r="B17" s="18" t="n">
        <f aca="false">YEAR(A17)</f>
        <v>2023</v>
      </c>
      <c r="C17" s="19" t="str">
        <f aca="false">"Q"&amp;ROUNDUP(MONTH(A17)/3,0)</f>
        <v>Q1</v>
      </c>
      <c r="D17" s="19" t="s">
        <v>217</v>
      </c>
      <c r="E17" s="19" t="s">
        <v>218</v>
      </c>
      <c r="F17" s="12" t="n">
        <v>5819682</v>
      </c>
      <c r="G17" s="12" t="n">
        <v>1057009</v>
      </c>
      <c r="H17" s="12" t="n">
        <v>91981225</v>
      </c>
      <c r="I17" s="16" t="n">
        <v>43.4</v>
      </c>
      <c r="J17" s="13" t="n">
        <v>0.072</v>
      </c>
      <c r="K17" s="16" t="n">
        <v>23.6</v>
      </c>
      <c r="L17" s="13" t="n">
        <f aca="false">IF(SUMIFS($F$2:$F$397,$A$2:$A$397,A17)=0,0,F17/SUMIFS($F$2:$F$397,$A$2:$A$397,A17))</f>
        <v>0.0695282223665589</v>
      </c>
    </row>
    <row r="18" customFormat="false" ht="15" hidden="false" customHeight="false" outlineLevel="0" collapsed="false">
      <c r="A18" s="10" t="n">
        <v>44958</v>
      </c>
      <c r="B18" s="18" t="n">
        <f aca="false">YEAR(A18)</f>
        <v>2023</v>
      </c>
      <c r="C18" s="19" t="str">
        <f aca="false">"Q"&amp;ROUNDUP(MONTH(A18)/3,0)</f>
        <v>Q1</v>
      </c>
      <c r="D18" s="19" t="s">
        <v>219</v>
      </c>
      <c r="E18" s="19" t="s">
        <v>218</v>
      </c>
      <c r="F18" s="12" t="n">
        <v>4185754</v>
      </c>
      <c r="G18" s="12" t="n">
        <v>744550</v>
      </c>
      <c r="H18" s="12" t="n">
        <v>64179889</v>
      </c>
      <c r="I18" s="16" t="n">
        <v>41.8</v>
      </c>
      <c r="J18" s="13" t="n">
        <v>0.088</v>
      </c>
      <c r="K18" s="16" t="n">
        <v>23.9</v>
      </c>
      <c r="L18" s="13" t="n">
        <f aca="false">IF(SUMIFS($F$2:$F$397,$A$2:$A$397,A18)=0,0,F18/SUMIFS($F$2:$F$397,$A$2:$A$397,A18))</f>
        <v>0.0500075493615826</v>
      </c>
    </row>
    <row r="19" customFormat="false" ht="15" hidden="false" customHeight="false" outlineLevel="0" collapsed="false">
      <c r="A19" s="10" t="n">
        <v>44958</v>
      </c>
      <c r="B19" s="18" t="n">
        <f aca="false">YEAR(A19)</f>
        <v>2023</v>
      </c>
      <c r="C19" s="19" t="str">
        <f aca="false">"Q"&amp;ROUNDUP(MONTH(A19)/3,0)</f>
        <v>Q1</v>
      </c>
      <c r="D19" s="19" t="s">
        <v>220</v>
      </c>
      <c r="E19" s="19" t="s">
        <v>214</v>
      </c>
      <c r="F19" s="12" t="n">
        <v>4127868</v>
      </c>
      <c r="G19" s="12" t="n">
        <v>735417</v>
      </c>
      <c r="H19" s="12" t="n">
        <v>57343893</v>
      </c>
      <c r="I19" s="16" t="n">
        <v>37.6</v>
      </c>
      <c r="J19" s="13" t="n">
        <v>0.12</v>
      </c>
      <c r="K19" s="16" t="n">
        <v>16.9</v>
      </c>
      <c r="L19" s="13" t="n">
        <f aca="false">IF(SUMIFS($F$2:$F$397,$A$2:$A$397,A19)=0,0,F19/SUMIFS($F$2:$F$397,$A$2:$A$397,A19))</f>
        <v>0.0493159805301738</v>
      </c>
    </row>
    <row r="20" customFormat="false" ht="15" hidden="false" customHeight="false" outlineLevel="0" collapsed="false">
      <c r="A20" s="10" t="n">
        <v>44958</v>
      </c>
      <c r="B20" s="18" t="n">
        <f aca="false">YEAR(A20)</f>
        <v>2023</v>
      </c>
      <c r="C20" s="19" t="str">
        <f aca="false">"Q"&amp;ROUNDUP(MONTH(A20)/3,0)</f>
        <v>Q1</v>
      </c>
      <c r="D20" s="19" t="s">
        <v>221</v>
      </c>
      <c r="E20" s="19" t="s">
        <v>214</v>
      </c>
      <c r="F20" s="12" t="n">
        <v>3368118</v>
      </c>
      <c r="G20" s="12" t="n">
        <v>582541</v>
      </c>
      <c r="H20" s="12" t="n">
        <v>48810178</v>
      </c>
      <c r="I20" s="16" t="n">
        <v>37.3</v>
      </c>
      <c r="J20" s="13" t="n">
        <v>0.121</v>
      </c>
      <c r="K20" s="16" t="n">
        <v>16.8</v>
      </c>
      <c r="L20" s="13" t="n">
        <f aca="false">IF(SUMIFS($F$2:$F$397,$A$2:$A$397,A20)=0,0,F20/SUMIFS($F$2:$F$397,$A$2:$A$397,A20))</f>
        <v>0.040239184419494</v>
      </c>
    </row>
    <row r="21" customFormat="false" ht="15" hidden="false" customHeight="false" outlineLevel="0" collapsed="false">
      <c r="A21" s="10" t="n">
        <v>44958</v>
      </c>
      <c r="B21" s="18" t="n">
        <f aca="false">YEAR(A21)</f>
        <v>2023</v>
      </c>
      <c r="C21" s="19" t="str">
        <f aca="false">"Q"&amp;ROUNDUP(MONTH(A21)/3,0)</f>
        <v>Q1</v>
      </c>
      <c r="D21" s="19" t="s">
        <v>222</v>
      </c>
      <c r="E21" s="19" t="s">
        <v>218</v>
      </c>
      <c r="F21" s="12" t="n">
        <v>3404057</v>
      </c>
      <c r="G21" s="12" t="n">
        <v>625770</v>
      </c>
      <c r="H21" s="12" t="n">
        <v>50139169</v>
      </c>
      <c r="I21" s="16" t="n">
        <v>41.1</v>
      </c>
      <c r="J21" s="13" t="n">
        <v>0.072</v>
      </c>
      <c r="K21" s="16" t="n">
        <v>22.8</v>
      </c>
      <c r="L21" s="13" t="n">
        <f aca="false">IF(SUMIFS($F$2:$F$397,$A$2:$A$397,A21)=0,0,F21/SUMIFS($F$2:$F$397,$A$2:$A$397,A21))</f>
        <v>0.0406685506260379</v>
      </c>
    </row>
    <row r="22" customFormat="false" ht="15" hidden="false" customHeight="false" outlineLevel="0" collapsed="false">
      <c r="A22" s="10" t="n">
        <v>44958</v>
      </c>
      <c r="B22" s="18" t="n">
        <f aca="false">YEAR(A22)</f>
        <v>2023</v>
      </c>
      <c r="C22" s="19" t="str">
        <f aca="false">"Q"&amp;ROUNDUP(MONTH(A22)/3,0)</f>
        <v>Q1</v>
      </c>
      <c r="D22" s="19" t="s">
        <v>223</v>
      </c>
      <c r="E22" s="19" t="s">
        <v>224</v>
      </c>
      <c r="F22" s="12" t="n">
        <v>2547286</v>
      </c>
      <c r="G22" s="12" t="n">
        <v>437864</v>
      </c>
      <c r="H22" s="12" t="n">
        <v>36587990</v>
      </c>
      <c r="I22" s="16" t="n">
        <v>38</v>
      </c>
      <c r="J22" s="13" t="n">
        <v>0.093</v>
      </c>
      <c r="K22" s="16" t="n">
        <v>16</v>
      </c>
      <c r="L22" s="13" t="n">
        <f aca="false">IF(SUMIFS($F$2:$F$397,$A$2:$A$397,A22)=0,0,F22/SUMIFS($F$2:$F$397,$A$2:$A$397,A22))</f>
        <v>0.0304326366009728</v>
      </c>
    </row>
    <row r="23" customFormat="false" ht="15" hidden="false" customHeight="false" outlineLevel="0" collapsed="false">
      <c r="A23" s="10" t="n">
        <v>44958</v>
      </c>
      <c r="B23" s="18" t="n">
        <f aca="false">YEAR(A23)</f>
        <v>2023</v>
      </c>
      <c r="C23" s="19" t="str">
        <f aca="false">"Q"&amp;ROUNDUP(MONTH(A23)/3,0)</f>
        <v>Q1</v>
      </c>
      <c r="D23" s="19" t="s">
        <v>225</v>
      </c>
      <c r="E23" s="19" t="s">
        <v>226</v>
      </c>
      <c r="F23" s="12" t="n">
        <v>7468088</v>
      </c>
      <c r="G23" s="12" t="n">
        <v>1321465</v>
      </c>
      <c r="H23" s="12" t="n">
        <v>93551037</v>
      </c>
      <c r="I23" s="16" t="n">
        <v>35.2</v>
      </c>
      <c r="J23" s="13" t="n">
        <v>0.09</v>
      </c>
      <c r="K23" s="16" t="n">
        <v>16.2</v>
      </c>
      <c r="L23" s="13" t="n">
        <f aca="false">IF(SUMIFS($F$2:$F$397,$A$2:$A$397,A23)=0,0,F23/SUMIFS($F$2:$F$397,$A$2:$A$397,A23))</f>
        <v>0.0892218652354253</v>
      </c>
    </row>
    <row r="24" customFormat="false" ht="15" hidden="false" customHeight="false" outlineLevel="0" collapsed="false">
      <c r="A24" s="10" t="n">
        <v>44986</v>
      </c>
      <c r="B24" s="18" t="n">
        <f aca="false">YEAR(A24)</f>
        <v>2023</v>
      </c>
      <c r="C24" s="19" t="str">
        <f aca="false">"Q"&amp;ROUNDUP(MONTH(A24)/3,0)</f>
        <v>Q1</v>
      </c>
      <c r="D24" s="19" t="s">
        <v>211</v>
      </c>
      <c r="E24" s="19" t="s">
        <v>212</v>
      </c>
      <c r="F24" s="12" t="n">
        <v>26561936</v>
      </c>
      <c r="G24" s="12" t="n">
        <v>4696108</v>
      </c>
      <c r="H24" s="12" t="n">
        <v>388529252</v>
      </c>
      <c r="I24" s="16" t="n">
        <v>38.1</v>
      </c>
      <c r="J24" s="13" t="n">
        <v>0.114</v>
      </c>
      <c r="K24" s="16" t="n">
        <v>19</v>
      </c>
      <c r="L24" s="13" t="n">
        <f aca="false">IF(SUMIFS($F$2:$F$397,$A$2:$A$397,A24)=0,0,F24/SUMIFS($F$2:$F$397,$A$2:$A$397,A24))</f>
        <v>0.310531851903517</v>
      </c>
    </row>
    <row r="25" customFormat="false" ht="15" hidden="false" customHeight="false" outlineLevel="0" collapsed="false">
      <c r="A25" s="10" t="n">
        <v>44986</v>
      </c>
      <c r="B25" s="18" t="n">
        <f aca="false">YEAR(A25)</f>
        <v>2023</v>
      </c>
      <c r="C25" s="19" t="str">
        <f aca="false">"Q"&amp;ROUNDUP(MONTH(A25)/3,0)</f>
        <v>Q1</v>
      </c>
      <c r="D25" s="19" t="s">
        <v>213</v>
      </c>
      <c r="E25" s="19" t="s">
        <v>214</v>
      </c>
      <c r="F25" s="12" t="n">
        <v>14736469</v>
      </c>
      <c r="G25" s="12" t="n">
        <v>2783726</v>
      </c>
      <c r="H25" s="12" t="n">
        <v>209975556</v>
      </c>
      <c r="I25" s="16" t="n">
        <v>38</v>
      </c>
      <c r="J25" s="13" t="n">
        <v>0.127</v>
      </c>
      <c r="K25" s="16" t="n">
        <v>20.8</v>
      </c>
      <c r="L25" s="13" t="n">
        <f aca="false">IF(SUMIFS($F$2:$F$397,$A$2:$A$397,A25)=0,0,F25/SUMIFS($F$2:$F$397,$A$2:$A$397,A25))</f>
        <v>0.172281983101261</v>
      </c>
    </row>
    <row r="26" customFormat="false" ht="15" hidden="false" customHeight="false" outlineLevel="0" collapsed="false">
      <c r="A26" s="10" t="n">
        <v>44986</v>
      </c>
      <c r="B26" s="18" t="n">
        <f aca="false">YEAR(A26)</f>
        <v>2023</v>
      </c>
      <c r="C26" s="19" t="str">
        <f aca="false">"Q"&amp;ROUNDUP(MONTH(A26)/3,0)</f>
        <v>Q1</v>
      </c>
      <c r="D26" s="19" t="s">
        <v>215</v>
      </c>
      <c r="E26" s="19" t="s">
        <v>214</v>
      </c>
      <c r="F26" s="12" t="n">
        <v>7519161</v>
      </c>
      <c r="G26" s="12" t="n">
        <v>1219433</v>
      </c>
      <c r="H26" s="12" t="n">
        <v>103570891</v>
      </c>
      <c r="I26" s="16" t="n">
        <v>39</v>
      </c>
      <c r="J26" s="13" t="n">
        <v>0.123</v>
      </c>
      <c r="K26" s="16" t="n">
        <v>18.1</v>
      </c>
      <c r="L26" s="13" t="n">
        <f aca="false">IF(SUMIFS($F$2:$F$397,$A$2:$A$397,A26)=0,0,F26/SUMIFS($F$2:$F$397,$A$2:$A$397,A26))</f>
        <v>0.0879054520005883</v>
      </c>
    </row>
    <row r="27" customFormat="false" ht="15" hidden="false" customHeight="false" outlineLevel="0" collapsed="false">
      <c r="A27" s="10" t="n">
        <v>44986</v>
      </c>
      <c r="B27" s="18" t="n">
        <f aca="false">YEAR(A27)</f>
        <v>2023</v>
      </c>
      <c r="C27" s="19" t="str">
        <f aca="false">"Q"&amp;ROUNDUP(MONTH(A27)/3,0)</f>
        <v>Q1</v>
      </c>
      <c r="D27" s="19" t="s">
        <v>216</v>
      </c>
      <c r="E27" s="19" t="s">
        <v>212</v>
      </c>
      <c r="F27" s="12" t="n">
        <v>4763976</v>
      </c>
      <c r="G27" s="12" t="n">
        <v>785184</v>
      </c>
      <c r="H27" s="12" t="n">
        <v>65582215</v>
      </c>
      <c r="I27" s="16" t="n">
        <v>38</v>
      </c>
      <c r="J27" s="13" t="n">
        <v>0.113</v>
      </c>
      <c r="K27" s="16" t="n">
        <v>16.6</v>
      </c>
      <c r="L27" s="13" t="n">
        <f aca="false">IF(SUMIFS($F$2:$F$397,$A$2:$A$397,A27)=0,0,F27/SUMIFS($F$2:$F$397,$A$2:$A$397,A27))</f>
        <v>0.0556949722981001</v>
      </c>
    </row>
    <row r="28" customFormat="false" ht="15" hidden="false" customHeight="false" outlineLevel="0" collapsed="false">
      <c r="A28" s="10" t="n">
        <v>44986</v>
      </c>
      <c r="B28" s="18" t="n">
        <f aca="false">YEAR(A28)</f>
        <v>2023</v>
      </c>
      <c r="C28" s="19" t="str">
        <f aca="false">"Q"&amp;ROUNDUP(MONTH(A28)/3,0)</f>
        <v>Q1</v>
      </c>
      <c r="D28" s="19" t="s">
        <v>217</v>
      </c>
      <c r="E28" s="19" t="s">
        <v>218</v>
      </c>
      <c r="F28" s="12" t="n">
        <v>6008843</v>
      </c>
      <c r="G28" s="12" t="n">
        <v>1077764</v>
      </c>
      <c r="H28" s="12" t="n">
        <v>97992381</v>
      </c>
      <c r="I28" s="16" t="n">
        <v>44.2</v>
      </c>
      <c r="J28" s="13" t="n">
        <v>0.08</v>
      </c>
      <c r="K28" s="16" t="n">
        <v>23</v>
      </c>
      <c r="L28" s="13" t="n">
        <f aca="false">IF(SUMIFS($F$2:$F$397,$A$2:$A$397,A28)=0,0,F28/SUMIFS($F$2:$F$397,$A$2:$A$397,A28))</f>
        <v>0.0702485370263479</v>
      </c>
    </row>
    <row r="29" customFormat="false" ht="15" hidden="false" customHeight="false" outlineLevel="0" collapsed="false">
      <c r="A29" s="10" t="n">
        <v>44986</v>
      </c>
      <c r="B29" s="18" t="n">
        <f aca="false">YEAR(A29)</f>
        <v>2023</v>
      </c>
      <c r="C29" s="19" t="str">
        <f aca="false">"Q"&amp;ROUNDUP(MONTH(A29)/3,0)</f>
        <v>Q1</v>
      </c>
      <c r="D29" s="19" t="s">
        <v>219</v>
      </c>
      <c r="E29" s="19" t="s">
        <v>218</v>
      </c>
      <c r="F29" s="12" t="n">
        <v>4404992</v>
      </c>
      <c r="G29" s="12" t="n">
        <v>810866</v>
      </c>
      <c r="H29" s="12" t="n">
        <v>70569725</v>
      </c>
      <c r="I29" s="16" t="n">
        <v>43</v>
      </c>
      <c r="J29" s="13" t="n">
        <v>0.086</v>
      </c>
      <c r="K29" s="16" t="n">
        <v>22.9</v>
      </c>
      <c r="L29" s="13" t="n">
        <f aca="false">IF(SUMIFS($F$2:$F$397,$A$2:$A$397,A29)=0,0,F29/SUMIFS($F$2:$F$397,$A$2:$A$397,A29))</f>
        <v>0.0514981409254271</v>
      </c>
    </row>
    <row r="30" customFormat="false" ht="15" hidden="false" customHeight="false" outlineLevel="0" collapsed="false">
      <c r="A30" s="10" t="n">
        <v>44986</v>
      </c>
      <c r="B30" s="18" t="n">
        <f aca="false">YEAR(A30)</f>
        <v>2023</v>
      </c>
      <c r="C30" s="19" t="str">
        <f aca="false">"Q"&amp;ROUNDUP(MONTH(A30)/3,0)</f>
        <v>Q1</v>
      </c>
      <c r="D30" s="19" t="s">
        <v>220</v>
      </c>
      <c r="E30" s="19" t="s">
        <v>214</v>
      </c>
      <c r="F30" s="12" t="n">
        <v>4352817</v>
      </c>
      <c r="G30" s="12" t="n">
        <v>770928</v>
      </c>
      <c r="H30" s="12" t="n">
        <v>61821740</v>
      </c>
      <c r="I30" s="16" t="n">
        <v>37.6</v>
      </c>
      <c r="J30" s="13" t="n">
        <v>0.122</v>
      </c>
      <c r="K30" s="16" t="n">
        <v>17.8</v>
      </c>
      <c r="L30" s="13" t="n">
        <f aca="false">IF(SUMIFS($F$2:$F$397,$A$2:$A$397,A30)=0,0,F30/SUMIFS($F$2:$F$397,$A$2:$A$397,A30))</f>
        <v>0.0508881703505012</v>
      </c>
    </row>
    <row r="31" customFormat="false" ht="15" hidden="false" customHeight="false" outlineLevel="0" collapsed="false">
      <c r="A31" s="10" t="n">
        <v>44986</v>
      </c>
      <c r="B31" s="18" t="n">
        <f aca="false">YEAR(A31)</f>
        <v>2023</v>
      </c>
      <c r="C31" s="19" t="str">
        <f aca="false">"Q"&amp;ROUNDUP(MONTH(A31)/3,0)</f>
        <v>Q1</v>
      </c>
      <c r="D31" s="19" t="s">
        <v>221</v>
      </c>
      <c r="E31" s="19" t="s">
        <v>214</v>
      </c>
      <c r="F31" s="12" t="n">
        <v>3368996</v>
      </c>
      <c r="G31" s="12" t="n">
        <v>580170</v>
      </c>
      <c r="H31" s="12" t="n">
        <v>47020736</v>
      </c>
      <c r="I31" s="16" t="n">
        <v>37.6</v>
      </c>
      <c r="J31" s="13" t="n">
        <v>0.118</v>
      </c>
      <c r="K31" s="16" t="n">
        <v>17.6</v>
      </c>
      <c r="L31" s="13" t="n">
        <f aca="false">IF(SUMIFS($F$2:$F$397,$A$2:$A$397,A31)=0,0,F31/SUMIFS($F$2:$F$397,$A$2:$A$397,A31))</f>
        <v>0.0393864576337937</v>
      </c>
    </row>
    <row r="32" customFormat="false" ht="15" hidden="false" customHeight="false" outlineLevel="0" collapsed="false">
      <c r="A32" s="10" t="n">
        <v>44986</v>
      </c>
      <c r="B32" s="18" t="n">
        <f aca="false">YEAR(A32)</f>
        <v>2023</v>
      </c>
      <c r="C32" s="19" t="str">
        <f aca="false">"Q"&amp;ROUNDUP(MONTH(A32)/3,0)</f>
        <v>Q1</v>
      </c>
      <c r="D32" s="19" t="s">
        <v>222</v>
      </c>
      <c r="E32" s="19" t="s">
        <v>218</v>
      </c>
      <c r="F32" s="12" t="n">
        <v>3512212</v>
      </c>
      <c r="G32" s="12" t="n">
        <v>651947</v>
      </c>
      <c r="H32" s="12" t="n">
        <v>53565290</v>
      </c>
      <c r="I32" s="16" t="n">
        <v>41.5</v>
      </c>
      <c r="J32" s="13" t="n">
        <v>0.073</v>
      </c>
      <c r="K32" s="16" t="n">
        <v>23</v>
      </c>
      <c r="L32" s="13" t="n">
        <f aca="false">IF(SUMIFS($F$2:$F$397,$A$2:$A$397,A32)=0,0,F32/SUMIFS($F$2:$F$397,$A$2:$A$397,A32))</f>
        <v>0.0410607757144568</v>
      </c>
    </row>
    <row r="33" customFormat="false" ht="15" hidden="false" customHeight="false" outlineLevel="0" collapsed="false">
      <c r="A33" s="10" t="n">
        <v>44986</v>
      </c>
      <c r="B33" s="18" t="n">
        <f aca="false">YEAR(A33)</f>
        <v>2023</v>
      </c>
      <c r="C33" s="19" t="str">
        <f aca="false">"Q"&amp;ROUNDUP(MONTH(A33)/3,0)</f>
        <v>Q1</v>
      </c>
      <c r="D33" s="19" t="s">
        <v>223</v>
      </c>
      <c r="E33" s="19" t="s">
        <v>224</v>
      </c>
      <c r="F33" s="12" t="n">
        <v>2654761</v>
      </c>
      <c r="G33" s="12" t="n">
        <v>479520</v>
      </c>
      <c r="H33" s="12" t="n">
        <v>37148783</v>
      </c>
      <c r="I33" s="16" t="n">
        <v>37.3</v>
      </c>
      <c r="J33" s="13" t="n">
        <v>0.104</v>
      </c>
      <c r="K33" s="16" t="n">
        <v>15.6</v>
      </c>
      <c r="L33" s="13" t="n">
        <f aca="false">IF(SUMIFS($F$2:$F$397,$A$2:$A$397,A33)=0,0,F33/SUMIFS($F$2:$F$397,$A$2:$A$397,A33))</f>
        <v>0.031036436865567</v>
      </c>
    </row>
    <row r="34" customFormat="false" ht="15" hidden="false" customHeight="false" outlineLevel="0" collapsed="false">
      <c r="A34" s="10" t="n">
        <v>44986</v>
      </c>
      <c r="B34" s="18" t="n">
        <f aca="false">YEAR(A34)</f>
        <v>2023</v>
      </c>
      <c r="C34" s="19" t="str">
        <f aca="false">"Q"&amp;ROUNDUP(MONTH(A34)/3,0)</f>
        <v>Q1</v>
      </c>
      <c r="D34" s="19" t="s">
        <v>225</v>
      </c>
      <c r="E34" s="19" t="s">
        <v>226</v>
      </c>
      <c r="F34" s="12" t="n">
        <v>7652750</v>
      </c>
      <c r="G34" s="12" t="n">
        <v>1306503</v>
      </c>
      <c r="H34" s="12" t="n">
        <v>106888910</v>
      </c>
      <c r="I34" s="16" t="n">
        <v>36.7</v>
      </c>
      <c r="J34" s="13" t="n">
        <v>0.09</v>
      </c>
      <c r="K34" s="16" t="n">
        <v>15.8</v>
      </c>
      <c r="L34" s="13" t="n">
        <f aca="false">IF(SUMIFS($F$2:$F$397,$A$2:$A$397,A34)=0,0,F34/SUMIFS($F$2:$F$397,$A$2:$A$397,A34))</f>
        <v>0.0894672221804404</v>
      </c>
    </row>
    <row r="35" customFormat="false" ht="15" hidden="false" customHeight="false" outlineLevel="0" collapsed="false">
      <c r="A35" s="10" t="n">
        <v>45017</v>
      </c>
      <c r="B35" s="18" t="n">
        <f aca="false">YEAR(A35)</f>
        <v>2023</v>
      </c>
      <c r="C35" s="19" t="str">
        <f aca="false">"Q"&amp;ROUNDUP(MONTH(A35)/3,0)</f>
        <v>Q2</v>
      </c>
      <c r="D35" s="19" t="s">
        <v>211</v>
      </c>
      <c r="E35" s="19" t="s">
        <v>212</v>
      </c>
      <c r="F35" s="12" t="n">
        <v>26730926</v>
      </c>
      <c r="G35" s="12" t="n">
        <v>4805945</v>
      </c>
      <c r="H35" s="12" t="n">
        <v>385747296</v>
      </c>
      <c r="I35" s="16" t="n">
        <v>38.5</v>
      </c>
      <c r="J35" s="13" t="n">
        <v>0.103</v>
      </c>
      <c r="K35" s="16" t="n">
        <v>18.8</v>
      </c>
      <c r="L35" s="13" t="n">
        <f aca="false">IF(SUMIFS($F$2:$F$397,$A$2:$A$397,A35)=0,0,F35/SUMIFS($F$2:$F$397,$A$2:$A$397,A35))</f>
        <v>0.307067327285408</v>
      </c>
    </row>
    <row r="36" customFormat="false" ht="15" hidden="false" customHeight="false" outlineLevel="0" collapsed="false">
      <c r="A36" s="10" t="n">
        <v>45017</v>
      </c>
      <c r="B36" s="18" t="n">
        <f aca="false">YEAR(A36)</f>
        <v>2023</v>
      </c>
      <c r="C36" s="19" t="str">
        <f aca="false">"Q"&amp;ROUNDUP(MONTH(A36)/3,0)</f>
        <v>Q2</v>
      </c>
      <c r="D36" s="19" t="s">
        <v>213</v>
      </c>
      <c r="E36" s="19" t="s">
        <v>214</v>
      </c>
      <c r="F36" s="12" t="n">
        <v>14664336</v>
      </c>
      <c r="G36" s="12" t="n">
        <v>2470607</v>
      </c>
      <c r="H36" s="12" t="n">
        <v>211313067</v>
      </c>
      <c r="I36" s="16" t="n">
        <v>38.2</v>
      </c>
      <c r="J36" s="13" t="n">
        <v>0.135</v>
      </c>
      <c r="K36" s="16" t="n">
        <v>19.9</v>
      </c>
      <c r="L36" s="13" t="n">
        <f aca="false">IF(SUMIFS($F$2:$F$397,$A$2:$A$397,A36)=0,0,F36/SUMIFS($F$2:$F$397,$A$2:$A$397,A36))</f>
        <v>0.168454263871562</v>
      </c>
    </row>
    <row r="37" customFormat="false" ht="15" hidden="false" customHeight="false" outlineLevel="0" collapsed="false">
      <c r="A37" s="10" t="n">
        <v>45017</v>
      </c>
      <c r="B37" s="18" t="n">
        <f aca="false">YEAR(A37)</f>
        <v>2023</v>
      </c>
      <c r="C37" s="19" t="str">
        <f aca="false">"Q"&amp;ROUNDUP(MONTH(A37)/3,0)</f>
        <v>Q2</v>
      </c>
      <c r="D37" s="19" t="s">
        <v>215</v>
      </c>
      <c r="E37" s="19" t="s">
        <v>214</v>
      </c>
      <c r="F37" s="12" t="n">
        <v>7677836</v>
      </c>
      <c r="G37" s="12" t="n">
        <v>1263921</v>
      </c>
      <c r="H37" s="12" t="n">
        <v>106585657</v>
      </c>
      <c r="I37" s="16" t="n">
        <v>38.2</v>
      </c>
      <c r="J37" s="13" t="n">
        <v>0.118</v>
      </c>
      <c r="K37" s="16" t="n">
        <v>18.8</v>
      </c>
      <c r="L37" s="13" t="n">
        <f aca="false">IF(SUMIFS($F$2:$F$397,$A$2:$A$397,A37)=0,0,F37/SUMIFS($F$2:$F$397,$A$2:$A$397,A37))</f>
        <v>0.0881979389661131</v>
      </c>
    </row>
    <row r="38" customFormat="false" ht="15" hidden="false" customHeight="false" outlineLevel="0" collapsed="false">
      <c r="A38" s="10" t="n">
        <v>45017</v>
      </c>
      <c r="B38" s="18" t="n">
        <f aca="false">YEAR(A38)</f>
        <v>2023</v>
      </c>
      <c r="C38" s="19" t="str">
        <f aca="false">"Q"&amp;ROUNDUP(MONTH(A38)/3,0)</f>
        <v>Q2</v>
      </c>
      <c r="D38" s="19" t="s">
        <v>216</v>
      </c>
      <c r="E38" s="19" t="s">
        <v>212</v>
      </c>
      <c r="F38" s="12" t="n">
        <v>4955941</v>
      </c>
      <c r="G38" s="12" t="n">
        <v>884519</v>
      </c>
      <c r="H38" s="12" t="n">
        <v>68558436</v>
      </c>
      <c r="I38" s="16" t="n">
        <v>38.1</v>
      </c>
      <c r="J38" s="13" t="n">
        <v>0.11</v>
      </c>
      <c r="K38" s="16" t="n">
        <v>17.7</v>
      </c>
      <c r="L38" s="13" t="n">
        <f aca="false">IF(SUMIFS($F$2:$F$397,$A$2:$A$397,A38)=0,0,F38/SUMIFS($F$2:$F$397,$A$2:$A$397,A38))</f>
        <v>0.0569305963083423</v>
      </c>
    </row>
    <row r="39" customFormat="false" ht="15" hidden="false" customHeight="false" outlineLevel="0" collapsed="false">
      <c r="A39" s="10" t="n">
        <v>45017</v>
      </c>
      <c r="B39" s="18" t="n">
        <f aca="false">YEAR(A39)</f>
        <v>2023</v>
      </c>
      <c r="C39" s="19" t="str">
        <f aca="false">"Q"&amp;ROUNDUP(MONTH(A39)/3,0)</f>
        <v>Q2</v>
      </c>
      <c r="D39" s="19" t="s">
        <v>217</v>
      </c>
      <c r="E39" s="19" t="s">
        <v>218</v>
      </c>
      <c r="F39" s="12" t="n">
        <v>6290119</v>
      </c>
      <c r="G39" s="12" t="n">
        <v>1065604</v>
      </c>
      <c r="H39" s="12" t="n">
        <v>101267657</v>
      </c>
      <c r="I39" s="16" t="n">
        <v>43</v>
      </c>
      <c r="J39" s="13" t="n">
        <v>0.08</v>
      </c>
      <c r="K39" s="16" t="n">
        <v>24.4</v>
      </c>
      <c r="L39" s="13" t="n">
        <f aca="false">IF(SUMIFS($F$2:$F$397,$A$2:$A$397,A39)=0,0,F39/SUMIFS($F$2:$F$397,$A$2:$A$397,A39))</f>
        <v>0.0722567571971567</v>
      </c>
    </row>
    <row r="40" customFormat="false" ht="15" hidden="false" customHeight="false" outlineLevel="0" collapsed="false">
      <c r="A40" s="10" t="n">
        <v>45017</v>
      </c>
      <c r="B40" s="18" t="n">
        <f aca="false">YEAR(A40)</f>
        <v>2023</v>
      </c>
      <c r="C40" s="19" t="str">
        <f aca="false">"Q"&amp;ROUNDUP(MONTH(A40)/3,0)</f>
        <v>Q2</v>
      </c>
      <c r="D40" s="19" t="s">
        <v>219</v>
      </c>
      <c r="E40" s="19" t="s">
        <v>218</v>
      </c>
      <c r="F40" s="12" t="n">
        <v>4684861</v>
      </c>
      <c r="G40" s="12" t="n">
        <v>857347</v>
      </c>
      <c r="H40" s="12" t="n">
        <v>71500271</v>
      </c>
      <c r="I40" s="16" t="n">
        <v>42.6</v>
      </c>
      <c r="J40" s="13" t="n">
        <v>0.089</v>
      </c>
      <c r="K40" s="16" t="n">
        <v>23.6</v>
      </c>
      <c r="L40" s="13" t="n">
        <f aca="false">IF(SUMIFS($F$2:$F$397,$A$2:$A$397,A40)=0,0,F40/SUMIFS($F$2:$F$397,$A$2:$A$397,A40))</f>
        <v>0.0538166072501059</v>
      </c>
    </row>
    <row r="41" customFormat="false" ht="15" hidden="false" customHeight="false" outlineLevel="0" collapsed="false">
      <c r="A41" s="10" t="n">
        <v>45017</v>
      </c>
      <c r="B41" s="18" t="n">
        <f aca="false">YEAR(A41)</f>
        <v>2023</v>
      </c>
      <c r="C41" s="19" t="str">
        <f aca="false">"Q"&amp;ROUNDUP(MONTH(A41)/3,0)</f>
        <v>Q2</v>
      </c>
      <c r="D41" s="19" t="s">
        <v>220</v>
      </c>
      <c r="E41" s="19" t="s">
        <v>214</v>
      </c>
      <c r="F41" s="12" t="n">
        <v>4511095</v>
      </c>
      <c r="G41" s="12" t="n">
        <v>799691</v>
      </c>
      <c r="H41" s="12" t="n">
        <v>62382217</v>
      </c>
      <c r="I41" s="16" t="n">
        <v>38.9</v>
      </c>
      <c r="J41" s="13" t="n">
        <v>0.121</v>
      </c>
      <c r="K41" s="16" t="n">
        <v>17.6</v>
      </c>
      <c r="L41" s="13" t="n">
        <f aca="false">IF(SUMIFS($F$2:$F$397,$A$2:$A$397,A41)=0,0,F41/SUMIFS($F$2:$F$397,$A$2:$A$397,A41))</f>
        <v>0.0518204975308587</v>
      </c>
    </row>
    <row r="42" customFormat="false" ht="15" hidden="false" customHeight="false" outlineLevel="0" collapsed="false">
      <c r="A42" s="10" t="n">
        <v>45017</v>
      </c>
      <c r="B42" s="18" t="n">
        <f aca="false">YEAR(A42)</f>
        <v>2023</v>
      </c>
      <c r="C42" s="19" t="str">
        <f aca="false">"Q"&amp;ROUNDUP(MONTH(A42)/3,0)</f>
        <v>Q2</v>
      </c>
      <c r="D42" s="19" t="s">
        <v>221</v>
      </c>
      <c r="E42" s="19" t="s">
        <v>214</v>
      </c>
      <c r="F42" s="12" t="n">
        <v>3483395</v>
      </c>
      <c r="G42" s="12" t="n">
        <v>607313</v>
      </c>
      <c r="H42" s="12" t="n">
        <v>48695909</v>
      </c>
      <c r="I42" s="16" t="n">
        <v>37.6</v>
      </c>
      <c r="J42" s="13" t="n">
        <v>0.119</v>
      </c>
      <c r="K42" s="16" t="n">
        <v>17.9</v>
      </c>
      <c r="L42" s="13" t="n">
        <f aca="false">IF(SUMIFS($F$2:$F$397,$A$2:$A$397,A42)=0,0,F42/SUMIFS($F$2:$F$397,$A$2:$A$397,A42))</f>
        <v>0.0400149546831768</v>
      </c>
    </row>
    <row r="43" customFormat="false" ht="15" hidden="false" customHeight="false" outlineLevel="0" collapsed="false">
      <c r="A43" s="10" t="n">
        <v>45017</v>
      </c>
      <c r="B43" s="18" t="n">
        <f aca="false">YEAR(A43)</f>
        <v>2023</v>
      </c>
      <c r="C43" s="19" t="str">
        <f aca="false">"Q"&amp;ROUNDUP(MONTH(A43)/3,0)</f>
        <v>Q2</v>
      </c>
      <c r="D43" s="19" t="s">
        <v>222</v>
      </c>
      <c r="E43" s="19" t="s">
        <v>218</v>
      </c>
      <c r="F43" s="12" t="n">
        <v>3575171</v>
      </c>
      <c r="G43" s="12" t="n">
        <v>632938</v>
      </c>
      <c r="H43" s="12" t="n">
        <v>57778512</v>
      </c>
      <c r="I43" s="16" t="n">
        <v>41.2</v>
      </c>
      <c r="J43" s="13" t="n">
        <v>0.076</v>
      </c>
      <c r="K43" s="16" t="n">
        <v>22.4</v>
      </c>
      <c r="L43" s="13" t="n">
        <f aca="false">IF(SUMIFS($F$2:$F$397,$A$2:$A$397,A43)=0,0,F43/SUMIFS($F$2:$F$397,$A$2:$A$397,A43))</f>
        <v>0.0410692171142256</v>
      </c>
    </row>
    <row r="44" customFormat="false" ht="15" hidden="false" customHeight="false" outlineLevel="0" collapsed="false">
      <c r="A44" s="10" t="n">
        <v>45017</v>
      </c>
      <c r="B44" s="18" t="n">
        <f aca="false">YEAR(A44)</f>
        <v>2023</v>
      </c>
      <c r="C44" s="19" t="str">
        <f aca="false">"Q"&amp;ROUNDUP(MONTH(A44)/3,0)</f>
        <v>Q2</v>
      </c>
      <c r="D44" s="19" t="s">
        <v>223</v>
      </c>
      <c r="E44" s="19" t="s">
        <v>224</v>
      </c>
      <c r="F44" s="12" t="n">
        <v>2729135</v>
      </c>
      <c r="G44" s="12" t="n">
        <v>494110</v>
      </c>
      <c r="H44" s="12" t="n">
        <v>39000438</v>
      </c>
      <c r="I44" s="16" t="n">
        <v>39</v>
      </c>
      <c r="J44" s="13" t="n">
        <v>0.105</v>
      </c>
      <c r="K44" s="16" t="n">
        <v>16.3</v>
      </c>
      <c r="L44" s="13" t="n">
        <f aca="false">IF(SUMIFS($F$2:$F$397,$A$2:$A$397,A44)=0,0,F44/SUMIFS($F$2:$F$397,$A$2:$A$397,A44))</f>
        <v>0.0313505110242369</v>
      </c>
    </row>
    <row r="45" customFormat="false" ht="15" hidden="false" customHeight="false" outlineLevel="0" collapsed="false">
      <c r="A45" s="10" t="n">
        <v>45017</v>
      </c>
      <c r="B45" s="18" t="n">
        <f aca="false">YEAR(A45)</f>
        <v>2023</v>
      </c>
      <c r="C45" s="19" t="str">
        <f aca="false">"Q"&amp;ROUNDUP(MONTH(A45)/3,0)</f>
        <v>Q2</v>
      </c>
      <c r="D45" s="19" t="s">
        <v>225</v>
      </c>
      <c r="E45" s="19" t="s">
        <v>226</v>
      </c>
      <c r="F45" s="12" t="n">
        <v>7749514</v>
      </c>
      <c r="G45" s="12" t="n">
        <v>1334287</v>
      </c>
      <c r="H45" s="12" t="n">
        <v>104491868</v>
      </c>
      <c r="I45" s="16" t="n">
        <v>36.7</v>
      </c>
      <c r="J45" s="13" t="n">
        <v>0.094</v>
      </c>
      <c r="K45" s="16" t="n">
        <v>15.7</v>
      </c>
      <c r="L45" s="13" t="n">
        <f aca="false">IF(SUMIFS($F$2:$F$397,$A$2:$A$397,A45)=0,0,F45/SUMIFS($F$2:$F$397,$A$2:$A$397,A45))</f>
        <v>0.0890213287688144</v>
      </c>
    </row>
    <row r="46" customFormat="false" ht="15" hidden="false" customHeight="false" outlineLevel="0" collapsed="false">
      <c r="A46" s="10" t="n">
        <v>45047</v>
      </c>
      <c r="B46" s="18" t="n">
        <f aca="false">YEAR(A46)</f>
        <v>2023</v>
      </c>
      <c r="C46" s="19" t="str">
        <f aca="false">"Q"&amp;ROUNDUP(MONTH(A46)/3,0)</f>
        <v>Q2</v>
      </c>
      <c r="D46" s="19" t="s">
        <v>211</v>
      </c>
      <c r="E46" s="19" t="s">
        <v>212</v>
      </c>
      <c r="F46" s="12" t="n">
        <v>26254290</v>
      </c>
      <c r="G46" s="12" t="n">
        <v>5053378</v>
      </c>
      <c r="H46" s="12" t="n">
        <v>378549197</v>
      </c>
      <c r="I46" s="16" t="n">
        <v>38.7</v>
      </c>
      <c r="J46" s="13" t="n">
        <v>0.107</v>
      </c>
      <c r="K46" s="16" t="n">
        <v>20.4</v>
      </c>
      <c r="L46" s="13" t="n">
        <f aca="false">IF(SUMIFS($F$2:$F$397,$A$2:$A$397,A46)=0,0,F46/SUMIFS($F$2:$F$397,$A$2:$A$397,A46))</f>
        <v>0.295080735676905</v>
      </c>
    </row>
    <row r="47" customFormat="false" ht="15" hidden="false" customHeight="false" outlineLevel="0" collapsed="false">
      <c r="A47" s="10" t="n">
        <v>45047</v>
      </c>
      <c r="B47" s="18" t="n">
        <f aca="false">YEAR(A47)</f>
        <v>2023</v>
      </c>
      <c r="C47" s="19" t="str">
        <f aca="false">"Q"&amp;ROUNDUP(MONTH(A47)/3,0)</f>
        <v>Q2</v>
      </c>
      <c r="D47" s="19" t="s">
        <v>213</v>
      </c>
      <c r="E47" s="19" t="s">
        <v>214</v>
      </c>
      <c r="F47" s="12" t="n">
        <v>15057392</v>
      </c>
      <c r="G47" s="12" t="n">
        <v>2792685</v>
      </c>
      <c r="H47" s="12" t="n">
        <v>217106330</v>
      </c>
      <c r="I47" s="16" t="n">
        <v>38.9</v>
      </c>
      <c r="J47" s="13" t="n">
        <v>0.141</v>
      </c>
      <c r="K47" s="16" t="n">
        <v>20.6</v>
      </c>
      <c r="L47" s="13" t="n">
        <f aca="false">IF(SUMIFS($F$2:$F$397,$A$2:$A$397,A47)=0,0,F47/SUMIFS($F$2:$F$397,$A$2:$A$397,A47))</f>
        <v>0.169235058679383</v>
      </c>
    </row>
    <row r="48" customFormat="false" ht="15" hidden="false" customHeight="false" outlineLevel="0" collapsed="false">
      <c r="A48" s="10" t="n">
        <v>45047</v>
      </c>
      <c r="B48" s="18" t="n">
        <f aca="false">YEAR(A48)</f>
        <v>2023</v>
      </c>
      <c r="C48" s="19" t="str">
        <f aca="false">"Q"&amp;ROUNDUP(MONTH(A48)/3,0)</f>
        <v>Q2</v>
      </c>
      <c r="D48" s="19" t="s">
        <v>215</v>
      </c>
      <c r="E48" s="19" t="s">
        <v>214</v>
      </c>
      <c r="F48" s="12" t="n">
        <v>7487677</v>
      </c>
      <c r="G48" s="12" t="n">
        <v>1376693</v>
      </c>
      <c r="H48" s="12" t="n">
        <v>111531994</v>
      </c>
      <c r="I48" s="16" t="n">
        <v>39.5</v>
      </c>
      <c r="J48" s="13" t="n">
        <v>0.123</v>
      </c>
      <c r="K48" s="16" t="n">
        <v>18.5</v>
      </c>
      <c r="L48" s="13" t="n">
        <f aca="false">IF(SUMIFS($F$2:$F$397,$A$2:$A$397,A48)=0,0,F48/SUMIFS($F$2:$F$397,$A$2:$A$397,A48))</f>
        <v>0.084156503096105</v>
      </c>
    </row>
    <row r="49" customFormat="false" ht="15" hidden="false" customHeight="false" outlineLevel="0" collapsed="false">
      <c r="A49" s="10" t="n">
        <v>45047</v>
      </c>
      <c r="B49" s="18" t="n">
        <f aca="false">YEAR(A49)</f>
        <v>2023</v>
      </c>
      <c r="C49" s="19" t="str">
        <f aca="false">"Q"&amp;ROUNDUP(MONTH(A49)/3,0)</f>
        <v>Q2</v>
      </c>
      <c r="D49" s="19" t="s">
        <v>216</v>
      </c>
      <c r="E49" s="19" t="s">
        <v>212</v>
      </c>
      <c r="F49" s="12" t="n">
        <v>5577395</v>
      </c>
      <c r="G49" s="12" t="n">
        <v>997717</v>
      </c>
      <c r="H49" s="12" t="n">
        <v>78317576</v>
      </c>
      <c r="I49" s="16" t="n">
        <v>36.8</v>
      </c>
      <c r="J49" s="13" t="n">
        <v>0.116</v>
      </c>
      <c r="K49" s="16" t="n">
        <v>17.1</v>
      </c>
      <c r="L49" s="13" t="n">
        <f aca="false">IF(SUMIFS($F$2:$F$397,$A$2:$A$397,A49)=0,0,F49/SUMIFS($F$2:$F$397,$A$2:$A$397,A49))</f>
        <v>0.0626862055595748</v>
      </c>
    </row>
    <row r="50" customFormat="false" ht="15" hidden="false" customHeight="false" outlineLevel="0" collapsed="false">
      <c r="A50" s="10" t="n">
        <v>45047</v>
      </c>
      <c r="B50" s="18" t="n">
        <f aca="false">YEAR(A50)</f>
        <v>2023</v>
      </c>
      <c r="C50" s="19" t="str">
        <f aca="false">"Q"&amp;ROUNDUP(MONTH(A50)/3,0)</f>
        <v>Q2</v>
      </c>
      <c r="D50" s="19" t="s">
        <v>217</v>
      </c>
      <c r="E50" s="19" t="s">
        <v>218</v>
      </c>
      <c r="F50" s="12" t="n">
        <v>6898317</v>
      </c>
      <c r="G50" s="12" t="n">
        <v>1194336</v>
      </c>
      <c r="H50" s="12" t="n">
        <v>108968221</v>
      </c>
      <c r="I50" s="16" t="n">
        <v>43.5</v>
      </c>
      <c r="J50" s="13" t="n">
        <v>0.077</v>
      </c>
      <c r="K50" s="16" t="n">
        <v>24.4</v>
      </c>
      <c r="L50" s="13" t="n">
        <f aca="false">IF(SUMIFS($F$2:$F$397,$A$2:$A$397,A50)=0,0,F50/SUMIFS($F$2:$F$397,$A$2:$A$397,A50))</f>
        <v>0.0775324891776733</v>
      </c>
    </row>
    <row r="51" customFormat="false" ht="15" hidden="false" customHeight="false" outlineLevel="0" collapsed="false">
      <c r="A51" s="10" t="n">
        <v>45047</v>
      </c>
      <c r="B51" s="18" t="n">
        <f aca="false">YEAR(A51)</f>
        <v>2023</v>
      </c>
      <c r="C51" s="19" t="str">
        <f aca="false">"Q"&amp;ROUNDUP(MONTH(A51)/3,0)</f>
        <v>Q2</v>
      </c>
      <c r="D51" s="19" t="s">
        <v>219</v>
      </c>
      <c r="E51" s="19" t="s">
        <v>218</v>
      </c>
      <c r="F51" s="12" t="n">
        <v>4792998</v>
      </c>
      <c r="G51" s="12" t="n">
        <v>812302</v>
      </c>
      <c r="H51" s="12" t="n">
        <v>75389571</v>
      </c>
      <c r="I51" s="16" t="n">
        <v>42.8</v>
      </c>
      <c r="J51" s="13" t="n">
        <v>0.088</v>
      </c>
      <c r="K51" s="16" t="n">
        <v>23.8</v>
      </c>
      <c r="L51" s="13" t="n">
        <f aca="false">IF(SUMIFS($F$2:$F$397,$A$2:$A$397,A51)=0,0,F51/SUMIFS($F$2:$F$397,$A$2:$A$397,A51))</f>
        <v>0.053870105645132</v>
      </c>
    </row>
    <row r="52" customFormat="false" ht="15" hidden="false" customHeight="false" outlineLevel="0" collapsed="false">
      <c r="A52" s="10" t="n">
        <v>45047</v>
      </c>
      <c r="B52" s="18" t="n">
        <f aca="false">YEAR(A52)</f>
        <v>2023</v>
      </c>
      <c r="C52" s="19" t="str">
        <f aca="false">"Q"&amp;ROUNDUP(MONTH(A52)/3,0)</f>
        <v>Q2</v>
      </c>
      <c r="D52" s="19" t="s">
        <v>220</v>
      </c>
      <c r="E52" s="19" t="s">
        <v>214</v>
      </c>
      <c r="F52" s="12" t="n">
        <v>4443160</v>
      </c>
      <c r="G52" s="12" t="n">
        <v>840859</v>
      </c>
      <c r="H52" s="12" t="n">
        <v>67022032</v>
      </c>
      <c r="I52" s="16" t="n">
        <v>39</v>
      </c>
      <c r="J52" s="13" t="n">
        <v>0.114</v>
      </c>
      <c r="K52" s="16" t="n">
        <v>17.7</v>
      </c>
      <c r="L52" s="13" t="n">
        <f aca="false">IF(SUMIFS($F$2:$F$397,$A$2:$A$397,A52)=0,0,F52/SUMIFS($F$2:$F$397,$A$2:$A$397,A52))</f>
        <v>0.0499381594981314</v>
      </c>
    </row>
    <row r="53" customFormat="false" ht="15" hidden="false" customHeight="false" outlineLevel="0" collapsed="false">
      <c r="A53" s="10" t="n">
        <v>45047</v>
      </c>
      <c r="B53" s="18" t="n">
        <f aca="false">YEAR(A53)</f>
        <v>2023</v>
      </c>
      <c r="C53" s="19" t="str">
        <f aca="false">"Q"&amp;ROUNDUP(MONTH(A53)/3,0)</f>
        <v>Q2</v>
      </c>
      <c r="D53" s="19" t="s">
        <v>221</v>
      </c>
      <c r="E53" s="19" t="s">
        <v>214</v>
      </c>
      <c r="F53" s="12" t="n">
        <v>3519032</v>
      </c>
      <c r="G53" s="12" t="n">
        <v>619959</v>
      </c>
      <c r="H53" s="12" t="n">
        <v>49356020</v>
      </c>
      <c r="I53" s="16" t="n">
        <v>38.2</v>
      </c>
      <c r="J53" s="13" t="n">
        <v>0.125</v>
      </c>
      <c r="K53" s="16" t="n">
        <v>17.3</v>
      </c>
      <c r="L53" s="13" t="n">
        <f aca="false">IF(SUMIFS($F$2:$F$397,$A$2:$A$397,A53)=0,0,F53/SUMIFS($F$2:$F$397,$A$2:$A$397,A53))</f>
        <v>0.0395515761969023</v>
      </c>
    </row>
    <row r="54" customFormat="false" ht="15" hidden="false" customHeight="false" outlineLevel="0" collapsed="false">
      <c r="A54" s="10" t="n">
        <v>45047</v>
      </c>
      <c r="B54" s="18" t="n">
        <f aca="false">YEAR(A54)</f>
        <v>2023</v>
      </c>
      <c r="C54" s="19" t="str">
        <f aca="false">"Q"&amp;ROUNDUP(MONTH(A54)/3,0)</f>
        <v>Q2</v>
      </c>
      <c r="D54" s="19" t="s">
        <v>222</v>
      </c>
      <c r="E54" s="19" t="s">
        <v>218</v>
      </c>
      <c r="F54" s="12" t="n">
        <v>3843702</v>
      </c>
      <c r="G54" s="12" t="n">
        <v>724599</v>
      </c>
      <c r="H54" s="12" t="n">
        <v>60136865</v>
      </c>
      <c r="I54" s="16" t="n">
        <v>42.8</v>
      </c>
      <c r="J54" s="13" t="n">
        <v>0.068</v>
      </c>
      <c r="K54" s="16" t="n">
        <v>23.1</v>
      </c>
      <c r="L54" s="13" t="n">
        <f aca="false">IF(SUMIFS($F$2:$F$397,$A$2:$A$397,A54)=0,0,F54/SUMIFS($F$2:$F$397,$A$2:$A$397,A54))</f>
        <v>0.0432006507844162</v>
      </c>
    </row>
    <row r="55" customFormat="false" ht="15" hidden="false" customHeight="false" outlineLevel="0" collapsed="false">
      <c r="A55" s="10" t="n">
        <v>45047</v>
      </c>
      <c r="B55" s="18" t="n">
        <f aca="false">YEAR(A55)</f>
        <v>2023</v>
      </c>
      <c r="C55" s="19" t="str">
        <f aca="false">"Q"&amp;ROUNDUP(MONTH(A55)/3,0)</f>
        <v>Q2</v>
      </c>
      <c r="D55" s="19" t="s">
        <v>223</v>
      </c>
      <c r="E55" s="19" t="s">
        <v>224</v>
      </c>
      <c r="F55" s="12" t="n">
        <v>2785314</v>
      </c>
      <c r="G55" s="12" t="n">
        <v>478280</v>
      </c>
      <c r="H55" s="12" t="n">
        <v>39654724</v>
      </c>
      <c r="I55" s="16" t="n">
        <v>38.9</v>
      </c>
      <c r="J55" s="13" t="n">
        <v>0.101</v>
      </c>
      <c r="K55" s="16" t="n">
        <v>16.6</v>
      </c>
      <c r="L55" s="13" t="n">
        <f aca="false">IF(SUMIFS($F$2:$F$397,$A$2:$A$397,A55)=0,0,F55/SUMIFS($F$2:$F$397,$A$2:$A$397,A55))</f>
        <v>0.0313050744930136</v>
      </c>
    </row>
    <row r="56" customFormat="false" ht="15" hidden="false" customHeight="false" outlineLevel="0" collapsed="false">
      <c r="A56" s="10" t="n">
        <v>45047</v>
      </c>
      <c r="B56" s="18" t="n">
        <f aca="false">YEAR(A56)</f>
        <v>2023</v>
      </c>
      <c r="C56" s="19" t="str">
        <f aca="false">"Q"&amp;ROUNDUP(MONTH(A56)/3,0)</f>
        <v>Q2</v>
      </c>
      <c r="D56" s="19" t="s">
        <v>225</v>
      </c>
      <c r="E56" s="19" t="s">
        <v>226</v>
      </c>
      <c r="F56" s="12" t="n">
        <v>8313966</v>
      </c>
      <c r="G56" s="12" t="n">
        <v>1574287</v>
      </c>
      <c r="H56" s="12" t="n">
        <v>117305052</v>
      </c>
      <c r="I56" s="16" t="n">
        <v>37.8</v>
      </c>
      <c r="J56" s="13" t="n">
        <v>0.086</v>
      </c>
      <c r="K56" s="16" t="n">
        <v>14.8</v>
      </c>
      <c r="L56" s="13" t="n">
        <f aca="false">IF(SUMIFS($F$2:$F$397,$A$2:$A$397,A56)=0,0,F56/SUMIFS($F$2:$F$397,$A$2:$A$397,A56))</f>
        <v>0.093443441192764</v>
      </c>
    </row>
    <row r="57" customFormat="false" ht="15" hidden="false" customHeight="false" outlineLevel="0" collapsed="false">
      <c r="A57" s="10" t="n">
        <v>45078</v>
      </c>
      <c r="B57" s="18" t="n">
        <f aca="false">YEAR(A57)</f>
        <v>2023</v>
      </c>
      <c r="C57" s="19" t="str">
        <f aca="false">"Q"&amp;ROUNDUP(MONTH(A57)/3,0)</f>
        <v>Q2</v>
      </c>
      <c r="D57" s="19" t="s">
        <v>211</v>
      </c>
      <c r="E57" s="19" t="s">
        <v>212</v>
      </c>
      <c r="F57" s="12" t="n">
        <v>27174721</v>
      </c>
      <c r="G57" s="12" t="n">
        <v>4397349</v>
      </c>
      <c r="H57" s="12" t="n">
        <v>404443547</v>
      </c>
      <c r="I57" s="16" t="n">
        <v>39</v>
      </c>
      <c r="J57" s="13" t="n">
        <v>0.116</v>
      </c>
      <c r="K57" s="16" t="n">
        <v>20.2</v>
      </c>
      <c r="L57" s="13" t="n">
        <f aca="false">IF(SUMIFS($F$2:$F$397,$A$2:$A$397,A57)=0,0,F57/SUMIFS($F$2:$F$397,$A$2:$A$397,A57))</f>
        <v>0.304007310569897</v>
      </c>
    </row>
    <row r="58" customFormat="false" ht="15" hidden="false" customHeight="false" outlineLevel="0" collapsed="false">
      <c r="A58" s="10" t="n">
        <v>45078</v>
      </c>
      <c r="B58" s="18" t="n">
        <f aca="false">YEAR(A58)</f>
        <v>2023</v>
      </c>
      <c r="C58" s="19" t="str">
        <f aca="false">"Q"&amp;ROUNDUP(MONTH(A58)/3,0)</f>
        <v>Q2</v>
      </c>
      <c r="D58" s="19" t="s">
        <v>213</v>
      </c>
      <c r="E58" s="19" t="s">
        <v>214</v>
      </c>
      <c r="F58" s="12" t="n">
        <v>14638074</v>
      </c>
      <c r="G58" s="12" t="n">
        <v>2687630</v>
      </c>
      <c r="H58" s="12" t="n">
        <v>211497029</v>
      </c>
      <c r="I58" s="16" t="n">
        <v>38.9</v>
      </c>
      <c r="J58" s="13" t="n">
        <v>0.134</v>
      </c>
      <c r="K58" s="16" t="n">
        <v>20.5</v>
      </c>
      <c r="L58" s="13" t="n">
        <f aca="false">IF(SUMIFS($F$2:$F$397,$A$2:$A$397,A58)=0,0,F58/SUMIFS($F$2:$F$397,$A$2:$A$397,A58))</f>
        <v>0.16375813053106</v>
      </c>
    </row>
    <row r="59" customFormat="false" ht="15" hidden="false" customHeight="false" outlineLevel="0" collapsed="false">
      <c r="A59" s="10" t="n">
        <v>45078</v>
      </c>
      <c r="B59" s="18" t="n">
        <f aca="false">YEAR(A59)</f>
        <v>2023</v>
      </c>
      <c r="C59" s="19" t="str">
        <f aca="false">"Q"&amp;ROUNDUP(MONTH(A59)/3,0)</f>
        <v>Q2</v>
      </c>
      <c r="D59" s="19" t="s">
        <v>215</v>
      </c>
      <c r="E59" s="19" t="s">
        <v>214</v>
      </c>
      <c r="F59" s="12" t="n">
        <v>7684223</v>
      </c>
      <c r="G59" s="12" t="n">
        <v>1334033</v>
      </c>
      <c r="H59" s="12" t="n">
        <v>105690230</v>
      </c>
      <c r="I59" s="16" t="n">
        <v>39.2</v>
      </c>
      <c r="J59" s="13" t="n">
        <v>0.12</v>
      </c>
      <c r="K59" s="16" t="n">
        <v>19.2</v>
      </c>
      <c r="L59" s="13" t="n">
        <f aca="false">IF(SUMIFS($F$2:$F$397,$A$2:$A$397,A59)=0,0,F59/SUMIFS($F$2:$F$397,$A$2:$A$397,A59))</f>
        <v>0.0859644508603915</v>
      </c>
    </row>
    <row r="60" customFormat="false" ht="15" hidden="false" customHeight="false" outlineLevel="0" collapsed="false">
      <c r="A60" s="10" t="n">
        <v>45078</v>
      </c>
      <c r="B60" s="18" t="n">
        <f aca="false">YEAR(A60)</f>
        <v>2023</v>
      </c>
      <c r="C60" s="19" t="str">
        <f aca="false">"Q"&amp;ROUNDUP(MONTH(A60)/3,0)</f>
        <v>Q2</v>
      </c>
      <c r="D60" s="19" t="s">
        <v>216</v>
      </c>
      <c r="E60" s="19" t="s">
        <v>212</v>
      </c>
      <c r="F60" s="12" t="n">
        <v>5435131</v>
      </c>
      <c r="G60" s="12" t="n">
        <v>1060507</v>
      </c>
      <c r="H60" s="12" t="n">
        <v>79044461</v>
      </c>
      <c r="I60" s="16" t="n">
        <v>37.9</v>
      </c>
      <c r="J60" s="13" t="n">
        <v>0.107</v>
      </c>
      <c r="K60" s="16" t="n">
        <v>17.3</v>
      </c>
      <c r="L60" s="13" t="n">
        <f aca="false">IF(SUMIFS($F$2:$F$397,$A$2:$A$397,A60)=0,0,F60/SUMIFS($F$2:$F$397,$A$2:$A$397,A60))</f>
        <v>0.0608035518710598</v>
      </c>
    </row>
    <row r="61" customFormat="false" ht="15" hidden="false" customHeight="false" outlineLevel="0" collapsed="false">
      <c r="A61" s="10" t="n">
        <v>45078</v>
      </c>
      <c r="B61" s="18" t="n">
        <f aca="false">YEAR(A61)</f>
        <v>2023</v>
      </c>
      <c r="C61" s="19" t="str">
        <f aca="false">"Q"&amp;ROUNDUP(MONTH(A61)/3,0)</f>
        <v>Q2</v>
      </c>
      <c r="D61" s="19" t="s">
        <v>217</v>
      </c>
      <c r="E61" s="19" t="s">
        <v>218</v>
      </c>
      <c r="F61" s="12" t="n">
        <v>6590030</v>
      </c>
      <c r="G61" s="12" t="n">
        <v>1214042</v>
      </c>
      <c r="H61" s="12" t="n">
        <v>103580692</v>
      </c>
      <c r="I61" s="16" t="n">
        <v>44.1</v>
      </c>
      <c r="J61" s="13" t="n">
        <v>0.081</v>
      </c>
      <c r="K61" s="16" t="n">
        <v>24.9</v>
      </c>
      <c r="L61" s="13" t="n">
        <f aca="false">IF(SUMIFS($F$2:$F$397,$A$2:$A$397,A61)=0,0,F61/SUMIFS($F$2:$F$397,$A$2:$A$397,A61))</f>
        <v>0.0737235645169987</v>
      </c>
    </row>
    <row r="62" customFormat="false" ht="15" hidden="false" customHeight="false" outlineLevel="0" collapsed="false">
      <c r="A62" s="10" t="n">
        <v>45078</v>
      </c>
      <c r="B62" s="18" t="n">
        <f aca="false">YEAR(A62)</f>
        <v>2023</v>
      </c>
      <c r="C62" s="19" t="str">
        <f aca="false">"Q"&amp;ROUNDUP(MONTH(A62)/3,0)</f>
        <v>Q2</v>
      </c>
      <c r="D62" s="19" t="s">
        <v>219</v>
      </c>
      <c r="E62" s="19" t="s">
        <v>218</v>
      </c>
      <c r="F62" s="12" t="n">
        <v>4893467</v>
      </c>
      <c r="G62" s="12" t="n">
        <v>851371</v>
      </c>
      <c r="H62" s="12" t="n">
        <v>75515142</v>
      </c>
      <c r="I62" s="16" t="n">
        <v>43.4</v>
      </c>
      <c r="J62" s="13" t="n">
        <v>0.097</v>
      </c>
      <c r="K62" s="16" t="n">
        <v>24</v>
      </c>
      <c r="L62" s="13" t="n">
        <f aca="false">IF(SUMIFS($F$2:$F$397,$A$2:$A$397,A62)=0,0,F62/SUMIFS($F$2:$F$397,$A$2:$A$397,A62))</f>
        <v>0.0547438828178786</v>
      </c>
    </row>
    <row r="63" customFormat="false" ht="15" hidden="false" customHeight="false" outlineLevel="0" collapsed="false">
      <c r="A63" s="10" t="n">
        <v>45078</v>
      </c>
      <c r="B63" s="18" t="n">
        <f aca="false">YEAR(A63)</f>
        <v>2023</v>
      </c>
      <c r="C63" s="19" t="str">
        <f aca="false">"Q"&amp;ROUNDUP(MONTH(A63)/3,0)</f>
        <v>Q2</v>
      </c>
      <c r="D63" s="19" t="s">
        <v>220</v>
      </c>
      <c r="E63" s="19" t="s">
        <v>214</v>
      </c>
      <c r="F63" s="12" t="n">
        <v>4473724</v>
      </c>
      <c r="G63" s="12" t="n">
        <v>823971</v>
      </c>
      <c r="H63" s="12" t="n">
        <v>64738182</v>
      </c>
      <c r="I63" s="16" t="n">
        <v>38.5</v>
      </c>
      <c r="J63" s="13" t="n">
        <v>0.126</v>
      </c>
      <c r="K63" s="16" t="n">
        <v>18.2</v>
      </c>
      <c r="L63" s="13" t="n">
        <f aca="false">IF(SUMIFS($F$2:$F$397,$A$2:$A$397,A63)=0,0,F63/SUMIFS($F$2:$F$397,$A$2:$A$397,A63))</f>
        <v>0.0500481606222196</v>
      </c>
    </row>
    <row r="64" customFormat="false" ht="15" hidden="false" customHeight="false" outlineLevel="0" collapsed="false">
      <c r="A64" s="10" t="n">
        <v>45078</v>
      </c>
      <c r="B64" s="18" t="n">
        <f aca="false">YEAR(A64)</f>
        <v>2023</v>
      </c>
      <c r="C64" s="19" t="str">
        <f aca="false">"Q"&amp;ROUNDUP(MONTH(A64)/3,0)</f>
        <v>Q2</v>
      </c>
      <c r="D64" s="19" t="s">
        <v>221</v>
      </c>
      <c r="E64" s="19" t="s">
        <v>214</v>
      </c>
      <c r="F64" s="12" t="n">
        <v>3459296</v>
      </c>
      <c r="G64" s="12" t="n">
        <v>619414</v>
      </c>
      <c r="H64" s="12" t="n">
        <v>48554562</v>
      </c>
      <c r="I64" s="16" t="n">
        <v>39.1</v>
      </c>
      <c r="J64" s="13" t="n">
        <v>0.124</v>
      </c>
      <c r="K64" s="16" t="n">
        <v>18</v>
      </c>
      <c r="L64" s="13" t="n">
        <f aca="false">IF(SUMIFS($F$2:$F$397,$A$2:$A$397,A64)=0,0,F64/SUMIFS($F$2:$F$397,$A$2:$A$397,A64))</f>
        <v>0.0386996162140985</v>
      </c>
    </row>
    <row r="65" customFormat="false" ht="15" hidden="false" customHeight="false" outlineLevel="0" collapsed="false">
      <c r="A65" s="10" t="n">
        <v>45078</v>
      </c>
      <c r="B65" s="18" t="n">
        <f aca="false">YEAR(A65)</f>
        <v>2023</v>
      </c>
      <c r="C65" s="19" t="str">
        <f aca="false">"Q"&amp;ROUNDUP(MONTH(A65)/3,0)</f>
        <v>Q2</v>
      </c>
      <c r="D65" s="19" t="s">
        <v>222</v>
      </c>
      <c r="E65" s="19" t="s">
        <v>218</v>
      </c>
      <c r="F65" s="12" t="n">
        <v>3910844</v>
      </c>
      <c r="G65" s="12" t="n">
        <v>726191</v>
      </c>
      <c r="H65" s="12" t="n">
        <v>62376922</v>
      </c>
      <c r="I65" s="16" t="n">
        <v>42.4</v>
      </c>
      <c r="J65" s="13" t="n">
        <v>0.066</v>
      </c>
      <c r="K65" s="16" t="n">
        <v>22.9</v>
      </c>
      <c r="L65" s="13" t="n">
        <f aca="false">IF(SUMIFS($F$2:$F$397,$A$2:$A$397,A65)=0,0,F65/SUMIFS($F$2:$F$397,$A$2:$A$397,A65))</f>
        <v>0.0437511452830894</v>
      </c>
    </row>
    <row r="66" customFormat="false" ht="15" hidden="false" customHeight="false" outlineLevel="0" collapsed="false">
      <c r="A66" s="10" t="n">
        <v>45078</v>
      </c>
      <c r="B66" s="18" t="n">
        <f aca="false">YEAR(A66)</f>
        <v>2023</v>
      </c>
      <c r="C66" s="19" t="str">
        <f aca="false">"Q"&amp;ROUNDUP(MONTH(A66)/3,0)</f>
        <v>Q2</v>
      </c>
      <c r="D66" s="19" t="s">
        <v>223</v>
      </c>
      <c r="E66" s="19" t="s">
        <v>224</v>
      </c>
      <c r="F66" s="12" t="n">
        <v>2875573</v>
      </c>
      <c r="G66" s="12" t="n">
        <v>523649</v>
      </c>
      <c r="H66" s="12" t="n">
        <v>40522203</v>
      </c>
      <c r="I66" s="16" t="n">
        <v>39.1</v>
      </c>
      <c r="J66" s="13" t="n">
        <v>0.107</v>
      </c>
      <c r="K66" s="16" t="n">
        <v>16.3</v>
      </c>
      <c r="L66" s="13" t="n">
        <f aca="false">IF(SUMIFS($F$2:$F$397,$A$2:$A$397,A66)=0,0,F66/SUMIFS($F$2:$F$397,$A$2:$A$397,A66))</f>
        <v>0.032169427390898</v>
      </c>
    </row>
    <row r="67" customFormat="false" ht="15" hidden="false" customHeight="false" outlineLevel="0" collapsed="false">
      <c r="A67" s="10" t="n">
        <v>45078</v>
      </c>
      <c r="B67" s="18" t="n">
        <f aca="false">YEAR(A67)</f>
        <v>2023</v>
      </c>
      <c r="C67" s="19" t="str">
        <f aca="false">"Q"&amp;ROUNDUP(MONTH(A67)/3,0)</f>
        <v>Q2</v>
      </c>
      <c r="D67" s="19" t="s">
        <v>225</v>
      </c>
      <c r="E67" s="19" t="s">
        <v>226</v>
      </c>
      <c r="F67" s="12" t="n">
        <v>8253297</v>
      </c>
      <c r="G67" s="12" t="n">
        <v>1413505</v>
      </c>
      <c r="H67" s="12" t="n">
        <v>113008314</v>
      </c>
      <c r="I67" s="16" t="n">
        <v>37.3</v>
      </c>
      <c r="J67" s="13" t="n">
        <v>0.095</v>
      </c>
      <c r="K67" s="16" t="n">
        <v>16.4</v>
      </c>
      <c r="L67" s="13" t="n">
        <f aca="false">IF(SUMIFS($F$2:$F$397,$A$2:$A$397,A67)=0,0,F67/SUMIFS($F$2:$F$397,$A$2:$A$397,A67))</f>
        <v>0.0923307593224086</v>
      </c>
    </row>
    <row r="68" customFormat="false" ht="15" hidden="false" customHeight="false" outlineLevel="0" collapsed="false">
      <c r="A68" s="10" t="n">
        <v>45108</v>
      </c>
      <c r="B68" s="18" t="n">
        <f aca="false">YEAR(A68)</f>
        <v>2023</v>
      </c>
      <c r="C68" s="19" t="str">
        <f aca="false">"Q"&amp;ROUNDUP(MONTH(A68)/3,0)</f>
        <v>Q3</v>
      </c>
      <c r="D68" s="19" t="s">
        <v>211</v>
      </c>
      <c r="E68" s="19" t="s">
        <v>212</v>
      </c>
      <c r="F68" s="12" t="n">
        <v>27296451</v>
      </c>
      <c r="G68" s="12" t="n">
        <v>4761953</v>
      </c>
      <c r="H68" s="12" t="n">
        <v>401986309</v>
      </c>
      <c r="I68" s="16" t="n">
        <v>39.1</v>
      </c>
      <c r="J68" s="13" t="n">
        <v>0.114</v>
      </c>
      <c r="K68" s="16" t="n">
        <v>19.2</v>
      </c>
      <c r="L68" s="13" t="n">
        <f aca="false">IF(SUMIFS($F$2:$F$397,$A$2:$A$397,A68)=0,0,F68/SUMIFS($F$2:$F$397,$A$2:$A$397,A68))</f>
        <v>0.30081741726991</v>
      </c>
    </row>
    <row r="69" customFormat="false" ht="15" hidden="false" customHeight="false" outlineLevel="0" collapsed="false">
      <c r="A69" s="10" t="n">
        <v>45108</v>
      </c>
      <c r="B69" s="18" t="n">
        <f aca="false">YEAR(A69)</f>
        <v>2023</v>
      </c>
      <c r="C69" s="19" t="str">
        <f aca="false">"Q"&amp;ROUNDUP(MONTH(A69)/3,0)</f>
        <v>Q3</v>
      </c>
      <c r="D69" s="19" t="s">
        <v>213</v>
      </c>
      <c r="E69" s="19" t="s">
        <v>214</v>
      </c>
      <c r="F69" s="12" t="n">
        <v>15246660</v>
      </c>
      <c r="G69" s="12" t="n">
        <v>2765556</v>
      </c>
      <c r="H69" s="12" t="n">
        <v>213966940</v>
      </c>
      <c r="I69" s="16" t="n">
        <v>38</v>
      </c>
      <c r="J69" s="13" t="n">
        <v>0.13</v>
      </c>
      <c r="K69" s="16" t="n">
        <v>22.1</v>
      </c>
      <c r="L69" s="13" t="n">
        <f aca="false">IF(SUMIFS($F$2:$F$397,$A$2:$A$397,A69)=0,0,F69/SUMIFS($F$2:$F$397,$A$2:$A$397,A69))</f>
        <v>0.168024073283096</v>
      </c>
    </row>
    <row r="70" customFormat="false" ht="15" hidden="false" customHeight="false" outlineLevel="0" collapsed="false">
      <c r="A70" s="10" t="n">
        <v>45108</v>
      </c>
      <c r="B70" s="18" t="n">
        <f aca="false">YEAR(A70)</f>
        <v>2023</v>
      </c>
      <c r="C70" s="19" t="str">
        <f aca="false">"Q"&amp;ROUNDUP(MONTH(A70)/3,0)</f>
        <v>Q3</v>
      </c>
      <c r="D70" s="19" t="s">
        <v>215</v>
      </c>
      <c r="E70" s="19" t="s">
        <v>214</v>
      </c>
      <c r="F70" s="12" t="n">
        <v>7854820</v>
      </c>
      <c r="G70" s="12" t="n">
        <v>1298568</v>
      </c>
      <c r="H70" s="12" t="n">
        <v>120154689</v>
      </c>
      <c r="I70" s="16" t="n">
        <v>39.6</v>
      </c>
      <c r="J70" s="13" t="n">
        <v>0.115</v>
      </c>
      <c r="K70" s="16" t="n">
        <v>19.5</v>
      </c>
      <c r="L70" s="13" t="n">
        <f aca="false">IF(SUMIFS($F$2:$F$397,$A$2:$A$397,A70)=0,0,F70/SUMIFS($F$2:$F$397,$A$2:$A$397,A70))</f>
        <v>0.0865631457188347</v>
      </c>
    </row>
    <row r="71" customFormat="false" ht="15" hidden="false" customHeight="false" outlineLevel="0" collapsed="false">
      <c r="A71" s="10" t="n">
        <v>45108</v>
      </c>
      <c r="B71" s="18" t="n">
        <f aca="false">YEAR(A71)</f>
        <v>2023</v>
      </c>
      <c r="C71" s="19" t="str">
        <f aca="false">"Q"&amp;ROUNDUP(MONTH(A71)/3,0)</f>
        <v>Q3</v>
      </c>
      <c r="D71" s="19" t="s">
        <v>216</v>
      </c>
      <c r="E71" s="19" t="s">
        <v>212</v>
      </c>
      <c r="F71" s="12" t="n">
        <v>5503843</v>
      </c>
      <c r="G71" s="12" t="n">
        <v>932804</v>
      </c>
      <c r="H71" s="12" t="n">
        <v>79536000</v>
      </c>
      <c r="I71" s="16" t="n">
        <v>37.4</v>
      </c>
      <c r="J71" s="13" t="n">
        <v>0.116</v>
      </c>
      <c r="K71" s="16" t="n">
        <v>18.8</v>
      </c>
      <c r="L71" s="13" t="n">
        <f aca="false">IF(SUMIFS($F$2:$F$397,$A$2:$A$397,A71)=0,0,F71/SUMIFS($F$2:$F$397,$A$2:$A$397,A71))</f>
        <v>0.060654472492379</v>
      </c>
    </row>
    <row r="72" customFormat="false" ht="15" hidden="false" customHeight="false" outlineLevel="0" collapsed="false">
      <c r="A72" s="10" t="n">
        <v>45108</v>
      </c>
      <c r="B72" s="18" t="n">
        <f aca="false">YEAR(A72)</f>
        <v>2023</v>
      </c>
      <c r="C72" s="19" t="str">
        <f aca="false">"Q"&amp;ROUNDUP(MONTH(A72)/3,0)</f>
        <v>Q3</v>
      </c>
      <c r="D72" s="19" t="s">
        <v>217</v>
      </c>
      <c r="E72" s="19" t="s">
        <v>218</v>
      </c>
      <c r="F72" s="12" t="n">
        <v>6463347</v>
      </c>
      <c r="G72" s="12" t="n">
        <v>1001297</v>
      </c>
      <c r="H72" s="12" t="n">
        <v>110051777</v>
      </c>
      <c r="I72" s="16" t="n">
        <v>44.9</v>
      </c>
      <c r="J72" s="13" t="n">
        <v>0.083</v>
      </c>
      <c r="K72" s="16" t="n">
        <v>25</v>
      </c>
      <c r="L72" s="13" t="n">
        <f aca="false">IF(SUMIFS($F$2:$F$397,$A$2:$A$397,A72)=0,0,F72/SUMIFS($F$2:$F$397,$A$2:$A$397,A72))</f>
        <v>0.0712285766182285</v>
      </c>
    </row>
    <row r="73" customFormat="false" ht="15" hidden="false" customHeight="false" outlineLevel="0" collapsed="false">
      <c r="A73" s="10" t="n">
        <v>45108</v>
      </c>
      <c r="B73" s="18" t="n">
        <f aca="false">YEAR(A73)</f>
        <v>2023</v>
      </c>
      <c r="C73" s="19" t="str">
        <f aca="false">"Q"&amp;ROUNDUP(MONTH(A73)/3,0)</f>
        <v>Q3</v>
      </c>
      <c r="D73" s="19" t="s">
        <v>219</v>
      </c>
      <c r="E73" s="19" t="s">
        <v>218</v>
      </c>
      <c r="F73" s="12" t="n">
        <v>4890424</v>
      </c>
      <c r="G73" s="12" t="n">
        <v>872271</v>
      </c>
      <c r="H73" s="12" t="n">
        <v>81670624</v>
      </c>
      <c r="I73" s="16" t="n">
        <v>42.6</v>
      </c>
      <c r="J73" s="13" t="n">
        <v>0.092</v>
      </c>
      <c r="K73" s="16" t="n">
        <v>24.1</v>
      </c>
      <c r="L73" s="13" t="n">
        <f aca="false">IF(SUMIFS($F$2:$F$397,$A$2:$A$397,A73)=0,0,F73/SUMIFS($F$2:$F$397,$A$2:$A$397,A73))</f>
        <v>0.0538943585389464</v>
      </c>
    </row>
    <row r="74" customFormat="false" ht="15" hidden="false" customHeight="false" outlineLevel="0" collapsed="false">
      <c r="A74" s="10" t="n">
        <v>45108</v>
      </c>
      <c r="B74" s="18" t="n">
        <f aca="false">YEAR(A74)</f>
        <v>2023</v>
      </c>
      <c r="C74" s="19" t="str">
        <f aca="false">"Q"&amp;ROUNDUP(MONTH(A74)/3,0)</f>
        <v>Q3</v>
      </c>
      <c r="D74" s="19" t="s">
        <v>220</v>
      </c>
      <c r="E74" s="19" t="s">
        <v>214</v>
      </c>
      <c r="F74" s="12" t="n">
        <v>4463398</v>
      </c>
      <c r="G74" s="12" t="n">
        <v>748300</v>
      </c>
      <c r="H74" s="12" t="n">
        <v>64560162</v>
      </c>
      <c r="I74" s="16" t="n">
        <v>39.2</v>
      </c>
      <c r="J74" s="13" t="n">
        <v>0.125</v>
      </c>
      <c r="K74" s="16" t="n">
        <v>18.4</v>
      </c>
      <c r="L74" s="13" t="n">
        <f aca="false">IF(SUMIFS($F$2:$F$397,$A$2:$A$397,A74)=0,0,F74/SUMIFS($F$2:$F$397,$A$2:$A$397,A74))</f>
        <v>0.0491883673305251</v>
      </c>
    </row>
    <row r="75" customFormat="false" ht="15" hidden="false" customHeight="false" outlineLevel="0" collapsed="false">
      <c r="A75" s="10" t="n">
        <v>45108</v>
      </c>
      <c r="B75" s="18" t="n">
        <f aca="false">YEAR(A75)</f>
        <v>2023</v>
      </c>
      <c r="C75" s="19" t="str">
        <f aca="false">"Q"&amp;ROUNDUP(MONTH(A75)/3,0)</f>
        <v>Q3</v>
      </c>
      <c r="D75" s="19" t="s">
        <v>221</v>
      </c>
      <c r="E75" s="19" t="s">
        <v>214</v>
      </c>
      <c r="F75" s="12" t="n">
        <v>3560757</v>
      </c>
      <c r="G75" s="12" t="n">
        <v>592955</v>
      </c>
      <c r="H75" s="12" t="n">
        <v>50999719</v>
      </c>
      <c r="I75" s="16" t="n">
        <v>39</v>
      </c>
      <c r="J75" s="13" t="n">
        <v>0.123</v>
      </c>
      <c r="K75" s="16" t="n">
        <v>17.1</v>
      </c>
      <c r="L75" s="13" t="n">
        <f aca="false">IF(SUMIFS($F$2:$F$397,$A$2:$A$397,A75)=0,0,F75/SUMIFS($F$2:$F$397,$A$2:$A$397,A75))</f>
        <v>0.0392409153946699</v>
      </c>
    </row>
    <row r="76" customFormat="false" ht="15" hidden="false" customHeight="false" outlineLevel="0" collapsed="false">
      <c r="A76" s="10" t="n">
        <v>45108</v>
      </c>
      <c r="B76" s="18" t="n">
        <f aca="false">YEAR(A76)</f>
        <v>2023</v>
      </c>
      <c r="C76" s="19" t="str">
        <f aca="false">"Q"&amp;ROUNDUP(MONTH(A76)/3,0)</f>
        <v>Q3</v>
      </c>
      <c r="D76" s="19" t="s">
        <v>222</v>
      </c>
      <c r="E76" s="19" t="s">
        <v>218</v>
      </c>
      <c r="F76" s="12" t="n">
        <v>4006734</v>
      </c>
      <c r="G76" s="12" t="n">
        <v>643606</v>
      </c>
      <c r="H76" s="12" t="n">
        <v>60855505</v>
      </c>
      <c r="I76" s="16" t="n">
        <v>42.1</v>
      </c>
      <c r="J76" s="13" t="n">
        <v>0.073</v>
      </c>
      <c r="K76" s="16" t="n">
        <v>22.5</v>
      </c>
      <c r="L76" s="13" t="n">
        <f aca="false">IF(SUMIFS($F$2:$F$397,$A$2:$A$397,A76)=0,0,F76/SUMIFS($F$2:$F$397,$A$2:$A$397,A76))</f>
        <v>0.0441557539318036</v>
      </c>
    </row>
    <row r="77" customFormat="false" ht="15" hidden="false" customHeight="false" outlineLevel="0" collapsed="false">
      <c r="A77" s="10" t="n">
        <v>45108</v>
      </c>
      <c r="B77" s="18" t="n">
        <f aca="false">YEAR(A77)</f>
        <v>2023</v>
      </c>
      <c r="C77" s="19" t="str">
        <f aca="false">"Q"&amp;ROUNDUP(MONTH(A77)/3,0)</f>
        <v>Q3</v>
      </c>
      <c r="D77" s="19" t="s">
        <v>223</v>
      </c>
      <c r="E77" s="19" t="s">
        <v>224</v>
      </c>
      <c r="F77" s="12" t="n">
        <v>3120855</v>
      </c>
      <c r="G77" s="12" t="n">
        <v>565693</v>
      </c>
      <c r="H77" s="12" t="n">
        <v>42905929</v>
      </c>
      <c r="I77" s="16" t="n">
        <v>39.3</v>
      </c>
      <c r="J77" s="13" t="n">
        <v>0.102</v>
      </c>
      <c r="K77" s="16" t="n">
        <v>18</v>
      </c>
      <c r="L77" s="13" t="n">
        <f aca="false">IF(SUMIFS($F$2:$F$397,$A$2:$A$397,A77)=0,0,F77/SUMIFS($F$2:$F$397,$A$2:$A$397,A77))</f>
        <v>0.034393025700443</v>
      </c>
    </row>
    <row r="78" customFormat="false" ht="15" hidden="false" customHeight="false" outlineLevel="0" collapsed="false">
      <c r="A78" s="10" t="n">
        <v>45108</v>
      </c>
      <c r="B78" s="18" t="n">
        <f aca="false">YEAR(A78)</f>
        <v>2023</v>
      </c>
      <c r="C78" s="19" t="str">
        <f aca="false">"Q"&amp;ROUNDUP(MONTH(A78)/3,0)</f>
        <v>Q3</v>
      </c>
      <c r="D78" s="19" t="s">
        <v>225</v>
      </c>
      <c r="E78" s="19" t="s">
        <v>226</v>
      </c>
      <c r="F78" s="12" t="n">
        <v>8333637</v>
      </c>
      <c r="G78" s="12" t="n">
        <v>1395528</v>
      </c>
      <c r="H78" s="12" t="n">
        <v>109812778</v>
      </c>
      <c r="I78" s="16" t="n">
        <v>38.5</v>
      </c>
      <c r="J78" s="13" t="n">
        <v>0.086</v>
      </c>
      <c r="K78" s="16" t="n">
        <v>16.5</v>
      </c>
      <c r="L78" s="13" t="n">
        <f aca="false">IF(SUMIFS($F$2:$F$397,$A$2:$A$397,A78)=0,0,F78/SUMIFS($F$2:$F$397,$A$2:$A$397,A78))</f>
        <v>0.0918398937211639</v>
      </c>
    </row>
    <row r="79" customFormat="false" ht="15" hidden="false" customHeight="false" outlineLevel="0" collapsed="false">
      <c r="A79" s="10" t="n">
        <v>45139</v>
      </c>
      <c r="B79" s="18" t="n">
        <f aca="false">YEAR(A79)</f>
        <v>2023</v>
      </c>
      <c r="C79" s="19" t="str">
        <f aca="false">"Q"&amp;ROUNDUP(MONTH(A79)/3,0)</f>
        <v>Q3</v>
      </c>
      <c r="D79" s="19" t="s">
        <v>211</v>
      </c>
      <c r="E79" s="19" t="s">
        <v>212</v>
      </c>
      <c r="F79" s="12" t="n">
        <v>28819627</v>
      </c>
      <c r="G79" s="12" t="n">
        <v>4803549</v>
      </c>
      <c r="H79" s="12" t="n">
        <v>405099092</v>
      </c>
      <c r="I79" s="16" t="n">
        <v>39.6</v>
      </c>
      <c r="J79" s="13" t="n">
        <v>0.108</v>
      </c>
      <c r="K79" s="16" t="n">
        <v>19.9</v>
      </c>
      <c r="L79" s="13" t="n">
        <f aca="false">IF(SUMIFS($F$2:$F$397,$A$2:$A$397,A79)=0,0,F79/SUMIFS($F$2:$F$397,$A$2:$A$397,A79))</f>
        <v>0.312849916495021</v>
      </c>
    </row>
    <row r="80" customFormat="false" ht="15" hidden="false" customHeight="false" outlineLevel="0" collapsed="false">
      <c r="A80" s="10" t="n">
        <v>45139</v>
      </c>
      <c r="B80" s="18" t="n">
        <f aca="false">YEAR(A80)</f>
        <v>2023</v>
      </c>
      <c r="C80" s="19" t="str">
        <f aca="false">"Q"&amp;ROUNDUP(MONTH(A80)/3,0)</f>
        <v>Q3</v>
      </c>
      <c r="D80" s="19" t="s">
        <v>213</v>
      </c>
      <c r="E80" s="19" t="s">
        <v>214</v>
      </c>
      <c r="F80" s="12" t="n">
        <v>14971168</v>
      </c>
      <c r="G80" s="12" t="n">
        <v>2425380</v>
      </c>
      <c r="H80" s="12" t="n">
        <v>227001672</v>
      </c>
      <c r="I80" s="16" t="n">
        <v>40</v>
      </c>
      <c r="J80" s="13" t="n">
        <v>0.136</v>
      </c>
      <c r="K80" s="16" t="n">
        <v>21.4</v>
      </c>
      <c r="L80" s="13" t="n">
        <f aca="false">IF(SUMIFS($F$2:$F$397,$A$2:$A$397,A80)=0,0,F80/SUMIFS($F$2:$F$397,$A$2:$A$397,A80))</f>
        <v>0.162518711940059</v>
      </c>
    </row>
    <row r="81" customFormat="false" ht="15" hidden="false" customHeight="false" outlineLevel="0" collapsed="false">
      <c r="A81" s="10" t="n">
        <v>45139</v>
      </c>
      <c r="B81" s="18" t="n">
        <f aca="false">YEAR(A81)</f>
        <v>2023</v>
      </c>
      <c r="C81" s="19" t="str">
        <f aca="false">"Q"&amp;ROUNDUP(MONTH(A81)/3,0)</f>
        <v>Q3</v>
      </c>
      <c r="D81" s="19" t="s">
        <v>215</v>
      </c>
      <c r="E81" s="19" t="s">
        <v>214</v>
      </c>
      <c r="F81" s="12" t="n">
        <v>8199304</v>
      </c>
      <c r="G81" s="12" t="n">
        <v>1449403</v>
      </c>
      <c r="H81" s="12" t="n">
        <v>119292573</v>
      </c>
      <c r="I81" s="16" t="n">
        <v>39.6</v>
      </c>
      <c r="J81" s="13" t="n">
        <v>0.131</v>
      </c>
      <c r="K81" s="16" t="n">
        <v>19.1</v>
      </c>
      <c r="L81" s="13" t="n">
        <f aca="false">IF(SUMIFS($F$2:$F$397,$A$2:$A$397,A81)=0,0,F81/SUMIFS($F$2:$F$397,$A$2:$A$397,A81))</f>
        <v>0.0890071051827733</v>
      </c>
    </row>
    <row r="82" customFormat="false" ht="15" hidden="false" customHeight="false" outlineLevel="0" collapsed="false">
      <c r="A82" s="10" t="n">
        <v>45139</v>
      </c>
      <c r="B82" s="18" t="n">
        <f aca="false">YEAR(A82)</f>
        <v>2023</v>
      </c>
      <c r="C82" s="19" t="str">
        <f aca="false">"Q"&amp;ROUNDUP(MONTH(A82)/3,0)</f>
        <v>Q3</v>
      </c>
      <c r="D82" s="19" t="s">
        <v>216</v>
      </c>
      <c r="E82" s="19" t="s">
        <v>212</v>
      </c>
      <c r="F82" s="12" t="n">
        <v>5193135</v>
      </c>
      <c r="G82" s="12" t="n">
        <v>958474</v>
      </c>
      <c r="H82" s="12" t="n">
        <v>70607730</v>
      </c>
      <c r="I82" s="16" t="n">
        <v>37.6</v>
      </c>
      <c r="J82" s="13" t="n">
        <v>0.114</v>
      </c>
      <c r="K82" s="16" t="n">
        <v>18.7</v>
      </c>
      <c r="L82" s="13" t="n">
        <f aca="false">IF(SUMIFS($F$2:$F$397,$A$2:$A$397,A82)=0,0,F82/SUMIFS($F$2:$F$397,$A$2:$A$397,A82))</f>
        <v>0.056373798699663</v>
      </c>
    </row>
    <row r="83" customFormat="false" ht="15" hidden="false" customHeight="false" outlineLevel="0" collapsed="false">
      <c r="A83" s="10" t="n">
        <v>45139</v>
      </c>
      <c r="B83" s="18" t="n">
        <f aca="false">YEAR(A83)</f>
        <v>2023</v>
      </c>
      <c r="C83" s="19" t="str">
        <f aca="false">"Q"&amp;ROUNDUP(MONTH(A83)/3,0)</f>
        <v>Q3</v>
      </c>
      <c r="D83" s="19" t="s">
        <v>217</v>
      </c>
      <c r="E83" s="19" t="s">
        <v>218</v>
      </c>
      <c r="F83" s="12" t="n">
        <v>6654788</v>
      </c>
      <c r="G83" s="12" t="n">
        <v>1126127</v>
      </c>
      <c r="H83" s="12" t="n">
        <v>111696351</v>
      </c>
      <c r="I83" s="16" t="n">
        <v>44.6</v>
      </c>
      <c r="J83" s="13" t="n">
        <v>0.086</v>
      </c>
      <c r="K83" s="16" t="n">
        <v>24.6</v>
      </c>
      <c r="L83" s="13" t="n">
        <f aca="false">IF(SUMIFS($F$2:$F$397,$A$2:$A$397,A83)=0,0,F83/SUMIFS($F$2:$F$397,$A$2:$A$397,A83))</f>
        <v>0.0722406945132243</v>
      </c>
    </row>
    <row r="84" customFormat="false" ht="15" hidden="false" customHeight="false" outlineLevel="0" collapsed="false">
      <c r="A84" s="10" t="n">
        <v>45139</v>
      </c>
      <c r="B84" s="18" t="n">
        <f aca="false">YEAR(A84)</f>
        <v>2023</v>
      </c>
      <c r="C84" s="19" t="str">
        <f aca="false">"Q"&amp;ROUNDUP(MONTH(A84)/3,0)</f>
        <v>Q3</v>
      </c>
      <c r="D84" s="19" t="s">
        <v>219</v>
      </c>
      <c r="E84" s="19" t="s">
        <v>218</v>
      </c>
      <c r="F84" s="12" t="n">
        <v>5221947</v>
      </c>
      <c r="G84" s="12" t="n">
        <v>852597</v>
      </c>
      <c r="H84" s="12" t="n">
        <v>86507109</v>
      </c>
      <c r="I84" s="16" t="n">
        <v>43.8</v>
      </c>
      <c r="J84" s="13" t="n">
        <v>0.09</v>
      </c>
      <c r="K84" s="16" t="n">
        <v>23.8</v>
      </c>
      <c r="L84" s="13" t="n">
        <f aca="false">IF(SUMIFS($F$2:$F$397,$A$2:$A$397,A84)=0,0,F84/SUMIFS($F$2:$F$397,$A$2:$A$397,A84))</f>
        <v>0.0566865658216682</v>
      </c>
    </row>
    <row r="85" customFormat="false" ht="15" hidden="false" customHeight="false" outlineLevel="0" collapsed="false">
      <c r="A85" s="10" t="n">
        <v>45139</v>
      </c>
      <c r="B85" s="18" t="n">
        <f aca="false">YEAR(A85)</f>
        <v>2023</v>
      </c>
      <c r="C85" s="19" t="str">
        <f aca="false">"Q"&amp;ROUNDUP(MONTH(A85)/3,0)</f>
        <v>Q3</v>
      </c>
      <c r="D85" s="19" t="s">
        <v>220</v>
      </c>
      <c r="E85" s="19" t="s">
        <v>214</v>
      </c>
      <c r="F85" s="12" t="n">
        <v>4460167</v>
      </c>
      <c r="G85" s="12" t="n">
        <v>830933</v>
      </c>
      <c r="H85" s="12" t="n">
        <v>65177650</v>
      </c>
      <c r="I85" s="16" t="n">
        <v>39.3</v>
      </c>
      <c r="J85" s="13" t="n">
        <v>0.124</v>
      </c>
      <c r="K85" s="16" t="n">
        <v>17.1</v>
      </c>
      <c r="L85" s="13" t="n">
        <f aca="false">IF(SUMIFS($F$2:$F$397,$A$2:$A$397,A85)=0,0,F85/SUMIFS($F$2:$F$397,$A$2:$A$397,A85))</f>
        <v>0.0484171038543923</v>
      </c>
    </row>
    <row r="86" customFormat="false" ht="15" hidden="false" customHeight="false" outlineLevel="0" collapsed="false">
      <c r="A86" s="10" t="n">
        <v>45139</v>
      </c>
      <c r="B86" s="18" t="n">
        <f aca="false">YEAR(A86)</f>
        <v>2023</v>
      </c>
      <c r="C86" s="19" t="str">
        <f aca="false">"Q"&amp;ROUNDUP(MONTH(A86)/3,0)</f>
        <v>Q3</v>
      </c>
      <c r="D86" s="19" t="s">
        <v>221</v>
      </c>
      <c r="E86" s="19" t="s">
        <v>214</v>
      </c>
      <c r="F86" s="12" t="n">
        <v>3456314</v>
      </c>
      <c r="G86" s="12" t="n">
        <v>561616</v>
      </c>
      <c r="H86" s="12" t="n">
        <v>47024848</v>
      </c>
      <c r="I86" s="16" t="n">
        <v>38.7</v>
      </c>
      <c r="J86" s="13" t="n">
        <v>0.127</v>
      </c>
      <c r="K86" s="16" t="n">
        <v>18.3</v>
      </c>
      <c r="L86" s="13" t="n">
        <f aca="false">IF(SUMIFS($F$2:$F$397,$A$2:$A$397,A86)=0,0,F86/SUMIFS($F$2:$F$397,$A$2:$A$397,A86))</f>
        <v>0.0375198314079697</v>
      </c>
    </row>
    <row r="87" customFormat="false" ht="15" hidden="false" customHeight="false" outlineLevel="0" collapsed="false">
      <c r="A87" s="10" t="n">
        <v>45139</v>
      </c>
      <c r="B87" s="18" t="n">
        <f aca="false">YEAR(A87)</f>
        <v>2023</v>
      </c>
      <c r="C87" s="19" t="str">
        <f aca="false">"Q"&amp;ROUNDUP(MONTH(A87)/3,0)</f>
        <v>Q3</v>
      </c>
      <c r="D87" s="19" t="s">
        <v>222</v>
      </c>
      <c r="E87" s="19" t="s">
        <v>218</v>
      </c>
      <c r="F87" s="12" t="n">
        <v>3829049</v>
      </c>
      <c r="G87" s="12" t="n">
        <v>685463</v>
      </c>
      <c r="H87" s="12" t="n">
        <v>59354321</v>
      </c>
      <c r="I87" s="16" t="n">
        <v>42.3</v>
      </c>
      <c r="J87" s="13" t="n">
        <v>0.07</v>
      </c>
      <c r="K87" s="16" t="n">
        <v>23.1</v>
      </c>
      <c r="L87" s="13" t="n">
        <f aca="false">IF(SUMIFS($F$2:$F$397,$A$2:$A$397,A87)=0,0,F87/SUMIFS($F$2:$F$397,$A$2:$A$397,A87))</f>
        <v>0.0415660362261227</v>
      </c>
    </row>
    <row r="88" customFormat="false" ht="15" hidden="false" customHeight="false" outlineLevel="0" collapsed="false">
      <c r="A88" s="10" t="n">
        <v>45139</v>
      </c>
      <c r="B88" s="18" t="n">
        <f aca="false">YEAR(A88)</f>
        <v>2023</v>
      </c>
      <c r="C88" s="19" t="str">
        <f aca="false">"Q"&amp;ROUNDUP(MONTH(A88)/3,0)</f>
        <v>Q3</v>
      </c>
      <c r="D88" s="19" t="s">
        <v>223</v>
      </c>
      <c r="E88" s="19" t="s">
        <v>224</v>
      </c>
      <c r="F88" s="12" t="n">
        <v>3107919</v>
      </c>
      <c r="G88" s="12" t="n">
        <v>537021</v>
      </c>
      <c r="H88" s="12" t="n">
        <v>47054642</v>
      </c>
      <c r="I88" s="16" t="n">
        <v>41.1</v>
      </c>
      <c r="J88" s="13" t="n">
        <v>0.104</v>
      </c>
      <c r="K88" s="16" t="n">
        <v>17.8</v>
      </c>
      <c r="L88" s="13" t="n">
        <f aca="false">IF(SUMIFS($F$2:$F$397,$A$2:$A$397,A88)=0,0,F88/SUMIFS($F$2:$F$397,$A$2:$A$397,A88))</f>
        <v>0.0337378481554702</v>
      </c>
    </row>
    <row r="89" customFormat="false" ht="15" hidden="false" customHeight="false" outlineLevel="0" collapsed="false">
      <c r="A89" s="10" t="n">
        <v>45139</v>
      </c>
      <c r="B89" s="18" t="n">
        <f aca="false">YEAR(A89)</f>
        <v>2023</v>
      </c>
      <c r="C89" s="19" t="str">
        <f aca="false">"Q"&amp;ROUNDUP(MONTH(A89)/3,0)</f>
        <v>Q3</v>
      </c>
      <c r="D89" s="19" t="s">
        <v>225</v>
      </c>
      <c r="E89" s="19" t="s">
        <v>226</v>
      </c>
      <c r="F89" s="12" t="n">
        <v>8206239</v>
      </c>
      <c r="G89" s="12" t="n">
        <v>1451644</v>
      </c>
      <c r="H89" s="12" t="n">
        <v>117534377</v>
      </c>
      <c r="I89" s="16" t="n">
        <v>38</v>
      </c>
      <c r="J89" s="13" t="n">
        <v>0.097</v>
      </c>
      <c r="K89" s="16" t="n">
        <v>16.7</v>
      </c>
      <c r="L89" s="13" t="n">
        <f aca="false">IF(SUMIFS($F$2:$F$397,$A$2:$A$397,A89)=0,0,F89/SUMIFS($F$2:$F$397,$A$2:$A$397,A89))</f>
        <v>0.0890823877036364</v>
      </c>
    </row>
    <row r="90" customFormat="false" ht="15" hidden="false" customHeight="false" outlineLevel="0" collapsed="false">
      <c r="A90" s="10" t="n">
        <v>45170</v>
      </c>
      <c r="B90" s="18" t="n">
        <f aca="false">YEAR(A90)</f>
        <v>2023</v>
      </c>
      <c r="C90" s="19" t="str">
        <f aca="false">"Q"&amp;ROUNDUP(MONTH(A90)/3,0)</f>
        <v>Q3</v>
      </c>
      <c r="D90" s="19" t="s">
        <v>211</v>
      </c>
      <c r="E90" s="19" t="s">
        <v>212</v>
      </c>
      <c r="F90" s="12" t="n">
        <v>29098695</v>
      </c>
      <c r="G90" s="12" t="n">
        <v>4979043</v>
      </c>
      <c r="H90" s="12" t="n">
        <v>441507735</v>
      </c>
      <c r="I90" s="16" t="n">
        <v>39.9</v>
      </c>
      <c r="J90" s="13" t="n">
        <v>0.107</v>
      </c>
      <c r="K90" s="16" t="n">
        <v>20.1</v>
      </c>
      <c r="L90" s="13" t="n">
        <f aca="false">IF(SUMIFS($F$2:$F$397,$A$2:$A$397,A90)=0,0,F90/SUMIFS($F$2:$F$397,$A$2:$A$397,A90))</f>
        <v>0.30122154229365</v>
      </c>
    </row>
    <row r="91" customFormat="false" ht="15" hidden="false" customHeight="false" outlineLevel="0" collapsed="false">
      <c r="A91" s="10" t="n">
        <v>45170</v>
      </c>
      <c r="B91" s="18" t="n">
        <f aca="false">YEAR(A91)</f>
        <v>2023</v>
      </c>
      <c r="C91" s="19" t="str">
        <f aca="false">"Q"&amp;ROUNDUP(MONTH(A91)/3,0)</f>
        <v>Q3</v>
      </c>
      <c r="D91" s="19" t="s">
        <v>213</v>
      </c>
      <c r="E91" s="19" t="s">
        <v>214</v>
      </c>
      <c r="F91" s="12" t="n">
        <v>16736422</v>
      </c>
      <c r="G91" s="12" t="n">
        <v>2813391</v>
      </c>
      <c r="H91" s="12" t="n">
        <v>250373977</v>
      </c>
      <c r="I91" s="16" t="n">
        <v>39.5</v>
      </c>
      <c r="J91" s="13" t="n">
        <v>0.134</v>
      </c>
      <c r="K91" s="16" t="n">
        <v>21.2</v>
      </c>
      <c r="L91" s="13" t="n">
        <f aca="false">IF(SUMIFS($F$2:$F$397,$A$2:$A$397,A91)=0,0,F91/SUMIFS($F$2:$F$397,$A$2:$A$397,A91))</f>
        <v>0.173250753936469</v>
      </c>
    </row>
    <row r="92" customFormat="false" ht="15" hidden="false" customHeight="false" outlineLevel="0" collapsed="false">
      <c r="A92" s="10" t="n">
        <v>45170</v>
      </c>
      <c r="B92" s="18" t="n">
        <f aca="false">YEAR(A92)</f>
        <v>2023</v>
      </c>
      <c r="C92" s="19" t="str">
        <f aca="false">"Q"&amp;ROUNDUP(MONTH(A92)/3,0)</f>
        <v>Q3</v>
      </c>
      <c r="D92" s="19" t="s">
        <v>215</v>
      </c>
      <c r="E92" s="19" t="s">
        <v>214</v>
      </c>
      <c r="F92" s="12" t="n">
        <v>8425380</v>
      </c>
      <c r="G92" s="12" t="n">
        <v>1365573</v>
      </c>
      <c r="H92" s="12" t="n">
        <v>119733928</v>
      </c>
      <c r="I92" s="16" t="n">
        <v>38.9</v>
      </c>
      <c r="J92" s="13" t="n">
        <v>0.124</v>
      </c>
      <c r="K92" s="16" t="n">
        <v>19.3</v>
      </c>
      <c r="L92" s="13" t="n">
        <f aca="false">IF(SUMIFS($F$2:$F$397,$A$2:$A$397,A92)=0,0,F92/SUMIFS($F$2:$F$397,$A$2:$A$397,A92))</f>
        <v>0.0872171744475163</v>
      </c>
    </row>
    <row r="93" customFormat="false" ht="15" hidden="false" customHeight="false" outlineLevel="0" collapsed="false">
      <c r="A93" s="10" t="n">
        <v>45170</v>
      </c>
      <c r="B93" s="18" t="n">
        <f aca="false">YEAR(A93)</f>
        <v>2023</v>
      </c>
      <c r="C93" s="19" t="str">
        <f aca="false">"Q"&amp;ROUNDUP(MONTH(A93)/3,0)</f>
        <v>Q3</v>
      </c>
      <c r="D93" s="19" t="s">
        <v>216</v>
      </c>
      <c r="E93" s="19" t="s">
        <v>212</v>
      </c>
      <c r="F93" s="12" t="n">
        <v>5854968</v>
      </c>
      <c r="G93" s="12" t="n">
        <v>972625</v>
      </c>
      <c r="H93" s="12" t="n">
        <v>83757494</v>
      </c>
      <c r="I93" s="16" t="n">
        <v>37.9</v>
      </c>
      <c r="J93" s="13" t="n">
        <v>0.116</v>
      </c>
      <c r="K93" s="16" t="n">
        <v>18.9</v>
      </c>
      <c r="L93" s="13" t="n">
        <f aca="false">IF(SUMIFS($F$2:$F$397,$A$2:$A$397,A93)=0,0,F93/SUMIFS($F$2:$F$397,$A$2:$A$397,A93))</f>
        <v>0.0606089892017482</v>
      </c>
    </row>
    <row r="94" customFormat="false" ht="15" hidden="false" customHeight="false" outlineLevel="0" collapsed="false">
      <c r="A94" s="10" t="n">
        <v>45170</v>
      </c>
      <c r="B94" s="18" t="n">
        <f aca="false">YEAR(A94)</f>
        <v>2023</v>
      </c>
      <c r="C94" s="19" t="str">
        <f aca="false">"Q"&amp;ROUNDUP(MONTH(A94)/3,0)</f>
        <v>Q3</v>
      </c>
      <c r="D94" s="19" t="s">
        <v>217</v>
      </c>
      <c r="E94" s="19" t="s">
        <v>218</v>
      </c>
      <c r="F94" s="12" t="n">
        <v>7012420</v>
      </c>
      <c r="G94" s="12" t="n">
        <v>1226197</v>
      </c>
      <c r="H94" s="12" t="n">
        <v>114373731</v>
      </c>
      <c r="I94" s="16" t="n">
        <v>44.5</v>
      </c>
      <c r="J94" s="13" t="n">
        <v>0.083</v>
      </c>
      <c r="K94" s="16" t="n">
        <v>26.1</v>
      </c>
      <c r="L94" s="13" t="n">
        <f aca="false">IF(SUMIFS($F$2:$F$397,$A$2:$A$397,A94)=0,0,F94/SUMIFS($F$2:$F$397,$A$2:$A$397,A94))</f>
        <v>0.0725906081908771</v>
      </c>
    </row>
    <row r="95" customFormat="false" ht="15" hidden="false" customHeight="false" outlineLevel="0" collapsed="false">
      <c r="A95" s="10" t="n">
        <v>45170</v>
      </c>
      <c r="B95" s="18" t="n">
        <f aca="false">YEAR(A95)</f>
        <v>2023</v>
      </c>
      <c r="C95" s="19" t="str">
        <f aca="false">"Q"&amp;ROUNDUP(MONTH(A95)/3,0)</f>
        <v>Q3</v>
      </c>
      <c r="D95" s="19" t="s">
        <v>219</v>
      </c>
      <c r="E95" s="19" t="s">
        <v>218</v>
      </c>
      <c r="F95" s="12" t="n">
        <v>5195234</v>
      </c>
      <c r="G95" s="12" t="n">
        <v>853350</v>
      </c>
      <c r="H95" s="12" t="n">
        <v>83100058</v>
      </c>
      <c r="I95" s="16" t="n">
        <v>42.9</v>
      </c>
      <c r="J95" s="13" t="n">
        <v>0.093</v>
      </c>
      <c r="K95" s="16" t="n">
        <v>24.5</v>
      </c>
      <c r="L95" s="13" t="n">
        <f aca="false">IF(SUMIFS($F$2:$F$397,$A$2:$A$397,A95)=0,0,F95/SUMIFS($F$2:$F$397,$A$2:$A$397,A95))</f>
        <v>0.0537796075754052</v>
      </c>
    </row>
    <row r="96" customFormat="false" ht="15" hidden="false" customHeight="false" outlineLevel="0" collapsed="false">
      <c r="A96" s="10" t="n">
        <v>45170</v>
      </c>
      <c r="B96" s="18" t="n">
        <f aca="false">YEAR(A96)</f>
        <v>2023</v>
      </c>
      <c r="C96" s="19" t="str">
        <f aca="false">"Q"&amp;ROUNDUP(MONTH(A96)/3,0)</f>
        <v>Q3</v>
      </c>
      <c r="D96" s="19" t="s">
        <v>220</v>
      </c>
      <c r="E96" s="19" t="s">
        <v>214</v>
      </c>
      <c r="F96" s="12" t="n">
        <v>4590933</v>
      </c>
      <c r="G96" s="12" t="n">
        <v>782222</v>
      </c>
      <c r="H96" s="12" t="n">
        <v>68409495</v>
      </c>
      <c r="I96" s="16" t="n">
        <v>40.2</v>
      </c>
      <c r="J96" s="13" t="n">
        <v>0.123</v>
      </c>
      <c r="K96" s="16" t="n">
        <v>18.5</v>
      </c>
      <c r="L96" s="13" t="n">
        <f aca="false">IF(SUMIFS($F$2:$F$397,$A$2:$A$397,A96)=0,0,F96/SUMIFS($F$2:$F$397,$A$2:$A$397,A96))</f>
        <v>0.0475240528424664</v>
      </c>
    </row>
    <row r="97" customFormat="false" ht="15" hidden="false" customHeight="false" outlineLevel="0" collapsed="false">
      <c r="A97" s="10" t="n">
        <v>45170</v>
      </c>
      <c r="B97" s="18" t="n">
        <f aca="false">YEAR(A97)</f>
        <v>2023</v>
      </c>
      <c r="C97" s="19" t="str">
        <f aca="false">"Q"&amp;ROUNDUP(MONTH(A97)/3,0)</f>
        <v>Q3</v>
      </c>
      <c r="D97" s="19" t="s">
        <v>221</v>
      </c>
      <c r="E97" s="19" t="s">
        <v>214</v>
      </c>
      <c r="F97" s="12" t="n">
        <v>3610277</v>
      </c>
      <c r="G97" s="12" t="n">
        <v>578207</v>
      </c>
      <c r="H97" s="12" t="n">
        <v>51883007</v>
      </c>
      <c r="I97" s="16" t="n">
        <v>38.7</v>
      </c>
      <c r="J97" s="13" t="n">
        <v>0.121</v>
      </c>
      <c r="K97" s="16" t="n">
        <v>18.6</v>
      </c>
      <c r="L97" s="13" t="n">
        <f aca="false">IF(SUMIFS($F$2:$F$397,$A$2:$A$397,A97)=0,0,F97/SUMIFS($F$2:$F$397,$A$2:$A$397,A97))</f>
        <v>0.0373725765381331</v>
      </c>
    </row>
    <row r="98" customFormat="false" ht="15" hidden="false" customHeight="false" outlineLevel="0" collapsed="false">
      <c r="A98" s="10" t="n">
        <v>45170</v>
      </c>
      <c r="B98" s="18" t="n">
        <f aca="false">YEAR(A98)</f>
        <v>2023</v>
      </c>
      <c r="C98" s="19" t="str">
        <f aca="false">"Q"&amp;ROUNDUP(MONTH(A98)/3,0)</f>
        <v>Q3</v>
      </c>
      <c r="D98" s="19" t="s">
        <v>222</v>
      </c>
      <c r="E98" s="19" t="s">
        <v>218</v>
      </c>
      <c r="F98" s="12" t="n">
        <v>4226724</v>
      </c>
      <c r="G98" s="12" t="n">
        <v>684528</v>
      </c>
      <c r="H98" s="12" t="n">
        <v>66426632</v>
      </c>
      <c r="I98" s="16" t="n">
        <v>43.3</v>
      </c>
      <c r="J98" s="13" t="n">
        <v>0.071</v>
      </c>
      <c r="K98" s="16" t="n">
        <v>23.3</v>
      </c>
      <c r="L98" s="13" t="n">
        <f aca="false">IF(SUMIFS($F$2:$F$397,$A$2:$A$397,A98)=0,0,F98/SUMIFS($F$2:$F$397,$A$2:$A$397,A98))</f>
        <v>0.0437538632618949</v>
      </c>
    </row>
    <row r="99" customFormat="false" ht="15" hidden="false" customHeight="false" outlineLevel="0" collapsed="false">
      <c r="A99" s="10" t="n">
        <v>45170</v>
      </c>
      <c r="B99" s="18" t="n">
        <f aca="false">YEAR(A99)</f>
        <v>2023</v>
      </c>
      <c r="C99" s="19" t="str">
        <f aca="false">"Q"&amp;ROUNDUP(MONTH(A99)/3,0)</f>
        <v>Q3</v>
      </c>
      <c r="D99" s="19" t="s">
        <v>223</v>
      </c>
      <c r="E99" s="19" t="s">
        <v>224</v>
      </c>
      <c r="F99" s="12" t="n">
        <v>3322341</v>
      </c>
      <c r="G99" s="12" t="n">
        <v>521392</v>
      </c>
      <c r="H99" s="12" t="n">
        <v>48384257</v>
      </c>
      <c r="I99" s="16" t="n">
        <v>39.9</v>
      </c>
      <c r="J99" s="13" t="n">
        <v>0.102</v>
      </c>
      <c r="K99" s="16" t="n">
        <v>17.8</v>
      </c>
      <c r="L99" s="13" t="n">
        <f aca="false">IF(SUMIFS($F$2:$F$397,$A$2:$A$397,A99)=0,0,F99/SUMIFS($F$2:$F$397,$A$2:$A$397,A99))</f>
        <v>0.034391943695256</v>
      </c>
    </row>
    <row r="100" customFormat="false" ht="15" hidden="false" customHeight="false" outlineLevel="0" collapsed="false">
      <c r="A100" s="10" t="n">
        <v>45170</v>
      </c>
      <c r="B100" s="18" t="n">
        <f aca="false">YEAR(A100)</f>
        <v>2023</v>
      </c>
      <c r="C100" s="19" t="str">
        <f aca="false">"Q"&amp;ROUNDUP(MONTH(A100)/3,0)</f>
        <v>Q3</v>
      </c>
      <c r="D100" s="19" t="s">
        <v>225</v>
      </c>
      <c r="E100" s="19" t="s">
        <v>226</v>
      </c>
      <c r="F100" s="12" t="n">
        <v>8528910</v>
      </c>
      <c r="G100" s="12" t="n">
        <v>1529472</v>
      </c>
      <c r="H100" s="12" t="n">
        <v>120972137</v>
      </c>
      <c r="I100" s="16" t="n">
        <v>36.8</v>
      </c>
      <c r="J100" s="13" t="n">
        <v>0.096</v>
      </c>
      <c r="K100" s="16" t="n">
        <v>16.2</v>
      </c>
      <c r="L100" s="13" t="n">
        <f aca="false">IF(SUMIFS($F$2:$F$397,$A$2:$A$397,A100)=0,0,F100/SUMIFS($F$2:$F$397,$A$2:$A$397,A100))</f>
        <v>0.088288888016584</v>
      </c>
    </row>
    <row r="101" customFormat="false" ht="15" hidden="false" customHeight="false" outlineLevel="0" collapsed="false">
      <c r="A101" s="10" t="n">
        <v>45200</v>
      </c>
      <c r="B101" s="18" t="n">
        <f aca="false">YEAR(A101)</f>
        <v>2023</v>
      </c>
      <c r="C101" s="19" t="str">
        <f aca="false">"Q"&amp;ROUNDUP(MONTH(A101)/3,0)</f>
        <v>Q4</v>
      </c>
      <c r="D101" s="19" t="s">
        <v>211</v>
      </c>
      <c r="E101" s="19" t="s">
        <v>212</v>
      </c>
      <c r="F101" s="12" t="n">
        <v>29420861</v>
      </c>
      <c r="G101" s="12" t="n">
        <v>4751023</v>
      </c>
      <c r="H101" s="12" t="n">
        <v>459547749</v>
      </c>
      <c r="I101" s="16" t="n">
        <v>40.9</v>
      </c>
      <c r="J101" s="13" t="n">
        <v>0.115</v>
      </c>
      <c r="K101" s="16" t="n">
        <v>21.1</v>
      </c>
      <c r="L101" s="13" t="n">
        <f aca="false">IF(SUMIFS($F$2:$F$397,$A$2:$A$397,A101)=0,0,F101/SUMIFS($F$2:$F$397,$A$2:$A$397,A101))</f>
        <v>0.299150653584886</v>
      </c>
    </row>
    <row r="102" customFormat="false" ht="15" hidden="false" customHeight="false" outlineLevel="0" collapsed="false">
      <c r="A102" s="10" t="n">
        <v>45200</v>
      </c>
      <c r="B102" s="18" t="n">
        <f aca="false">YEAR(A102)</f>
        <v>2023</v>
      </c>
      <c r="C102" s="19" t="str">
        <f aca="false">"Q"&amp;ROUNDUP(MONTH(A102)/3,0)</f>
        <v>Q4</v>
      </c>
      <c r="D102" s="19" t="s">
        <v>213</v>
      </c>
      <c r="E102" s="19" t="s">
        <v>214</v>
      </c>
      <c r="F102" s="12" t="n">
        <v>15970542</v>
      </c>
      <c r="G102" s="12" t="n">
        <v>2699697</v>
      </c>
      <c r="H102" s="12" t="n">
        <v>230318976</v>
      </c>
      <c r="I102" s="16" t="n">
        <v>39.5</v>
      </c>
      <c r="J102" s="13" t="n">
        <v>0.137</v>
      </c>
      <c r="K102" s="16" t="n">
        <v>22.1</v>
      </c>
      <c r="L102" s="13" t="n">
        <f aca="false">IF(SUMIFS($F$2:$F$397,$A$2:$A$397,A102)=0,0,F102/SUMIFS($F$2:$F$397,$A$2:$A$397,A102))</f>
        <v>0.16238811221075</v>
      </c>
    </row>
    <row r="103" customFormat="false" ht="15" hidden="false" customHeight="false" outlineLevel="0" collapsed="false">
      <c r="A103" s="10" t="n">
        <v>45200</v>
      </c>
      <c r="B103" s="18" t="n">
        <f aca="false">YEAR(A103)</f>
        <v>2023</v>
      </c>
      <c r="C103" s="19" t="str">
        <f aca="false">"Q"&amp;ROUNDUP(MONTH(A103)/3,0)</f>
        <v>Q4</v>
      </c>
      <c r="D103" s="19" t="s">
        <v>215</v>
      </c>
      <c r="E103" s="19" t="s">
        <v>214</v>
      </c>
      <c r="F103" s="12" t="n">
        <v>9103137</v>
      </c>
      <c r="G103" s="12" t="n">
        <v>1509189</v>
      </c>
      <c r="H103" s="12" t="n">
        <v>135876131</v>
      </c>
      <c r="I103" s="16" t="n">
        <v>39</v>
      </c>
      <c r="J103" s="13" t="n">
        <v>0.123</v>
      </c>
      <c r="K103" s="16" t="n">
        <v>19.2</v>
      </c>
      <c r="L103" s="13" t="n">
        <f aca="false">IF(SUMIFS($F$2:$F$397,$A$2:$A$397,A103)=0,0,F103/SUMIFS($F$2:$F$397,$A$2:$A$397,A103))</f>
        <v>0.0925604924758237</v>
      </c>
    </row>
    <row r="104" customFormat="false" ht="15" hidden="false" customHeight="false" outlineLevel="0" collapsed="false">
      <c r="A104" s="10" t="n">
        <v>45200</v>
      </c>
      <c r="B104" s="18" t="n">
        <f aca="false">YEAR(A104)</f>
        <v>2023</v>
      </c>
      <c r="C104" s="19" t="str">
        <f aca="false">"Q"&amp;ROUNDUP(MONTH(A104)/3,0)</f>
        <v>Q4</v>
      </c>
      <c r="D104" s="19" t="s">
        <v>216</v>
      </c>
      <c r="E104" s="19" t="s">
        <v>212</v>
      </c>
      <c r="F104" s="12" t="n">
        <v>5700080</v>
      </c>
      <c r="G104" s="12" t="n">
        <v>996110</v>
      </c>
      <c r="H104" s="12" t="n">
        <v>80761393</v>
      </c>
      <c r="I104" s="16" t="n">
        <v>38.8</v>
      </c>
      <c r="J104" s="13" t="n">
        <v>0.113</v>
      </c>
      <c r="K104" s="16" t="n">
        <v>17.8</v>
      </c>
      <c r="L104" s="13" t="n">
        <f aca="false">IF(SUMIFS($F$2:$F$397,$A$2:$A$397,A104)=0,0,F104/SUMIFS($F$2:$F$397,$A$2:$A$397,A104))</f>
        <v>0.057958285363781</v>
      </c>
    </row>
    <row r="105" customFormat="false" ht="15" hidden="false" customHeight="false" outlineLevel="0" collapsed="false">
      <c r="A105" s="10" t="n">
        <v>45200</v>
      </c>
      <c r="B105" s="18" t="n">
        <f aca="false">YEAR(A105)</f>
        <v>2023</v>
      </c>
      <c r="C105" s="19" t="str">
        <f aca="false">"Q"&amp;ROUNDUP(MONTH(A105)/3,0)</f>
        <v>Q4</v>
      </c>
      <c r="D105" s="19" t="s">
        <v>217</v>
      </c>
      <c r="E105" s="19" t="s">
        <v>218</v>
      </c>
      <c r="F105" s="12" t="n">
        <v>7456138</v>
      </c>
      <c r="G105" s="12" t="n">
        <v>1247641</v>
      </c>
      <c r="H105" s="12" t="n">
        <v>120243080</v>
      </c>
      <c r="I105" s="16" t="n">
        <v>45.6</v>
      </c>
      <c r="J105" s="13" t="n">
        <v>0.083</v>
      </c>
      <c r="K105" s="16" t="n">
        <v>26.2</v>
      </c>
      <c r="L105" s="13" t="n">
        <f aca="false">IF(SUMIFS($F$2:$F$397,$A$2:$A$397,A105)=0,0,F105/SUMIFS($F$2:$F$397,$A$2:$A$397,A105))</f>
        <v>0.0758138436505683</v>
      </c>
    </row>
    <row r="106" customFormat="false" ht="15" hidden="false" customHeight="false" outlineLevel="0" collapsed="false">
      <c r="A106" s="10" t="n">
        <v>45200</v>
      </c>
      <c r="B106" s="18" t="n">
        <f aca="false">YEAR(A106)</f>
        <v>2023</v>
      </c>
      <c r="C106" s="19" t="str">
        <f aca="false">"Q"&amp;ROUNDUP(MONTH(A106)/3,0)</f>
        <v>Q4</v>
      </c>
      <c r="D106" s="19" t="s">
        <v>219</v>
      </c>
      <c r="E106" s="19" t="s">
        <v>218</v>
      </c>
      <c r="F106" s="12" t="n">
        <v>5343945</v>
      </c>
      <c r="G106" s="12" t="n">
        <v>882089</v>
      </c>
      <c r="H106" s="12" t="n">
        <v>86120144</v>
      </c>
      <c r="I106" s="16" t="n">
        <v>44.4</v>
      </c>
      <c r="J106" s="13" t="n">
        <v>0.097</v>
      </c>
      <c r="K106" s="16" t="n">
        <v>24.7</v>
      </c>
      <c r="L106" s="13" t="n">
        <f aca="false">IF(SUMIFS($F$2:$F$397,$A$2:$A$397,A106)=0,0,F106/SUMIFS($F$2:$F$397,$A$2:$A$397,A106))</f>
        <v>0.0543371126858484</v>
      </c>
    </row>
    <row r="107" customFormat="false" ht="15" hidden="false" customHeight="false" outlineLevel="0" collapsed="false">
      <c r="A107" s="10" t="n">
        <v>45200</v>
      </c>
      <c r="B107" s="18" t="n">
        <f aca="false">YEAR(A107)</f>
        <v>2023</v>
      </c>
      <c r="C107" s="19" t="str">
        <f aca="false">"Q"&amp;ROUNDUP(MONTH(A107)/3,0)</f>
        <v>Q4</v>
      </c>
      <c r="D107" s="19" t="s">
        <v>220</v>
      </c>
      <c r="E107" s="19" t="s">
        <v>214</v>
      </c>
      <c r="F107" s="12" t="n">
        <v>4763489</v>
      </c>
      <c r="G107" s="12" t="n">
        <v>772639</v>
      </c>
      <c r="H107" s="12" t="n">
        <v>71764620</v>
      </c>
      <c r="I107" s="16" t="n">
        <v>40.2</v>
      </c>
      <c r="J107" s="13" t="n">
        <v>0.125</v>
      </c>
      <c r="K107" s="16" t="n">
        <v>18.2</v>
      </c>
      <c r="L107" s="13" t="n">
        <f aca="false">IF(SUMIFS($F$2:$F$397,$A$2:$A$397,A107)=0,0,F107/SUMIFS($F$2:$F$397,$A$2:$A$397,A107))</f>
        <v>0.0484350491202285</v>
      </c>
    </row>
    <row r="108" customFormat="false" ht="15" hidden="false" customHeight="false" outlineLevel="0" collapsed="false">
      <c r="A108" s="10" t="n">
        <v>45200</v>
      </c>
      <c r="B108" s="18" t="n">
        <f aca="false">YEAR(A108)</f>
        <v>2023</v>
      </c>
      <c r="C108" s="19" t="str">
        <f aca="false">"Q"&amp;ROUNDUP(MONTH(A108)/3,0)</f>
        <v>Q4</v>
      </c>
      <c r="D108" s="19" t="s">
        <v>221</v>
      </c>
      <c r="E108" s="19" t="s">
        <v>214</v>
      </c>
      <c r="F108" s="12" t="n">
        <v>3749893</v>
      </c>
      <c r="G108" s="12" t="n">
        <v>650070</v>
      </c>
      <c r="H108" s="12" t="n">
        <v>53985029</v>
      </c>
      <c r="I108" s="16" t="n">
        <v>38.8</v>
      </c>
      <c r="J108" s="13" t="n">
        <v>0.121</v>
      </c>
      <c r="K108" s="16" t="n">
        <v>18.7</v>
      </c>
      <c r="L108" s="13" t="n">
        <f aca="false">IF(SUMIFS($F$2:$F$397,$A$2:$A$397,A108)=0,0,F108/SUMIFS($F$2:$F$397,$A$2:$A$397,A108))</f>
        <v>0.0381288277669164</v>
      </c>
    </row>
    <row r="109" customFormat="false" ht="15" hidden="false" customHeight="false" outlineLevel="0" collapsed="false">
      <c r="A109" s="10" t="n">
        <v>45200</v>
      </c>
      <c r="B109" s="18" t="n">
        <f aca="false">YEAR(A109)</f>
        <v>2023</v>
      </c>
      <c r="C109" s="19" t="str">
        <f aca="false">"Q"&amp;ROUNDUP(MONTH(A109)/3,0)</f>
        <v>Q4</v>
      </c>
      <c r="D109" s="19" t="s">
        <v>222</v>
      </c>
      <c r="E109" s="19" t="s">
        <v>218</v>
      </c>
      <c r="F109" s="12" t="n">
        <v>4538822</v>
      </c>
      <c r="G109" s="12" t="n">
        <v>765792</v>
      </c>
      <c r="H109" s="12" t="n">
        <v>72714764</v>
      </c>
      <c r="I109" s="16" t="n">
        <v>43.4</v>
      </c>
      <c r="J109" s="13" t="n">
        <v>0.066</v>
      </c>
      <c r="K109" s="16" t="n">
        <v>23.8</v>
      </c>
      <c r="L109" s="13" t="n">
        <f aca="false">IF(SUMIFS($F$2:$F$397,$A$2:$A$397,A109)=0,0,F109/SUMIFS($F$2:$F$397,$A$2:$A$397,A109))</f>
        <v>0.0461506401123155</v>
      </c>
    </row>
    <row r="110" customFormat="false" ht="15" hidden="false" customHeight="false" outlineLevel="0" collapsed="false">
      <c r="A110" s="10" t="n">
        <v>45200</v>
      </c>
      <c r="B110" s="18" t="n">
        <f aca="false">YEAR(A110)</f>
        <v>2023</v>
      </c>
      <c r="C110" s="19" t="str">
        <f aca="false">"Q"&amp;ROUNDUP(MONTH(A110)/3,0)</f>
        <v>Q4</v>
      </c>
      <c r="D110" s="19" t="s">
        <v>223</v>
      </c>
      <c r="E110" s="19" t="s">
        <v>224</v>
      </c>
      <c r="F110" s="12" t="n">
        <v>3600318</v>
      </c>
      <c r="G110" s="12" t="n">
        <v>630875</v>
      </c>
      <c r="H110" s="12" t="n">
        <v>53174418</v>
      </c>
      <c r="I110" s="16" t="n">
        <v>40.4</v>
      </c>
      <c r="J110" s="13" t="n">
        <v>0.105</v>
      </c>
      <c r="K110" s="16" t="n">
        <v>17.4</v>
      </c>
      <c r="L110" s="13" t="n">
        <f aca="false">IF(SUMIFS($F$2:$F$397,$A$2:$A$397,A110)=0,0,F110/SUMIFS($F$2:$F$397,$A$2:$A$397,A110))</f>
        <v>0.0366079525277465</v>
      </c>
    </row>
    <row r="111" customFormat="false" ht="15" hidden="false" customHeight="false" outlineLevel="0" collapsed="false">
      <c r="A111" s="10" t="n">
        <v>45200</v>
      </c>
      <c r="B111" s="18" t="n">
        <f aca="false">YEAR(A111)</f>
        <v>2023</v>
      </c>
      <c r="C111" s="19" t="str">
        <f aca="false">"Q"&amp;ROUNDUP(MONTH(A111)/3,0)</f>
        <v>Q4</v>
      </c>
      <c r="D111" s="19" t="s">
        <v>225</v>
      </c>
      <c r="E111" s="19" t="s">
        <v>226</v>
      </c>
      <c r="F111" s="12" t="n">
        <v>8700750</v>
      </c>
      <c r="G111" s="12" t="n">
        <v>1552374</v>
      </c>
      <c r="H111" s="12" t="n">
        <v>122615363</v>
      </c>
      <c r="I111" s="16" t="n">
        <v>38.9</v>
      </c>
      <c r="J111" s="13" t="n">
        <v>0.09</v>
      </c>
      <c r="K111" s="16" t="n">
        <v>16.7</v>
      </c>
      <c r="L111" s="13" t="n">
        <f aca="false">IF(SUMIFS($F$2:$F$397,$A$2:$A$397,A111)=0,0,F111/SUMIFS($F$2:$F$397,$A$2:$A$397,A111))</f>
        <v>0.0884690305011364</v>
      </c>
    </row>
    <row r="112" customFormat="false" ht="15" hidden="false" customHeight="false" outlineLevel="0" collapsed="false">
      <c r="A112" s="10" t="n">
        <v>45231</v>
      </c>
      <c r="B112" s="18" t="n">
        <f aca="false">YEAR(A112)</f>
        <v>2023</v>
      </c>
      <c r="C112" s="19" t="str">
        <f aca="false">"Q"&amp;ROUNDUP(MONTH(A112)/3,0)</f>
        <v>Q4</v>
      </c>
      <c r="D112" s="19" t="s">
        <v>211</v>
      </c>
      <c r="E112" s="19" t="s">
        <v>212</v>
      </c>
      <c r="F112" s="12" t="n">
        <v>30460737</v>
      </c>
      <c r="G112" s="12" t="n">
        <v>5050182</v>
      </c>
      <c r="H112" s="12" t="n">
        <v>431366578</v>
      </c>
      <c r="I112" s="16" t="n">
        <v>39.9</v>
      </c>
      <c r="J112" s="13" t="n">
        <v>0.111</v>
      </c>
      <c r="K112" s="16" t="n">
        <v>20.5</v>
      </c>
      <c r="L112" s="13" t="n">
        <f aca="false">IF(SUMIFS($F$2:$F$397,$A$2:$A$397,A112)=0,0,F112/SUMIFS($F$2:$F$397,$A$2:$A$397,A112))</f>
        <v>0.301011584940128</v>
      </c>
    </row>
    <row r="113" customFormat="false" ht="15" hidden="false" customHeight="false" outlineLevel="0" collapsed="false">
      <c r="A113" s="10" t="n">
        <v>45231</v>
      </c>
      <c r="B113" s="18" t="n">
        <f aca="false">YEAR(A113)</f>
        <v>2023</v>
      </c>
      <c r="C113" s="19" t="str">
        <f aca="false">"Q"&amp;ROUNDUP(MONTH(A113)/3,0)</f>
        <v>Q4</v>
      </c>
      <c r="D113" s="19" t="s">
        <v>213</v>
      </c>
      <c r="E113" s="19" t="s">
        <v>214</v>
      </c>
      <c r="F113" s="12" t="n">
        <v>15769499</v>
      </c>
      <c r="G113" s="12" t="n">
        <v>2494000</v>
      </c>
      <c r="H113" s="12" t="n">
        <v>230281249</v>
      </c>
      <c r="I113" s="16" t="n">
        <v>39.7</v>
      </c>
      <c r="J113" s="13" t="n">
        <v>0.14</v>
      </c>
      <c r="K113" s="16" t="n">
        <v>21.9</v>
      </c>
      <c r="L113" s="13" t="n">
        <f aca="false">IF(SUMIFS($F$2:$F$397,$A$2:$A$397,A113)=0,0,F113/SUMIFS($F$2:$F$397,$A$2:$A$397,A113))</f>
        <v>0.155833454971945</v>
      </c>
    </row>
    <row r="114" customFormat="false" ht="15" hidden="false" customHeight="false" outlineLevel="0" collapsed="false">
      <c r="A114" s="10" t="n">
        <v>45231</v>
      </c>
      <c r="B114" s="18" t="n">
        <f aca="false">YEAR(A114)</f>
        <v>2023</v>
      </c>
      <c r="C114" s="19" t="str">
        <f aca="false">"Q"&amp;ROUNDUP(MONTH(A114)/3,0)</f>
        <v>Q4</v>
      </c>
      <c r="D114" s="19" t="s">
        <v>215</v>
      </c>
      <c r="E114" s="19" t="s">
        <v>214</v>
      </c>
      <c r="F114" s="12" t="n">
        <v>8928327</v>
      </c>
      <c r="G114" s="12" t="n">
        <v>1617094</v>
      </c>
      <c r="H114" s="12" t="n">
        <v>136534179</v>
      </c>
      <c r="I114" s="16" t="n">
        <v>40.2</v>
      </c>
      <c r="J114" s="13" t="n">
        <v>0.121</v>
      </c>
      <c r="K114" s="16" t="n">
        <v>19.2</v>
      </c>
      <c r="L114" s="13" t="n">
        <f aca="false">IF(SUMIFS($F$2:$F$397,$A$2:$A$397,A114)=0,0,F114/SUMIFS($F$2:$F$397,$A$2:$A$397,A114))</f>
        <v>0.0882293117574188</v>
      </c>
    </row>
    <row r="115" customFormat="false" ht="15" hidden="false" customHeight="false" outlineLevel="0" collapsed="false">
      <c r="A115" s="10" t="n">
        <v>45231</v>
      </c>
      <c r="B115" s="18" t="n">
        <f aca="false">YEAR(A115)</f>
        <v>2023</v>
      </c>
      <c r="C115" s="19" t="str">
        <f aca="false">"Q"&amp;ROUNDUP(MONTH(A115)/3,0)</f>
        <v>Q4</v>
      </c>
      <c r="D115" s="19" t="s">
        <v>216</v>
      </c>
      <c r="E115" s="19" t="s">
        <v>212</v>
      </c>
      <c r="F115" s="12" t="n">
        <v>5982874</v>
      </c>
      <c r="G115" s="12" t="n">
        <v>1012797</v>
      </c>
      <c r="H115" s="12" t="n">
        <v>89903031</v>
      </c>
      <c r="I115" s="16" t="n">
        <v>40.2</v>
      </c>
      <c r="J115" s="13" t="n">
        <v>0.113</v>
      </c>
      <c r="K115" s="16" t="n">
        <v>17.5</v>
      </c>
      <c r="L115" s="13" t="n">
        <f aca="false">IF(SUMIFS($F$2:$F$397,$A$2:$A$397,A115)=0,0,F115/SUMIFS($F$2:$F$397,$A$2:$A$397,A115))</f>
        <v>0.0591224823364282</v>
      </c>
    </row>
    <row r="116" customFormat="false" ht="15" hidden="false" customHeight="false" outlineLevel="0" collapsed="false">
      <c r="A116" s="10" t="n">
        <v>45231</v>
      </c>
      <c r="B116" s="18" t="n">
        <f aca="false">YEAR(A116)</f>
        <v>2023</v>
      </c>
      <c r="C116" s="19" t="str">
        <f aca="false">"Q"&amp;ROUNDUP(MONTH(A116)/3,0)</f>
        <v>Q4</v>
      </c>
      <c r="D116" s="19" t="s">
        <v>217</v>
      </c>
      <c r="E116" s="19" t="s">
        <v>218</v>
      </c>
      <c r="F116" s="12" t="n">
        <v>7547781</v>
      </c>
      <c r="G116" s="12" t="n">
        <v>1190333</v>
      </c>
      <c r="H116" s="12" t="n">
        <v>124683678</v>
      </c>
      <c r="I116" s="16" t="n">
        <v>45.2</v>
      </c>
      <c r="J116" s="13" t="n">
        <v>0.076</v>
      </c>
      <c r="K116" s="16" t="n">
        <v>26.3</v>
      </c>
      <c r="L116" s="13" t="n">
        <f aca="false">IF(SUMIFS($F$2:$F$397,$A$2:$A$397,A116)=0,0,F116/SUMIFS($F$2:$F$397,$A$2:$A$397,A116))</f>
        <v>0.0745868204564777</v>
      </c>
    </row>
    <row r="117" customFormat="false" ht="15" hidden="false" customHeight="false" outlineLevel="0" collapsed="false">
      <c r="A117" s="10" t="n">
        <v>45231</v>
      </c>
      <c r="B117" s="18" t="n">
        <f aca="false">YEAR(A117)</f>
        <v>2023</v>
      </c>
      <c r="C117" s="19" t="str">
        <f aca="false">"Q"&amp;ROUNDUP(MONTH(A117)/3,0)</f>
        <v>Q4</v>
      </c>
      <c r="D117" s="19" t="s">
        <v>219</v>
      </c>
      <c r="E117" s="19" t="s">
        <v>218</v>
      </c>
      <c r="F117" s="12" t="n">
        <v>5780057</v>
      </c>
      <c r="G117" s="12" t="n">
        <v>930298</v>
      </c>
      <c r="H117" s="12" t="n">
        <v>94947195</v>
      </c>
      <c r="I117" s="16" t="n">
        <v>45</v>
      </c>
      <c r="J117" s="13" t="n">
        <v>0.093</v>
      </c>
      <c r="K117" s="16" t="n">
        <v>24.6</v>
      </c>
      <c r="L117" s="13" t="n">
        <f aca="false">IF(SUMIFS($F$2:$F$397,$A$2:$A$397,A117)=0,0,F117/SUMIFS($F$2:$F$397,$A$2:$A$397,A117))</f>
        <v>0.0571182541845354</v>
      </c>
    </row>
    <row r="118" customFormat="false" ht="15" hidden="false" customHeight="false" outlineLevel="0" collapsed="false">
      <c r="A118" s="10" t="n">
        <v>45231</v>
      </c>
      <c r="B118" s="18" t="n">
        <f aca="false">YEAR(A118)</f>
        <v>2023</v>
      </c>
      <c r="C118" s="19" t="str">
        <f aca="false">"Q"&amp;ROUNDUP(MONTH(A118)/3,0)</f>
        <v>Q4</v>
      </c>
      <c r="D118" s="19" t="s">
        <v>220</v>
      </c>
      <c r="E118" s="19" t="s">
        <v>214</v>
      </c>
      <c r="F118" s="12" t="n">
        <v>4981108</v>
      </c>
      <c r="G118" s="12" t="n">
        <v>891399</v>
      </c>
      <c r="H118" s="12" t="n">
        <v>73315693</v>
      </c>
      <c r="I118" s="16" t="n">
        <v>39.7</v>
      </c>
      <c r="J118" s="13" t="n">
        <v>0.117</v>
      </c>
      <c r="K118" s="16" t="n">
        <v>19</v>
      </c>
      <c r="L118" s="13" t="n">
        <f aca="false">IF(SUMIFS($F$2:$F$397,$A$2:$A$397,A118)=0,0,F118/SUMIFS($F$2:$F$397,$A$2:$A$397,A118))</f>
        <v>0.0492230773614556</v>
      </c>
    </row>
    <row r="119" customFormat="false" ht="15" hidden="false" customHeight="false" outlineLevel="0" collapsed="false">
      <c r="A119" s="10" t="n">
        <v>45231</v>
      </c>
      <c r="B119" s="18" t="n">
        <f aca="false">YEAR(A119)</f>
        <v>2023</v>
      </c>
      <c r="C119" s="19" t="str">
        <f aca="false">"Q"&amp;ROUNDUP(MONTH(A119)/3,0)</f>
        <v>Q4</v>
      </c>
      <c r="D119" s="19" t="s">
        <v>221</v>
      </c>
      <c r="E119" s="19" t="s">
        <v>214</v>
      </c>
      <c r="F119" s="12" t="n">
        <v>3894285</v>
      </c>
      <c r="G119" s="12" t="n">
        <v>649581</v>
      </c>
      <c r="H119" s="12" t="n">
        <v>61664231</v>
      </c>
      <c r="I119" s="16" t="n">
        <v>39.7</v>
      </c>
      <c r="J119" s="13" t="n">
        <v>0.125</v>
      </c>
      <c r="K119" s="16" t="n">
        <v>18.8</v>
      </c>
      <c r="L119" s="13" t="n">
        <f aca="false">IF(SUMIFS($F$2:$F$397,$A$2:$A$397,A119)=0,0,F119/SUMIFS($F$2:$F$397,$A$2:$A$397,A119))</f>
        <v>0.0384831430722956</v>
      </c>
    </row>
    <row r="120" customFormat="false" ht="15" hidden="false" customHeight="false" outlineLevel="0" collapsed="false">
      <c r="A120" s="10" t="n">
        <v>45231</v>
      </c>
      <c r="B120" s="18" t="n">
        <f aca="false">YEAR(A120)</f>
        <v>2023</v>
      </c>
      <c r="C120" s="19" t="str">
        <f aca="false">"Q"&amp;ROUNDUP(MONTH(A120)/3,0)</f>
        <v>Q4</v>
      </c>
      <c r="D120" s="19" t="s">
        <v>222</v>
      </c>
      <c r="E120" s="19" t="s">
        <v>218</v>
      </c>
      <c r="F120" s="12" t="n">
        <v>4690619</v>
      </c>
      <c r="G120" s="12" t="n">
        <v>721675</v>
      </c>
      <c r="H120" s="12" t="n">
        <v>73141937</v>
      </c>
      <c r="I120" s="16" t="n">
        <v>43.8</v>
      </c>
      <c r="J120" s="13" t="n">
        <v>0.071</v>
      </c>
      <c r="K120" s="16" t="n">
        <v>24.5</v>
      </c>
      <c r="L120" s="13" t="n">
        <f aca="false">IF(SUMIFS($F$2:$F$397,$A$2:$A$397,A120)=0,0,F120/SUMIFS($F$2:$F$397,$A$2:$A$397,A120))</f>
        <v>0.0463524785871162</v>
      </c>
    </row>
    <row r="121" customFormat="false" ht="15" hidden="false" customHeight="false" outlineLevel="0" collapsed="false">
      <c r="A121" s="10" t="n">
        <v>45231</v>
      </c>
      <c r="B121" s="18" t="n">
        <f aca="false">YEAR(A121)</f>
        <v>2023</v>
      </c>
      <c r="C121" s="19" t="str">
        <f aca="false">"Q"&amp;ROUNDUP(MONTH(A121)/3,0)</f>
        <v>Q4</v>
      </c>
      <c r="D121" s="19" t="s">
        <v>223</v>
      </c>
      <c r="E121" s="19" t="s">
        <v>224</v>
      </c>
      <c r="F121" s="12" t="n">
        <v>3658968</v>
      </c>
      <c r="G121" s="12" t="n">
        <v>619659</v>
      </c>
      <c r="H121" s="12" t="n">
        <v>54717669</v>
      </c>
      <c r="I121" s="16" t="n">
        <v>40.5</v>
      </c>
      <c r="J121" s="13" t="n">
        <v>0.109</v>
      </c>
      <c r="K121" s="16" t="n">
        <v>18.2</v>
      </c>
      <c r="L121" s="13" t="n">
        <f aca="false">IF(SUMIFS($F$2:$F$397,$A$2:$A$397,A121)=0,0,F121/SUMIFS($F$2:$F$397,$A$2:$A$397,A121))</f>
        <v>0.0361577514334342</v>
      </c>
    </row>
    <row r="122" customFormat="false" ht="15" hidden="false" customHeight="false" outlineLevel="0" collapsed="false">
      <c r="A122" s="10" t="n">
        <v>45231</v>
      </c>
      <c r="B122" s="18" t="n">
        <f aca="false">YEAR(A122)</f>
        <v>2023</v>
      </c>
      <c r="C122" s="19" t="str">
        <f aca="false">"Q"&amp;ROUNDUP(MONTH(A122)/3,0)</f>
        <v>Q4</v>
      </c>
      <c r="D122" s="19" t="s">
        <v>225</v>
      </c>
      <c r="E122" s="19" t="s">
        <v>226</v>
      </c>
      <c r="F122" s="12" t="n">
        <v>9500312</v>
      </c>
      <c r="G122" s="12" t="n">
        <v>1464731</v>
      </c>
      <c r="H122" s="12" t="n">
        <v>137731669</v>
      </c>
      <c r="I122" s="16" t="n">
        <v>38.5</v>
      </c>
      <c r="J122" s="13" t="n">
        <v>0.092</v>
      </c>
      <c r="K122" s="16" t="n">
        <v>16.4</v>
      </c>
      <c r="L122" s="13" t="n">
        <f aca="false">IF(SUMIFS($F$2:$F$397,$A$2:$A$397,A122)=0,0,F122/SUMIFS($F$2:$F$397,$A$2:$A$397,A122))</f>
        <v>0.0938816408987649</v>
      </c>
    </row>
    <row r="123" customFormat="false" ht="15" hidden="false" customHeight="false" outlineLevel="0" collapsed="false">
      <c r="A123" s="10" t="n">
        <v>45261</v>
      </c>
      <c r="B123" s="18" t="n">
        <f aca="false">YEAR(A123)</f>
        <v>2023</v>
      </c>
      <c r="C123" s="19" t="str">
        <f aca="false">"Q"&amp;ROUNDUP(MONTH(A123)/3,0)</f>
        <v>Q4</v>
      </c>
      <c r="D123" s="19" t="s">
        <v>211</v>
      </c>
      <c r="E123" s="19" t="s">
        <v>212</v>
      </c>
      <c r="F123" s="12" t="n">
        <v>32886401</v>
      </c>
      <c r="G123" s="12" t="n">
        <v>5428795</v>
      </c>
      <c r="H123" s="12" t="n">
        <v>475605008</v>
      </c>
      <c r="I123" s="16" t="n">
        <v>40.7</v>
      </c>
      <c r="J123" s="13" t="n">
        <v>0.11</v>
      </c>
      <c r="K123" s="16" t="n">
        <v>21.3</v>
      </c>
      <c r="L123" s="13" t="n">
        <f aca="false">IF(SUMIFS($F$2:$F$397,$A$2:$A$397,A123)=0,0,F123/SUMIFS($F$2:$F$397,$A$2:$A$397,A123))</f>
        <v>0.311449498179019</v>
      </c>
    </row>
    <row r="124" customFormat="false" ht="15" hidden="false" customHeight="false" outlineLevel="0" collapsed="false">
      <c r="A124" s="10" t="n">
        <v>45261</v>
      </c>
      <c r="B124" s="18" t="n">
        <f aca="false">YEAR(A124)</f>
        <v>2023</v>
      </c>
      <c r="C124" s="19" t="str">
        <f aca="false">"Q"&amp;ROUNDUP(MONTH(A124)/3,0)</f>
        <v>Q4</v>
      </c>
      <c r="D124" s="19" t="s">
        <v>213</v>
      </c>
      <c r="E124" s="19" t="s">
        <v>214</v>
      </c>
      <c r="F124" s="12" t="n">
        <v>16870952</v>
      </c>
      <c r="G124" s="12" t="n">
        <v>2735453</v>
      </c>
      <c r="H124" s="12" t="n">
        <v>250054296</v>
      </c>
      <c r="I124" s="16" t="n">
        <v>41.1</v>
      </c>
      <c r="J124" s="13" t="n">
        <v>0.136</v>
      </c>
      <c r="K124" s="16" t="n">
        <v>22.7</v>
      </c>
      <c r="L124" s="13" t="n">
        <f aca="false">IF(SUMIFS($F$2:$F$397,$A$2:$A$397,A124)=0,0,F124/SUMIFS($F$2:$F$397,$A$2:$A$397,A124))</f>
        <v>0.159775754549801</v>
      </c>
    </row>
    <row r="125" customFormat="false" ht="15" hidden="false" customHeight="false" outlineLevel="0" collapsed="false">
      <c r="A125" s="10" t="n">
        <v>45261</v>
      </c>
      <c r="B125" s="18" t="n">
        <f aca="false">YEAR(A125)</f>
        <v>2023</v>
      </c>
      <c r="C125" s="19" t="str">
        <f aca="false">"Q"&amp;ROUNDUP(MONTH(A125)/3,0)</f>
        <v>Q4</v>
      </c>
      <c r="D125" s="19" t="s">
        <v>215</v>
      </c>
      <c r="E125" s="19" t="s">
        <v>214</v>
      </c>
      <c r="F125" s="12" t="n">
        <v>9148085</v>
      </c>
      <c r="G125" s="12" t="n">
        <v>1554284</v>
      </c>
      <c r="H125" s="12" t="n">
        <v>140835514</v>
      </c>
      <c r="I125" s="16" t="n">
        <v>40.1</v>
      </c>
      <c r="J125" s="13" t="n">
        <v>0.125</v>
      </c>
      <c r="K125" s="16" t="n">
        <v>19.1</v>
      </c>
      <c r="L125" s="13" t="n">
        <f aca="false">IF(SUMIFS($F$2:$F$397,$A$2:$A$397,A125)=0,0,F125/SUMIFS($F$2:$F$397,$A$2:$A$397,A125))</f>
        <v>0.0866366156195995</v>
      </c>
    </row>
    <row r="126" customFormat="false" ht="15" hidden="false" customHeight="false" outlineLevel="0" collapsed="false">
      <c r="A126" s="10" t="n">
        <v>45261</v>
      </c>
      <c r="B126" s="18" t="n">
        <f aca="false">YEAR(A126)</f>
        <v>2023</v>
      </c>
      <c r="C126" s="19" t="str">
        <f aca="false">"Q"&amp;ROUNDUP(MONTH(A126)/3,0)</f>
        <v>Q4</v>
      </c>
      <c r="D126" s="19" t="s">
        <v>216</v>
      </c>
      <c r="E126" s="19" t="s">
        <v>212</v>
      </c>
      <c r="F126" s="12" t="n">
        <v>5968265</v>
      </c>
      <c r="G126" s="12" t="n">
        <v>1014891</v>
      </c>
      <c r="H126" s="12" t="n">
        <v>87983056</v>
      </c>
      <c r="I126" s="16" t="n">
        <v>39.2</v>
      </c>
      <c r="J126" s="13" t="n">
        <v>0.119</v>
      </c>
      <c r="K126" s="16" t="n">
        <v>19.6</v>
      </c>
      <c r="L126" s="13" t="n">
        <f aca="false">IF(SUMIFS($F$2:$F$397,$A$2:$A$397,A126)=0,0,F126/SUMIFS($F$2:$F$397,$A$2:$A$397,A126))</f>
        <v>0.0565222427120986</v>
      </c>
    </row>
    <row r="127" customFormat="false" ht="15" hidden="false" customHeight="false" outlineLevel="0" collapsed="false">
      <c r="A127" s="10" t="n">
        <v>45261</v>
      </c>
      <c r="B127" s="18" t="n">
        <f aca="false">YEAR(A127)</f>
        <v>2023</v>
      </c>
      <c r="C127" s="19" t="str">
        <f aca="false">"Q"&amp;ROUNDUP(MONTH(A127)/3,0)</f>
        <v>Q4</v>
      </c>
      <c r="D127" s="19" t="s">
        <v>217</v>
      </c>
      <c r="E127" s="19" t="s">
        <v>218</v>
      </c>
      <c r="F127" s="12" t="n">
        <v>7853989</v>
      </c>
      <c r="G127" s="12" t="n">
        <v>1429062</v>
      </c>
      <c r="H127" s="12" t="n">
        <v>137764768</v>
      </c>
      <c r="I127" s="16" t="n">
        <v>46.5</v>
      </c>
      <c r="J127" s="13" t="n">
        <v>0.084</v>
      </c>
      <c r="K127" s="16" t="n">
        <v>25.9</v>
      </c>
      <c r="L127" s="13" t="n">
        <f aca="false">IF(SUMIFS($F$2:$F$397,$A$2:$A$397,A127)=0,0,F127/SUMIFS($F$2:$F$397,$A$2:$A$397,A127))</f>
        <v>0.0743809251962091</v>
      </c>
    </row>
    <row r="128" customFormat="false" ht="15" hidden="false" customHeight="false" outlineLevel="0" collapsed="false">
      <c r="A128" s="10" t="n">
        <v>45261</v>
      </c>
      <c r="B128" s="18" t="n">
        <f aca="false">YEAR(A128)</f>
        <v>2023</v>
      </c>
      <c r="C128" s="19" t="str">
        <f aca="false">"Q"&amp;ROUNDUP(MONTH(A128)/3,0)</f>
        <v>Q4</v>
      </c>
      <c r="D128" s="19" t="s">
        <v>219</v>
      </c>
      <c r="E128" s="19" t="s">
        <v>218</v>
      </c>
      <c r="F128" s="12" t="n">
        <v>6093371</v>
      </c>
      <c r="G128" s="12" t="n">
        <v>1072137</v>
      </c>
      <c r="H128" s="12" t="n">
        <v>100908459</v>
      </c>
      <c r="I128" s="16" t="n">
        <v>45.1</v>
      </c>
      <c r="J128" s="13" t="n">
        <v>0.099</v>
      </c>
      <c r="K128" s="16" t="n">
        <v>25.1</v>
      </c>
      <c r="L128" s="13" t="n">
        <f aca="false">IF(SUMIFS($F$2:$F$397,$A$2:$A$397,A128)=0,0,F128/SUMIFS($F$2:$F$397,$A$2:$A$397,A128))</f>
        <v>0.0577070546627643</v>
      </c>
    </row>
    <row r="129" customFormat="false" ht="15" hidden="false" customHeight="false" outlineLevel="0" collapsed="false">
      <c r="A129" s="10" t="n">
        <v>45261</v>
      </c>
      <c r="B129" s="18" t="n">
        <f aca="false">YEAR(A129)</f>
        <v>2023</v>
      </c>
      <c r="C129" s="19" t="str">
        <f aca="false">"Q"&amp;ROUNDUP(MONTH(A129)/3,0)</f>
        <v>Q4</v>
      </c>
      <c r="D129" s="19" t="s">
        <v>220</v>
      </c>
      <c r="E129" s="19" t="s">
        <v>214</v>
      </c>
      <c r="F129" s="12" t="n">
        <v>5084850</v>
      </c>
      <c r="G129" s="12" t="n">
        <v>815088</v>
      </c>
      <c r="H129" s="12" t="n">
        <v>73725166</v>
      </c>
      <c r="I129" s="16" t="n">
        <v>40.3</v>
      </c>
      <c r="J129" s="13" t="n">
        <v>0.118</v>
      </c>
      <c r="K129" s="16" t="n">
        <v>18.5</v>
      </c>
      <c r="L129" s="13" t="n">
        <f aca="false">IF(SUMIFS($F$2:$F$397,$A$2:$A$397,A129)=0,0,F129/SUMIFS($F$2:$F$397,$A$2:$A$397,A129))</f>
        <v>0.0481558921821693</v>
      </c>
    </row>
    <row r="130" customFormat="false" ht="15" hidden="false" customHeight="false" outlineLevel="0" collapsed="false">
      <c r="A130" s="10" t="n">
        <v>45261</v>
      </c>
      <c r="B130" s="18" t="n">
        <f aca="false">YEAR(A130)</f>
        <v>2023</v>
      </c>
      <c r="C130" s="19" t="str">
        <f aca="false">"Q"&amp;ROUNDUP(MONTH(A130)/3,0)</f>
        <v>Q4</v>
      </c>
      <c r="D130" s="19" t="s">
        <v>221</v>
      </c>
      <c r="E130" s="19" t="s">
        <v>214</v>
      </c>
      <c r="F130" s="12" t="n">
        <v>3910797</v>
      </c>
      <c r="G130" s="12" t="n">
        <v>677363</v>
      </c>
      <c r="H130" s="12" t="n">
        <v>57312189</v>
      </c>
      <c r="I130" s="16" t="n">
        <v>39.8</v>
      </c>
      <c r="J130" s="13" t="n">
        <v>0.122</v>
      </c>
      <c r="K130" s="16" t="n">
        <v>18.5</v>
      </c>
      <c r="L130" s="13" t="n">
        <f aca="false">IF(SUMIFS($F$2:$F$397,$A$2:$A$397,A130)=0,0,F130/SUMIFS($F$2:$F$397,$A$2:$A$397,A130))</f>
        <v>0.0370370647469151</v>
      </c>
    </row>
    <row r="131" customFormat="false" ht="15" hidden="false" customHeight="false" outlineLevel="0" collapsed="false">
      <c r="A131" s="10" t="n">
        <v>45261</v>
      </c>
      <c r="B131" s="18" t="n">
        <f aca="false">YEAR(A131)</f>
        <v>2023</v>
      </c>
      <c r="C131" s="19" t="str">
        <f aca="false">"Q"&amp;ROUNDUP(MONTH(A131)/3,0)</f>
        <v>Q4</v>
      </c>
      <c r="D131" s="19" t="s">
        <v>222</v>
      </c>
      <c r="E131" s="19" t="s">
        <v>218</v>
      </c>
      <c r="F131" s="12" t="n">
        <v>4783763</v>
      </c>
      <c r="G131" s="12" t="n">
        <v>805217</v>
      </c>
      <c r="H131" s="12" t="n">
        <v>74716456</v>
      </c>
      <c r="I131" s="16" t="n">
        <v>43.9</v>
      </c>
      <c r="J131" s="13" t="n">
        <v>0.07</v>
      </c>
      <c r="K131" s="16" t="n">
        <v>23.7</v>
      </c>
      <c r="L131" s="13" t="n">
        <f aca="false">IF(SUMIFS($F$2:$F$397,$A$2:$A$397,A131)=0,0,F131/SUMIFS($F$2:$F$397,$A$2:$A$397,A131))</f>
        <v>0.045304458391703</v>
      </c>
    </row>
    <row r="132" customFormat="false" ht="15" hidden="false" customHeight="false" outlineLevel="0" collapsed="false">
      <c r="A132" s="10" t="n">
        <v>45261</v>
      </c>
      <c r="B132" s="18" t="n">
        <f aca="false">YEAR(A132)</f>
        <v>2023</v>
      </c>
      <c r="C132" s="19" t="str">
        <f aca="false">"Q"&amp;ROUNDUP(MONTH(A132)/3,0)</f>
        <v>Q4</v>
      </c>
      <c r="D132" s="19" t="s">
        <v>223</v>
      </c>
      <c r="E132" s="19" t="s">
        <v>224</v>
      </c>
      <c r="F132" s="12" t="n">
        <v>3654105</v>
      </c>
      <c r="G132" s="12" t="n">
        <v>602000</v>
      </c>
      <c r="H132" s="12" t="n">
        <v>53312396</v>
      </c>
      <c r="I132" s="16" t="n">
        <v>40.7</v>
      </c>
      <c r="J132" s="13" t="n">
        <v>0.11</v>
      </c>
      <c r="K132" s="16" t="n">
        <v>17.3</v>
      </c>
      <c r="L132" s="13" t="n">
        <f aca="false">IF(SUMIFS($F$2:$F$397,$A$2:$A$397,A132)=0,0,F132/SUMIFS($F$2:$F$397,$A$2:$A$397,A132))</f>
        <v>0.0346060722346433</v>
      </c>
    </row>
    <row r="133" customFormat="false" ht="15" hidden="false" customHeight="false" outlineLevel="0" collapsed="false">
      <c r="A133" s="10" t="n">
        <v>45261</v>
      </c>
      <c r="B133" s="18" t="n">
        <f aca="false">YEAR(A133)</f>
        <v>2023</v>
      </c>
      <c r="C133" s="19" t="str">
        <f aca="false">"Q"&amp;ROUNDUP(MONTH(A133)/3,0)</f>
        <v>Q4</v>
      </c>
      <c r="D133" s="19" t="s">
        <v>225</v>
      </c>
      <c r="E133" s="19" t="s">
        <v>226</v>
      </c>
      <c r="F133" s="12" t="n">
        <v>9336862</v>
      </c>
      <c r="G133" s="12" t="n">
        <v>1564170</v>
      </c>
      <c r="H133" s="12" t="n">
        <v>133670493</v>
      </c>
      <c r="I133" s="16" t="n">
        <v>39.6</v>
      </c>
      <c r="J133" s="13" t="n">
        <v>0.103</v>
      </c>
      <c r="K133" s="16" t="n">
        <v>17</v>
      </c>
      <c r="L133" s="13" t="n">
        <f aca="false">IF(SUMIFS($F$2:$F$397,$A$2:$A$397,A133)=0,0,F133/SUMIFS($F$2:$F$397,$A$2:$A$397,A133))</f>
        <v>0.0884244215250782</v>
      </c>
    </row>
    <row r="134" customFormat="false" ht="15" hidden="false" customHeight="false" outlineLevel="0" collapsed="false">
      <c r="A134" s="10" t="n">
        <v>45292</v>
      </c>
      <c r="B134" s="18" t="n">
        <f aca="false">YEAR(A134)</f>
        <v>2024</v>
      </c>
      <c r="C134" s="19" t="str">
        <f aca="false">"Q"&amp;ROUNDUP(MONTH(A134)/3,0)</f>
        <v>Q1</v>
      </c>
      <c r="D134" s="19" t="s">
        <v>211</v>
      </c>
      <c r="E134" s="19" t="s">
        <v>212</v>
      </c>
      <c r="F134" s="12" t="n">
        <v>33827563</v>
      </c>
      <c r="G134" s="12" t="n">
        <v>5766989</v>
      </c>
      <c r="H134" s="12" t="n">
        <v>513709499</v>
      </c>
      <c r="I134" s="16" t="n">
        <v>40.7</v>
      </c>
      <c r="J134" s="13" t="n">
        <v>0.115</v>
      </c>
      <c r="K134" s="16" t="n">
        <v>21.1</v>
      </c>
      <c r="L134" s="13" t="n">
        <f aca="false">IF(SUMIFS($F$2:$F$397,$A$2:$A$397,A134)=0,0,F134/SUMIFS($F$2:$F$397,$A$2:$A$397,A134))</f>
        <v>0.298174809523263</v>
      </c>
    </row>
    <row r="135" customFormat="false" ht="15" hidden="false" customHeight="false" outlineLevel="0" collapsed="false">
      <c r="A135" s="10" t="n">
        <v>45292</v>
      </c>
      <c r="B135" s="18" t="n">
        <f aca="false">YEAR(A135)</f>
        <v>2024</v>
      </c>
      <c r="C135" s="19" t="str">
        <f aca="false">"Q"&amp;ROUNDUP(MONTH(A135)/3,0)</f>
        <v>Q1</v>
      </c>
      <c r="D135" s="19" t="s">
        <v>213</v>
      </c>
      <c r="E135" s="19" t="s">
        <v>214</v>
      </c>
      <c r="F135" s="12" t="n">
        <v>18678710</v>
      </c>
      <c r="G135" s="12" t="n">
        <v>3162998</v>
      </c>
      <c r="H135" s="12" t="n">
        <v>279823547</v>
      </c>
      <c r="I135" s="16" t="n">
        <v>40.7</v>
      </c>
      <c r="J135" s="13" t="n">
        <v>0.133</v>
      </c>
      <c r="K135" s="16" t="n">
        <v>22.6</v>
      </c>
      <c r="L135" s="13" t="n">
        <f aca="false">IF(SUMIFS($F$2:$F$397,$A$2:$A$397,A135)=0,0,F135/SUMIFS($F$2:$F$397,$A$2:$A$397,A135))</f>
        <v>0.164644458614718</v>
      </c>
    </row>
    <row r="136" customFormat="false" ht="15" hidden="false" customHeight="false" outlineLevel="0" collapsed="false">
      <c r="A136" s="10" t="n">
        <v>45292</v>
      </c>
      <c r="B136" s="18" t="n">
        <f aca="false">YEAR(A136)</f>
        <v>2024</v>
      </c>
      <c r="C136" s="19" t="str">
        <f aca="false">"Q"&amp;ROUNDUP(MONTH(A136)/3,0)</f>
        <v>Q1</v>
      </c>
      <c r="D136" s="19" t="s">
        <v>215</v>
      </c>
      <c r="E136" s="19" t="s">
        <v>214</v>
      </c>
      <c r="F136" s="12" t="n">
        <v>10094972</v>
      </c>
      <c r="G136" s="12" t="n">
        <v>1515623</v>
      </c>
      <c r="H136" s="12" t="n">
        <v>145157883</v>
      </c>
      <c r="I136" s="16" t="n">
        <v>41</v>
      </c>
      <c r="J136" s="13" t="n">
        <v>0.129</v>
      </c>
      <c r="K136" s="16" t="n">
        <v>19.3</v>
      </c>
      <c r="L136" s="13" t="n">
        <f aca="false">IF(SUMIFS($F$2:$F$397,$A$2:$A$397,A136)=0,0,F136/SUMIFS($F$2:$F$397,$A$2:$A$397,A136))</f>
        <v>0.0889826545661203</v>
      </c>
    </row>
    <row r="137" customFormat="false" ht="15" hidden="false" customHeight="false" outlineLevel="0" collapsed="false">
      <c r="A137" s="10" t="n">
        <v>45292</v>
      </c>
      <c r="B137" s="18" t="n">
        <f aca="false">YEAR(A137)</f>
        <v>2024</v>
      </c>
      <c r="C137" s="19" t="str">
        <f aca="false">"Q"&amp;ROUNDUP(MONTH(A137)/3,0)</f>
        <v>Q1</v>
      </c>
      <c r="D137" s="19" t="s">
        <v>216</v>
      </c>
      <c r="E137" s="19" t="s">
        <v>212</v>
      </c>
      <c r="F137" s="12" t="n">
        <v>6316825</v>
      </c>
      <c r="G137" s="12" t="n">
        <v>1159668</v>
      </c>
      <c r="H137" s="12" t="n">
        <v>96322926</v>
      </c>
      <c r="I137" s="16" t="n">
        <v>40.2</v>
      </c>
      <c r="J137" s="13" t="n">
        <v>0.11</v>
      </c>
      <c r="K137" s="16" t="n">
        <v>18.3</v>
      </c>
      <c r="L137" s="13" t="n">
        <f aca="false">IF(SUMIFS($F$2:$F$397,$A$2:$A$397,A137)=0,0,F137/SUMIFS($F$2:$F$397,$A$2:$A$397,A137))</f>
        <v>0.0556799817700964</v>
      </c>
    </row>
    <row r="138" customFormat="false" ht="15" hidden="false" customHeight="false" outlineLevel="0" collapsed="false">
      <c r="A138" s="10" t="n">
        <v>45292</v>
      </c>
      <c r="B138" s="18" t="n">
        <f aca="false">YEAR(A138)</f>
        <v>2024</v>
      </c>
      <c r="C138" s="19" t="str">
        <f aca="false">"Q"&amp;ROUNDUP(MONTH(A138)/3,0)</f>
        <v>Q1</v>
      </c>
      <c r="D138" s="19" t="s">
        <v>217</v>
      </c>
      <c r="E138" s="19" t="s">
        <v>218</v>
      </c>
      <c r="F138" s="12" t="n">
        <v>8191162</v>
      </c>
      <c r="G138" s="12" t="n">
        <v>1270737</v>
      </c>
      <c r="H138" s="12" t="n">
        <v>135723262</v>
      </c>
      <c r="I138" s="16" t="n">
        <v>45.8</v>
      </c>
      <c r="J138" s="13" t="n">
        <v>0.086</v>
      </c>
      <c r="K138" s="16" t="n">
        <v>26.2</v>
      </c>
      <c r="L138" s="13" t="n">
        <f aca="false">IF(SUMIFS($F$2:$F$397,$A$2:$A$397,A138)=0,0,F138/SUMIFS($F$2:$F$397,$A$2:$A$397,A138))</f>
        <v>0.0722014225241171</v>
      </c>
    </row>
    <row r="139" customFormat="false" ht="15" hidden="false" customHeight="false" outlineLevel="0" collapsed="false">
      <c r="A139" s="10" t="n">
        <v>45292</v>
      </c>
      <c r="B139" s="18" t="n">
        <f aca="false">YEAR(A139)</f>
        <v>2024</v>
      </c>
      <c r="C139" s="19" t="str">
        <f aca="false">"Q"&amp;ROUNDUP(MONTH(A139)/3,0)</f>
        <v>Q1</v>
      </c>
      <c r="D139" s="19" t="s">
        <v>219</v>
      </c>
      <c r="E139" s="19" t="s">
        <v>218</v>
      </c>
      <c r="F139" s="12" t="n">
        <v>6700270</v>
      </c>
      <c r="G139" s="12" t="n">
        <v>1152506</v>
      </c>
      <c r="H139" s="12" t="n">
        <v>111035324</v>
      </c>
      <c r="I139" s="16" t="n">
        <v>44.2</v>
      </c>
      <c r="J139" s="13" t="n">
        <v>0.095</v>
      </c>
      <c r="K139" s="16" t="n">
        <v>25.3</v>
      </c>
      <c r="L139" s="13" t="n">
        <f aca="false">IF(SUMIFS($F$2:$F$397,$A$2:$A$397,A139)=0,0,F139/SUMIFS($F$2:$F$397,$A$2:$A$397,A139))</f>
        <v>0.0590598776212296</v>
      </c>
    </row>
    <row r="140" customFormat="false" ht="15" hidden="false" customHeight="false" outlineLevel="0" collapsed="false">
      <c r="A140" s="10" t="n">
        <v>45292</v>
      </c>
      <c r="B140" s="18" t="n">
        <f aca="false">YEAR(A140)</f>
        <v>2024</v>
      </c>
      <c r="C140" s="19" t="str">
        <f aca="false">"Q"&amp;ROUNDUP(MONTH(A140)/3,0)</f>
        <v>Q1</v>
      </c>
      <c r="D140" s="19" t="s">
        <v>220</v>
      </c>
      <c r="E140" s="19" t="s">
        <v>214</v>
      </c>
      <c r="F140" s="12" t="n">
        <v>5512143</v>
      </c>
      <c r="G140" s="12" t="n">
        <v>963851</v>
      </c>
      <c r="H140" s="12" t="n">
        <v>83046730</v>
      </c>
      <c r="I140" s="16" t="n">
        <v>41.2</v>
      </c>
      <c r="J140" s="13" t="n">
        <v>0.121</v>
      </c>
      <c r="K140" s="16" t="n">
        <v>19.5</v>
      </c>
      <c r="L140" s="13" t="n">
        <f aca="false">IF(SUMIFS($F$2:$F$397,$A$2:$A$397,A140)=0,0,F140/SUMIFS($F$2:$F$397,$A$2:$A$397,A140))</f>
        <v>0.0485870705226382</v>
      </c>
    </row>
    <row r="141" customFormat="false" ht="15" hidden="false" customHeight="false" outlineLevel="0" collapsed="false">
      <c r="A141" s="10" t="n">
        <v>45292</v>
      </c>
      <c r="B141" s="18" t="n">
        <f aca="false">YEAR(A141)</f>
        <v>2024</v>
      </c>
      <c r="C141" s="19" t="str">
        <f aca="false">"Q"&amp;ROUNDUP(MONTH(A141)/3,0)</f>
        <v>Q1</v>
      </c>
      <c r="D141" s="19" t="s">
        <v>221</v>
      </c>
      <c r="E141" s="19" t="s">
        <v>214</v>
      </c>
      <c r="F141" s="12" t="n">
        <v>4564189</v>
      </c>
      <c r="G141" s="12" t="n">
        <v>775509</v>
      </c>
      <c r="H141" s="12" t="n">
        <v>65252581</v>
      </c>
      <c r="I141" s="16" t="n">
        <v>39.7</v>
      </c>
      <c r="J141" s="13" t="n">
        <v>0.128</v>
      </c>
      <c r="K141" s="16" t="n">
        <v>19.4</v>
      </c>
      <c r="L141" s="13" t="n">
        <f aca="false">IF(SUMIFS($F$2:$F$397,$A$2:$A$397,A141)=0,0,F141/SUMIFS($F$2:$F$397,$A$2:$A$397,A141))</f>
        <v>0.0402312807961712</v>
      </c>
    </row>
    <row r="142" customFormat="false" ht="15" hidden="false" customHeight="false" outlineLevel="0" collapsed="false">
      <c r="A142" s="10" t="n">
        <v>45292</v>
      </c>
      <c r="B142" s="18" t="n">
        <f aca="false">YEAR(A142)</f>
        <v>2024</v>
      </c>
      <c r="C142" s="19" t="str">
        <f aca="false">"Q"&amp;ROUNDUP(MONTH(A142)/3,0)</f>
        <v>Q1</v>
      </c>
      <c r="D142" s="19" t="s">
        <v>222</v>
      </c>
      <c r="E142" s="19" t="s">
        <v>218</v>
      </c>
      <c r="F142" s="12" t="n">
        <v>5227645</v>
      </c>
      <c r="G142" s="12" t="n">
        <v>929364</v>
      </c>
      <c r="H142" s="12" t="n">
        <v>86249971</v>
      </c>
      <c r="I142" s="16" t="n">
        <v>45.1</v>
      </c>
      <c r="J142" s="13" t="n">
        <v>0.072</v>
      </c>
      <c r="K142" s="16" t="n">
        <v>24.1</v>
      </c>
      <c r="L142" s="13" t="n">
        <f aca="false">IF(SUMIFS($F$2:$F$397,$A$2:$A$397,A142)=0,0,F142/SUMIFS($F$2:$F$397,$A$2:$A$397,A142))</f>
        <v>0.0460793481377963</v>
      </c>
    </row>
    <row r="143" customFormat="false" ht="15" hidden="false" customHeight="false" outlineLevel="0" collapsed="false">
      <c r="A143" s="10" t="n">
        <v>45292</v>
      </c>
      <c r="B143" s="18" t="n">
        <f aca="false">YEAR(A143)</f>
        <v>2024</v>
      </c>
      <c r="C143" s="19" t="str">
        <f aca="false">"Q"&amp;ROUNDUP(MONTH(A143)/3,0)</f>
        <v>Q1</v>
      </c>
      <c r="D143" s="19" t="s">
        <v>223</v>
      </c>
      <c r="E143" s="19" t="s">
        <v>224</v>
      </c>
      <c r="F143" s="12" t="n">
        <v>4153627</v>
      </c>
      <c r="G143" s="12" t="n">
        <v>683262</v>
      </c>
      <c r="H143" s="12" t="n">
        <v>64593396</v>
      </c>
      <c r="I143" s="16" t="n">
        <v>41.1</v>
      </c>
      <c r="J143" s="13" t="n">
        <v>0.1</v>
      </c>
      <c r="K143" s="16" t="n">
        <v>18.1</v>
      </c>
      <c r="L143" s="13" t="n">
        <f aca="false">IF(SUMIFS($F$2:$F$397,$A$2:$A$397,A143)=0,0,F143/SUMIFS($F$2:$F$397,$A$2:$A$397,A143))</f>
        <v>0.0366123607413186</v>
      </c>
    </row>
    <row r="144" customFormat="false" ht="15" hidden="false" customHeight="false" outlineLevel="0" collapsed="false">
      <c r="A144" s="10" t="n">
        <v>45292</v>
      </c>
      <c r="B144" s="18" t="n">
        <f aca="false">YEAR(A144)</f>
        <v>2024</v>
      </c>
      <c r="C144" s="19" t="str">
        <f aca="false">"Q"&amp;ROUNDUP(MONTH(A144)/3,0)</f>
        <v>Q1</v>
      </c>
      <c r="D144" s="19" t="s">
        <v>225</v>
      </c>
      <c r="E144" s="19" t="s">
        <v>226</v>
      </c>
      <c r="F144" s="12" t="n">
        <v>10181656</v>
      </c>
      <c r="G144" s="12" t="n">
        <v>1824508</v>
      </c>
      <c r="H144" s="12" t="n">
        <v>154484499</v>
      </c>
      <c r="I144" s="16" t="n">
        <v>38.7</v>
      </c>
      <c r="J144" s="13" t="n">
        <v>0.099</v>
      </c>
      <c r="K144" s="16" t="n">
        <v>16.9</v>
      </c>
      <c r="L144" s="13" t="n">
        <f aca="false">IF(SUMIFS($F$2:$F$397,$A$2:$A$397,A144)=0,0,F144/SUMIFS($F$2:$F$397,$A$2:$A$397,A144))</f>
        <v>0.0897467351825311</v>
      </c>
    </row>
    <row r="145" customFormat="false" ht="15" hidden="false" customHeight="false" outlineLevel="0" collapsed="false">
      <c r="A145" s="10" t="n">
        <v>45323</v>
      </c>
      <c r="B145" s="18" t="n">
        <f aca="false">YEAR(A145)</f>
        <v>2024</v>
      </c>
      <c r="C145" s="19" t="str">
        <f aca="false">"Q"&amp;ROUNDUP(MONTH(A145)/3,0)</f>
        <v>Q1</v>
      </c>
      <c r="D145" s="19" t="s">
        <v>211</v>
      </c>
      <c r="E145" s="19" t="s">
        <v>212</v>
      </c>
      <c r="F145" s="12" t="n">
        <v>32988534</v>
      </c>
      <c r="G145" s="12" t="n">
        <v>5544263</v>
      </c>
      <c r="H145" s="12" t="n">
        <v>484645392</v>
      </c>
      <c r="I145" s="16" t="n">
        <v>41.9</v>
      </c>
      <c r="J145" s="13" t="n">
        <v>0.114</v>
      </c>
      <c r="K145" s="16" t="n">
        <v>21.3</v>
      </c>
      <c r="L145" s="13" t="n">
        <f aca="false">IF(SUMIFS($F$2:$F$397,$A$2:$A$397,A145)=0,0,F145/SUMIFS($F$2:$F$397,$A$2:$A$397,A145))</f>
        <v>0.285700008121031</v>
      </c>
    </row>
    <row r="146" customFormat="false" ht="15" hidden="false" customHeight="false" outlineLevel="0" collapsed="false">
      <c r="A146" s="10" t="n">
        <v>45323</v>
      </c>
      <c r="B146" s="18" t="n">
        <f aca="false">YEAR(A146)</f>
        <v>2024</v>
      </c>
      <c r="C146" s="19" t="str">
        <f aca="false">"Q"&amp;ROUNDUP(MONTH(A146)/3,0)</f>
        <v>Q1</v>
      </c>
      <c r="D146" s="19" t="s">
        <v>213</v>
      </c>
      <c r="E146" s="19" t="s">
        <v>214</v>
      </c>
      <c r="F146" s="12" t="n">
        <v>19167724</v>
      </c>
      <c r="G146" s="12" t="n">
        <v>3020405</v>
      </c>
      <c r="H146" s="12" t="n">
        <v>301111770</v>
      </c>
      <c r="I146" s="16" t="n">
        <v>40</v>
      </c>
      <c r="J146" s="13" t="n">
        <v>0.134</v>
      </c>
      <c r="K146" s="16" t="n">
        <v>22.8</v>
      </c>
      <c r="L146" s="13" t="n">
        <f aca="false">IF(SUMIFS($F$2:$F$397,$A$2:$A$397,A146)=0,0,F146/SUMIFS($F$2:$F$397,$A$2:$A$397,A146))</f>
        <v>0.166003706089567</v>
      </c>
    </row>
    <row r="147" customFormat="false" ht="15" hidden="false" customHeight="false" outlineLevel="0" collapsed="false">
      <c r="A147" s="10" t="n">
        <v>45323</v>
      </c>
      <c r="B147" s="18" t="n">
        <f aca="false">YEAR(A147)</f>
        <v>2024</v>
      </c>
      <c r="C147" s="19" t="str">
        <f aca="false">"Q"&amp;ROUNDUP(MONTH(A147)/3,0)</f>
        <v>Q1</v>
      </c>
      <c r="D147" s="19" t="s">
        <v>215</v>
      </c>
      <c r="E147" s="19" t="s">
        <v>214</v>
      </c>
      <c r="F147" s="12" t="n">
        <v>10184149</v>
      </c>
      <c r="G147" s="12" t="n">
        <v>1575617</v>
      </c>
      <c r="H147" s="12" t="n">
        <v>149243789</v>
      </c>
      <c r="I147" s="16" t="n">
        <v>41.6</v>
      </c>
      <c r="J147" s="13" t="n">
        <v>0.124</v>
      </c>
      <c r="K147" s="16" t="n">
        <v>20.5</v>
      </c>
      <c r="L147" s="13" t="n">
        <f aca="false">IF(SUMIFS($F$2:$F$397,$A$2:$A$397,A147)=0,0,F147/SUMIFS($F$2:$F$397,$A$2:$A$397,A147))</f>
        <v>0.0882006897307345</v>
      </c>
    </row>
    <row r="148" customFormat="false" ht="15" hidden="false" customHeight="false" outlineLevel="0" collapsed="false">
      <c r="A148" s="10" t="n">
        <v>45323</v>
      </c>
      <c r="B148" s="18" t="n">
        <f aca="false">YEAR(A148)</f>
        <v>2024</v>
      </c>
      <c r="C148" s="19" t="str">
        <f aca="false">"Q"&amp;ROUNDUP(MONTH(A148)/3,0)</f>
        <v>Q1</v>
      </c>
      <c r="D148" s="19" t="s">
        <v>216</v>
      </c>
      <c r="E148" s="19" t="s">
        <v>212</v>
      </c>
      <c r="F148" s="12" t="n">
        <v>6802231</v>
      </c>
      <c r="G148" s="12" t="n">
        <v>1105719</v>
      </c>
      <c r="H148" s="12" t="n">
        <v>100750017</v>
      </c>
      <c r="I148" s="16" t="n">
        <v>39.6</v>
      </c>
      <c r="J148" s="13" t="n">
        <v>0.113</v>
      </c>
      <c r="K148" s="16" t="n">
        <v>18.8</v>
      </c>
      <c r="L148" s="13" t="n">
        <f aca="false">IF(SUMIFS($F$2:$F$397,$A$2:$A$397,A148)=0,0,F148/SUMIFS($F$2:$F$397,$A$2:$A$397,A148))</f>
        <v>0.0589113008762719</v>
      </c>
    </row>
    <row r="149" customFormat="false" ht="15" hidden="false" customHeight="false" outlineLevel="0" collapsed="false">
      <c r="A149" s="10" t="n">
        <v>45323</v>
      </c>
      <c r="B149" s="18" t="n">
        <f aca="false">YEAR(A149)</f>
        <v>2024</v>
      </c>
      <c r="C149" s="19" t="str">
        <f aca="false">"Q"&amp;ROUNDUP(MONTH(A149)/3,0)</f>
        <v>Q1</v>
      </c>
      <c r="D149" s="19" t="s">
        <v>217</v>
      </c>
      <c r="E149" s="19" t="s">
        <v>218</v>
      </c>
      <c r="F149" s="12" t="n">
        <v>8436043</v>
      </c>
      <c r="G149" s="12" t="n">
        <v>1472585</v>
      </c>
      <c r="H149" s="12" t="n">
        <v>142523936</v>
      </c>
      <c r="I149" s="16" t="n">
        <v>45.3</v>
      </c>
      <c r="J149" s="13" t="n">
        <v>0.084</v>
      </c>
      <c r="K149" s="16" t="n">
        <v>26.9</v>
      </c>
      <c r="L149" s="13" t="n">
        <f aca="false">IF(SUMIFS($F$2:$F$397,$A$2:$A$397,A149)=0,0,F149/SUMIFS($F$2:$F$397,$A$2:$A$397,A149))</f>
        <v>0.0730610688431733</v>
      </c>
    </row>
    <row r="150" customFormat="false" ht="15" hidden="false" customHeight="false" outlineLevel="0" collapsed="false">
      <c r="A150" s="10" t="n">
        <v>45323</v>
      </c>
      <c r="B150" s="18" t="n">
        <f aca="false">YEAR(A150)</f>
        <v>2024</v>
      </c>
      <c r="C150" s="19" t="str">
        <f aca="false">"Q"&amp;ROUNDUP(MONTH(A150)/3,0)</f>
        <v>Q1</v>
      </c>
      <c r="D150" s="19" t="s">
        <v>219</v>
      </c>
      <c r="E150" s="19" t="s">
        <v>218</v>
      </c>
      <c r="F150" s="12" t="n">
        <v>7113717</v>
      </c>
      <c r="G150" s="12" t="n">
        <v>1046226</v>
      </c>
      <c r="H150" s="12" t="n">
        <v>123719805</v>
      </c>
      <c r="I150" s="16" t="n">
        <v>46.2</v>
      </c>
      <c r="J150" s="13" t="n">
        <v>0.097</v>
      </c>
      <c r="K150" s="16" t="n">
        <v>24.9</v>
      </c>
      <c r="L150" s="13" t="n">
        <f aca="false">IF(SUMIFS($F$2:$F$397,$A$2:$A$397,A150)=0,0,F150/SUMIFS($F$2:$F$397,$A$2:$A$397,A150))</f>
        <v>0.0616089519064628</v>
      </c>
    </row>
    <row r="151" customFormat="false" ht="15" hidden="false" customHeight="false" outlineLevel="0" collapsed="false">
      <c r="A151" s="10" t="n">
        <v>45323</v>
      </c>
      <c r="B151" s="18" t="n">
        <f aca="false">YEAR(A151)</f>
        <v>2024</v>
      </c>
      <c r="C151" s="19" t="str">
        <f aca="false">"Q"&amp;ROUNDUP(MONTH(A151)/3,0)</f>
        <v>Q1</v>
      </c>
      <c r="D151" s="19" t="s">
        <v>220</v>
      </c>
      <c r="E151" s="19" t="s">
        <v>214</v>
      </c>
      <c r="F151" s="12" t="n">
        <v>5586773</v>
      </c>
      <c r="G151" s="12" t="n">
        <v>915258</v>
      </c>
      <c r="H151" s="12" t="n">
        <v>83462879</v>
      </c>
      <c r="I151" s="16" t="n">
        <v>41.2</v>
      </c>
      <c r="J151" s="13" t="n">
        <v>0.119</v>
      </c>
      <c r="K151" s="16" t="n">
        <v>19.2</v>
      </c>
      <c r="L151" s="13" t="n">
        <f aca="false">IF(SUMIFS($F$2:$F$397,$A$2:$A$397,A151)=0,0,F151/SUMIFS($F$2:$F$397,$A$2:$A$397,A151))</f>
        <v>0.0483847233547982</v>
      </c>
    </row>
    <row r="152" customFormat="false" ht="15" hidden="false" customHeight="false" outlineLevel="0" collapsed="false">
      <c r="A152" s="10" t="n">
        <v>45323</v>
      </c>
      <c r="B152" s="18" t="n">
        <f aca="false">YEAR(A152)</f>
        <v>2024</v>
      </c>
      <c r="C152" s="19" t="str">
        <f aca="false">"Q"&amp;ROUNDUP(MONTH(A152)/3,0)</f>
        <v>Q1</v>
      </c>
      <c r="D152" s="19" t="s">
        <v>221</v>
      </c>
      <c r="E152" s="19" t="s">
        <v>214</v>
      </c>
      <c r="F152" s="12" t="n">
        <v>4689112</v>
      </c>
      <c r="G152" s="12" t="n">
        <v>776223</v>
      </c>
      <c r="H152" s="12" t="n">
        <v>71743657</v>
      </c>
      <c r="I152" s="16" t="n">
        <v>40.1</v>
      </c>
      <c r="J152" s="13" t="n">
        <v>0.119</v>
      </c>
      <c r="K152" s="16" t="n">
        <v>19.3</v>
      </c>
      <c r="L152" s="13" t="n">
        <f aca="false">IF(SUMIFS($F$2:$F$397,$A$2:$A$397,A152)=0,0,F152/SUMIFS($F$2:$F$397,$A$2:$A$397,A152))</f>
        <v>0.0406104538164813</v>
      </c>
    </row>
    <row r="153" customFormat="false" ht="15" hidden="false" customHeight="false" outlineLevel="0" collapsed="false">
      <c r="A153" s="10" t="n">
        <v>45323</v>
      </c>
      <c r="B153" s="18" t="n">
        <f aca="false">YEAR(A153)</f>
        <v>2024</v>
      </c>
      <c r="C153" s="19" t="str">
        <f aca="false">"Q"&amp;ROUNDUP(MONTH(A153)/3,0)</f>
        <v>Q1</v>
      </c>
      <c r="D153" s="19" t="s">
        <v>222</v>
      </c>
      <c r="E153" s="19" t="s">
        <v>218</v>
      </c>
      <c r="F153" s="12" t="n">
        <v>5331974</v>
      </c>
      <c r="G153" s="12" t="n">
        <v>931215</v>
      </c>
      <c r="H153" s="12" t="n">
        <v>86779431</v>
      </c>
      <c r="I153" s="16" t="n">
        <v>44.2</v>
      </c>
      <c r="J153" s="13" t="n">
        <v>0.078</v>
      </c>
      <c r="K153" s="16" t="n">
        <v>23.9</v>
      </c>
      <c r="L153" s="13" t="n">
        <f aca="false">IF(SUMIFS($F$2:$F$397,$A$2:$A$397,A153)=0,0,F153/SUMIFS($F$2:$F$397,$A$2:$A$397,A153))</f>
        <v>0.0461780149157621</v>
      </c>
    </row>
    <row r="154" customFormat="false" ht="15" hidden="false" customHeight="false" outlineLevel="0" collapsed="false">
      <c r="A154" s="10" t="n">
        <v>45323</v>
      </c>
      <c r="B154" s="18" t="n">
        <f aca="false">YEAR(A154)</f>
        <v>2024</v>
      </c>
      <c r="C154" s="19" t="str">
        <f aca="false">"Q"&amp;ROUNDUP(MONTH(A154)/3,0)</f>
        <v>Q1</v>
      </c>
      <c r="D154" s="19" t="s">
        <v>223</v>
      </c>
      <c r="E154" s="19" t="s">
        <v>224</v>
      </c>
      <c r="F154" s="12" t="n">
        <v>4601667</v>
      </c>
      <c r="G154" s="12" t="n">
        <v>769593</v>
      </c>
      <c r="H154" s="12" t="n">
        <v>72092316</v>
      </c>
      <c r="I154" s="16" t="n">
        <v>41.2</v>
      </c>
      <c r="J154" s="13" t="n">
        <v>0.103</v>
      </c>
      <c r="K154" s="16" t="n">
        <v>18.7</v>
      </c>
      <c r="L154" s="13" t="n">
        <f aca="false">IF(SUMIFS($F$2:$F$397,$A$2:$A$397,A154)=0,0,F154/SUMIFS($F$2:$F$397,$A$2:$A$397,A154))</f>
        <v>0.0398531289468722</v>
      </c>
    </row>
    <row r="155" customFormat="false" ht="15" hidden="false" customHeight="false" outlineLevel="0" collapsed="false">
      <c r="A155" s="10" t="n">
        <v>45323</v>
      </c>
      <c r="B155" s="18" t="n">
        <f aca="false">YEAR(A155)</f>
        <v>2024</v>
      </c>
      <c r="C155" s="19" t="str">
        <f aca="false">"Q"&amp;ROUNDUP(MONTH(A155)/3,0)</f>
        <v>Q1</v>
      </c>
      <c r="D155" s="19" t="s">
        <v>225</v>
      </c>
      <c r="E155" s="19" t="s">
        <v>226</v>
      </c>
      <c r="F155" s="12" t="n">
        <v>10563715</v>
      </c>
      <c r="G155" s="12" t="n">
        <v>1872263</v>
      </c>
      <c r="H155" s="12" t="n">
        <v>150657788</v>
      </c>
      <c r="I155" s="16" t="n">
        <v>38.3</v>
      </c>
      <c r="J155" s="13" t="n">
        <v>0.091</v>
      </c>
      <c r="K155" s="16" t="n">
        <v>17.1</v>
      </c>
      <c r="L155" s="13" t="n">
        <f aca="false">IF(SUMIFS($F$2:$F$397,$A$2:$A$397,A155)=0,0,F155/SUMIFS($F$2:$F$397,$A$2:$A$397,A155))</f>
        <v>0.0914879533988462</v>
      </c>
    </row>
    <row r="156" customFormat="false" ht="15" hidden="false" customHeight="false" outlineLevel="0" collapsed="false">
      <c r="A156" s="10" t="n">
        <v>45352</v>
      </c>
      <c r="B156" s="18" t="n">
        <f aca="false">YEAR(A156)</f>
        <v>2024</v>
      </c>
      <c r="C156" s="19" t="str">
        <f aca="false">"Q"&amp;ROUNDUP(MONTH(A156)/3,0)</f>
        <v>Q1</v>
      </c>
      <c r="D156" s="19" t="s">
        <v>211</v>
      </c>
      <c r="E156" s="19" t="s">
        <v>212</v>
      </c>
      <c r="F156" s="12" t="n">
        <v>33837929</v>
      </c>
      <c r="G156" s="12" t="n">
        <v>5719358</v>
      </c>
      <c r="H156" s="12" t="n">
        <v>489058773</v>
      </c>
      <c r="I156" s="16" t="n">
        <v>41.6</v>
      </c>
      <c r="J156" s="13" t="n">
        <v>0.117</v>
      </c>
      <c r="K156" s="16" t="n">
        <v>21.4</v>
      </c>
      <c r="L156" s="13" t="n">
        <f aca="false">IF(SUMIFS($F$2:$F$397,$A$2:$A$397,A156)=0,0,F156/SUMIFS($F$2:$F$397,$A$2:$A$397,A156))</f>
        <v>0.287030434976969</v>
      </c>
    </row>
    <row r="157" customFormat="false" ht="15" hidden="false" customHeight="false" outlineLevel="0" collapsed="false">
      <c r="A157" s="10" t="n">
        <v>45352</v>
      </c>
      <c r="B157" s="18" t="n">
        <f aca="false">YEAR(A157)</f>
        <v>2024</v>
      </c>
      <c r="C157" s="19" t="str">
        <f aca="false">"Q"&amp;ROUNDUP(MONTH(A157)/3,0)</f>
        <v>Q1</v>
      </c>
      <c r="D157" s="19" t="s">
        <v>213</v>
      </c>
      <c r="E157" s="19" t="s">
        <v>214</v>
      </c>
      <c r="F157" s="12" t="n">
        <v>19417220</v>
      </c>
      <c r="G157" s="12" t="n">
        <v>3289330</v>
      </c>
      <c r="H157" s="12" t="n">
        <v>299915773</v>
      </c>
      <c r="I157" s="16" t="n">
        <v>41.9</v>
      </c>
      <c r="J157" s="13" t="n">
        <v>0.137</v>
      </c>
      <c r="K157" s="16" t="n">
        <v>22.2</v>
      </c>
      <c r="L157" s="13" t="n">
        <f aca="false">IF(SUMIFS($F$2:$F$397,$A$2:$A$397,A157)=0,0,F157/SUMIFS($F$2:$F$397,$A$2:$A$397,A157))</f>
        <v>0.164706684698212</v>
      </c>
    </row>
    <row r="158" customFormat="false" ht="15" hidden="false" customHeight="false" outlineLevel="0" collapsed="false">
      <c r="A158" s="10" t="n">
        <v>45352</v>
      </c>
      <c r="B158" s="18" t="n">
        <f aca="false">YEAR(A158)</f>
        <v>2024</v>
      </c>
      <c r="C158" s="19" t="str">
        <f aca="false">"Q"&amp;ROUNDUP(MONTH(A158)/3,0)</f>
        <v>Q1</v>
      </c>
      <c r="D158" s="19" t="s">
        <v>215</v>
      </c>
      <c r="E158" s="19" t="s">
        <v>214</v>
      </c>
      <c r="F158" s="12" t="n">
        <v>10340111</v>
      </c>
      <c r="G158" s="12" t="n">
        <v>1676401</v>
      </c>
      <c r="H158" s="12" t="n">
        <v>155755251</v>
      </c>
      <c r="I158" s="16" t="n">
        <v>41.6</v>
      </c>
      <c r="J158" s="13" t="n">
        <v>0.125</v>
      </c>
      <c r="K158" s="16" t="n">
        <v>20</v>
      </c>
      <c r="L158" s="13" t="n">
        <f aca="false">IF(SUMIFS($F$2:$F$397,$A$2:$A$397,A158)=0,0,F158/SUMIFS($F$2:$F$397,$A$2:$A$397,A158))</f>
        <v>0.0877100533558109</v>
      </c>
    </row>
    <row r="159" customFormat="false" ht="15" hidden="false" customHeight="false" outlineLevel="0" collapsed="false">
      <c r="A159" s="10" t="n">
        <v>45352</v>
      </c>
      <c r="B159" s="18" t="n">
        <f aca="false">YEAR(A159)</f>
        <v>2024</v>
      </c>
      <c r="C159" s="19" t="str">
        <f aca="false">"Q"&amp;ROUNDUP(MONTH(A159)/3,0)</f>
        <v>Q1</v>
      </c>
      <c r="D159" s="19" t="s">
        <v>216</v>
      </c>
      <c r="E159" s="19" t="s">
        <v>212</v>
      </c>
      <c r="F159" s="12" t="n">
        <v>7028021</v>
      </c>
      <c r="G159" s="12" t="n">
        <v>1163231</v>
      </c>
      <c r="H159" s="12" t="n">
        <v>103176429</v>
      </c>
      <c r="I159" s="16" t="n">
        <v>40</v>
      </c>
      <c r="J159" s="13" t="n">
        <v>0.112</v>
      </c>
      <c r="K159" s="16" t="n">
        <v>19.4</v>
      </c>
      <c r="L159" s="13" t="n">
        <f aca="false">IF(SUMIFS($F$2:$F$397,$A$2:$A$397,A159)=0,0,F159/SUMIFS($F$2:$F$397,$A$2:$A$397,A159))</f>
        <v>0.0596152301359008</v>
      </c>
    </row>
    <row r="160" customFormat="false" ht="15" hidden="false" customHeight="false" outlineLevel="0" collapsed="false">
      <c r="A160" s="10" t="n">
        <v>45352</v>
      </c>
      <c r="B160" s="18" t="n">
        <f aca="false">YEAR(A160)</f>
        <v>2024</v>
      </c>
      <c r="C160" s="19" t="str">
        <f aca="false">"Q"&amp;ROUNDUP(MONTH(A160)/3,0)</f>
        <v>Q1</v>
      </c>
      <c r="D160" s="19" t="s">
        <v>217</v>
      </c>
      <c r="E160" s="19" t="s">
        <v>218</v>
      </c>
      <c r="F160" s="12" t="n">
        <v>8918201</v>
      </c>
      <c r="G160" s="12" t="n">
        <v>1447451</v>
      </c>
      <c r="H160" s="12" t="n">
        <v>157098742</v>
      </c>
      <c r="I160" s="16" t="n">
        <v>46</v>
      </c>
      <c r="J160" s="13" t="n">
        <v>0.077</v>
      </c>
      <c r="K160" s="16" t="n">
        <v>26.8</v>
      </c>
      <c r="L160" s="13" t="n">
        <f aca="false">IF(SUMIFS($F$2:$F$397,$A$2:$A$397,A160)=0,0,F160/SUMIFS($F$2:$F$397,$A$2:$A$397,A160))</f>
        <v>0.0756486932826781</v>
      </c>
    </row>
    <row r="161" customFormat="false" ht="15" hidden="false" customHeight="false" outlineLevel="0" collapsed="false">
      <c r="A161" s="10" t="n">
        <v>45352</v>
      </c>
      <c r="B161" s="18" t="n">
        <f aca="false">YEAR(A161)</f>
        <v>2024</v>
      </c>
      <c r="C161" s="19" t="str">
        <f aca="false">"Q"&amp;ROUNDUP(MONTH(A161)/3,0)</f>
        <v>Q1</v>
      </c>
      <c r="D161" s="19" t="s">
        <v>219</v>
      </c>
      <c r="E161" s="19" t="s">
        <v>218</v>
      </c>
      <c r="F161" s="12" t="n">
        <v>7372398</v>
      </c>
      <c r="G161" s="12" t="n">
        <v>1200932</v>
      </c>
      <c r="H161" s="12" t="n">
        <v>118142362</v>
      </c>
      <c r="I161" s="16" t="n">
        <v>45.2</v>
      </c>
      <c r="J161" s="13" t="n">
        <v>0.097</v>
      </c>
      <c r="K161" s="16" t="n">
        <v>25.1</v>
      </c>
      <c r="L161" s="13" t="n">
        <f aca="false">IF(SUMIFS($F$2:$F$397,$A$2:$A$397,A161)=0,0,F161/SUMIFS($F$2:$F$397,$A$2:$A$397,A161))</f>
        <v>0.0625364100965911</v>
      </c>
    </row>
    <row r="162" customFormat="false" ht="15" hidden="false" customHeight="false" outlineLevel="0" collapsed="false">
      <c r="A162" s="10" t="n">
        <v>45352</v>
      </c>
      <c r="B162" s="18" t="n">
        <f aca="false">YEAR(A162)</f>
        <v>2024</v>
      </c>
      <c r="C162" s="19" t="str">
        <f aca="false">"Q"&amp;ROUNDUP(MONTH(A162)/3,0)</f>
        <v>Q1</v>
      </c>
      <c r="D162" s="19" t="s">
        <v>220</v>
      </c>
      <c r="E162" s="19" t="s">
        <v>214</v>
      </c>
      <c r="F162" s="12" t="n">
        <v>5920370</v>
      </c>
      <c r="G162" s="12" t="n">
        <v>993904</v>
      </c>
      <c r="H162" s="12" t="n">
        <v>91614508</v>
      </c>
      <c r="I162" s="16" t="n">
        <v>41.3</v>
      </c>
      <c r="J162" s="13" t="n">
        <v>0.12</v>
      </c>
      <c r="K162" s="16" t="n">
        <v>19.3</v>
      </c>
      <c r="L162" s="13" t="n">
        <f aca="false">IF(SUMIFS($F$2:$F$397,$A$2:$A$397,A162)=0,0,F162/SUMIFS($F$2:$F$397,$A$2:$A$397,A162))</f>
        <v>0.0502195739084563</v>
      </c>
    </row>
    <row r="163" customFormat="false" ht="15" hidden="false" customHeight="false" outlineLevel="0" collapsed="false">
      <c r="A163" s="10" t="n">
        <v>45352</v>
      </c>
      <c r="B163" s="18" t="n">
        <f aca="false">YEAR(A163)</f>
        <v>2024</v>
      </c>
      <c r="C163" s="19" t="str">
        <f aca="false">"Q"&amp;ROUNDUP(MONTH(A163)/3,0)</f>
        <v>Q1</v>
      </c>
      <c r="D163" s="19" t="s">
        <v>221</v>
      </c>
      <c r="E163" s="19" t="s">
        <v>214</v>
      </c>
      <c r="F163" s="12" t="n">
        <v>4410682</v>
      </c>
      <c r="G163" s="12" t="n">
        <v>724722</v>
      </c>
      <c r="H163" s="12" t="n">
        <v>69222675</v>
      </c>
      <c r="I163" s="16" t="n">
        <v>40.2</v>
      </c>
      <c r="J163" s="13" t="n">
        <v>0.129</v>
      </c>
      <c r="K163" s="16" t="n">
        <v>19.6</v>
      </c>
      <c r="L163" s="13" t="n">
        <f aca="false">IF(SUMIFS($F$2:$F$397,$A$2:$A$397,A163)=0,0,F163/SUMIFS($F$2:$F$397,$A$2:$A$397,A163))</f>
        <v>0.0374136364257129</v>
      </c>
    </row>
    <row r="164" customFormat="false" ht="15" hidden="false" customHeight="false" outlineLevel="0" collapsed="false">
      <c r="A164" s="10" t="n">
        <v>45352</v>
      </c>
      <c r="B164" s="18" t="n">
        <f aca="false">YEAR(A164)</f>
        <v>2024</v>
      </c>
      <c r="C164" s="19" t="str">
        <f aca="false">"Q"&amp;ROUNDUP(MONTH(A164)/3,0)</f>
        <v>Q1</v>
      </c>
      <c r="D164" s="19" t="s">
        <v>222</v>
      </c>
      <c r="E164" s="19" t="s">
        <v>218</v>
      </c>
      <c r="F164" s="12" t="n">
        <v>5674150</v>
      </c>
      <c r="G164" s="12" t="n">
        <v>837740</v>
      </c>
      <c r="H164" s="12" t="n">
        <v>92272985</v>
      </c>
      <c r="I164" s="16" t="n">
        <v>44.8</v>
      </c>
      <c r="J164" s="13" t="n">
        <v>0.071</v>
      </c>
      <c r="K164" s="16" t="n">
        <v>23.7</v>
      </c>
      <c r="L164" s="13" t="n">
        <f aca="false">IF(SUMIFS($F$2:$F$397,$A$2:$A$397,A164)=0,0,F164/SUMIFS($F$2:$F$397,$A$2:$A$397,A164))</f>
        <v>0.0481310112869073</v>
      </c>
    </row>
    <row r="165" customFormat="false" ht="15" hidden="false" customHeight="false" outlineLevel="0" collapsed="false">
      <c r="A165" s="10" t="n">
        <v>45352</v>
      </c>
      <c r="B165" s="18" t="n">
        <f aca="false">YEAR(A165)</f>
        <v>2024</v>
      </c>
      <c r="C165" s="19" t="str">
        <f aca="false">"Q"&amp;ROUNDUP(MONTH(A165)/3,0)</f>
        <v>Q1</v>
      </c>
      <c r="D165" s="19" t="s">
        <v>223</v>
      </c>
      <c r="E165" s="19" t="s">
        <v>224</v>
      </c>
      <c r="F165" s="12" t="n">
        <v>4397306</v>
      </c>
      <c r="G165" s="12" t="n">
        <v>790750</v>
      </c>
      <c r="H165" s="12" t="n">
        <v>65857166</v>
      </c>
      <c r="I165" s="16" t="n">
        <v>39.5</v>
      </c>
      <c r="J165" s="13" t="n">
        <v>0.107</v>
      </c>
      <c r="K165" s="16" t="n">
        <v>18.5</v>
      </c>
      <c r="L165" s="13" t="n">
        <f aca="false">IF(SUMIFS($F$2:$F$397,$A$2:$A$397,A165)=0,0,F165/SUMIFS($F$2:$F$397,$A$2:$A$397,A165))</f>
        <v>0.0373001744257704</v>
      </c>
    </row>
    <row r="166" customFormat="false" ht="15" hidden="false" customHeight="false" outlineLevel="0" collapsed="false">
      <c r="A166" s="10" t="n">
        <v>45352</v>
      </c>
      <c r="B166" s="18" t="n">
        <f aca="false">YEAR(A166)</f>
        <v>2024</v>
      </c>
      <c r="C166" s="19" t="str">
        <f aca="false">"Q"&amp;ROUNDUP(MONTH(A166)/3,0)</f>
        <v>Q1</v>
      </c>
      <c r="D166" s="19" t="s">
        <v>225</v>
      </c>
      <c r="E166" s="19" t="s">
        <v>226</v>
      </c>
      <c r="F166" s="12" t="n">
        <v>10573302</v>
      </c>
      <c r="G166" s="12" t="n">
        <v>1707212</v>
      </c>
      <c r="H166" s="12" t="n">
        <v>150367981</v>
      </c>
      <c r="I166" s="16" t="n">
        <v>39.1</v>
      </c>
      <c r="J166" s="13" t="n">
        <v>0.094</v>
      </c>
      <c r="K166" s="16" t="n">
        <v>17.4</v>
      </c>
      <c r="L166" s="13" t="n">
        <f aca="false">IF(SUMIFS($F$2:$F$397,$A$2:$A$397,A166)=0,0,F166/SUMIFS($F$2:$F$397,$A$2:$A$397,A166))</f>
        <v>0.0896880974069912</v>
      </c>
    </row>
    <row r="167" customFormat="false" ht="15" hidden="false" customHeight="false" outlineLevel="0" collapsed="false">
      <c r="A167" s="10" t="n">
        <v>45383</v>
      </c>
      <c r="B167" s="18" t="n">
        <f aca="false">YEAR(A167)</f>
        <v>2024</v>
      </c>
      <c r="C167" s="19" t="str">
        <f aca="false">"Q"&amp;ROUNDUP(MONTH(A167)/3,0)</f>
        <v>Q2</v>
      </c>
      <c r="D167" s="19" t="s">
        <v>211</v>
      </c>
      <c r="E167" s="19" t="s">
        <v>212</v>
      </c>
      <c r="F167" s="12" t="n">
        <v>35170802</v>
      </c>
      <c r="G167" s="12" t="n">
        <v>5948967</v>
      </c>
      <c r="H167" s="12" t="n">
        <v>546427960</v>
      </c>
      <c r="I167" s="16" t="n">
        <v>42.1</v>
      </c>
      <c r="J167" s="13" t="n">
        <v>0.105</v>
      </c>
      <c r="K167" s="16" t="n">
        <v>21.8</v>
      </c>
      <c r="L167" s="13" t="n">
        <f aca="false">IF(SUMIFS($F$2:$F$397,$A$2:$A$397,A167)=0,0,F167/SUMIFS($F$2:$F$397,$A$2:$A$397,A167))</f>
        <v>0.293377071462239</v>
      </c>
    </row>
    <row r="168" customFormat="false" ht="15" hidden="false" customHeight="false" outlineLevel="0" collapsed="false">
      <c r="A168" s="10" t="n">
        <v>45383</v>
      </c>
      <c r="B168" s="18" t="n">
        <f aca="false">YEAR(A168)</f>
        <v>2024</v>
      </c>
      <c r="C168" s="19" t="str">
        <f aca="false">"Q"&amp;ROUNDUP(MONTH(A168)/3,0)</f>
        <v>Q2</v>
      </c>
      <c r="D168" s="19" t="s">
        <v>213</v>
      </c>
      <c r="E168" s="19" t="s">
        <v>214</v>
      </c>
      <c r="F168" s="12" t="n">
        <v>18976853</v>
      </c>
      <c r="G168" s="12" t="n">
        <v>3206142</v>
      </c>
      <c r="H168" s="12" t="n">
        <v>288694139</v>
      </c>
      <c r="I168" s="16" t="n">
        <v>41.8</v>
      </c>
      <c r="J168" s="13" t="n">
        <v>0.129</v>
      </c>
      <c r="K168" s="16" t="n">
        <v>22.8</v>
      </c>
      <c r="L168" s="13" t="n">
        <f aca="false">IF(SUMIFS($F$2:$F$397,$A$2:$A$397,A168)=0,0,F168/SUMIFS($F$2:$F$397,$A$2:$A$397,A168))</f>
        <v>0.158295325728125</v>
      </c>
    </row>
    <row r="169" customFormat="false" ht="15" hidden="false" customHeight="false" outlineLevel="0" collapsed="false">
      <c r="A169" s="10" t="n">
        <v>45383</v>
      </c>
      <c r="B169" s="18" t="n">
        <f aca="false">YEAR(A169)</f>
        <v>2024</v>
      </c>
      <c r="C169" s="19" t="str">
        <f aca="false">"Q"&amp;ROUNDUP(MONTH(A169)/3,0)</f>
        <v>Q2</v>
      </c>
      <c r="D169" s="19" t="s">
        <v>215</v>
      </c>
      <c r="E169" s="19" t="s">
        <v>214</v>
      </c>
      <c r="F169" s="12" t="n">
        <v>10110724</v>
      </c>
      <c r="G169" s="12" t="n">
        <v>1476790</v>
      </c>
      <c r="H169" s="12" t="n">
        <v>152710990</v>
      </c>
      <c r="I169" s="16" t="n">
        <v>42.4</v>
      </c>
      <c r="J169" s="13" t="n">
        <v>0.133</v>
      </c>
      <c r="K169" s="16" t="n">
        <v>21</v>
      </c>
      <c r="L169" s="13" t="n">
        <f aca="false">IF(SUMIFS($F$2:$F$397,$A$2:$A$397,A169)=0,0,F169/SUMIFS($F$2:$F$397,$A$2:$A$397,A169))</f>
        <v>0.0843385543918781</v>
      </c>
    </row>
    <row r="170" customFormat="false" ht="15" hidden="false" customHeight="false" outlineLevel="0" collapsed="false">
      <c r="A170" s="10" t="n">
        <v>45383</v>
      </c>
      <c r="B170" s="18" t="n">
        <f aca="false">YEAR(A170)</f>
        <v>2024</v>
      </c>
      <c r="C170" s="19" t="str">
        <f aca="false">"Q"&amp;ROUNDUP(MONTH(A170)/3,0)</f>
        <v>Q2</v>
      </c>
      <c r="D170" s="19" t="s">
        <v>216</v>
      </c>
      <c r="E170" s="19" t="s">
        <v>212</v>
      </c>
      <c r="F170" s="12" t="n">
        <v>6732027</v>
      </c>
      <c r="G170" s="12" t="n">
        <v>1093522</v>
      </c>
      <c r="H170" s="12" t="n">
        <v>99611098</v>
      </c>
      <c r="I170" s="16" t="n">
        <v>40.5</v>
      </c>
      <c r="J170" s="13" t="n">
        <v>0.124</v>
      </c>
      <c r="K170" s="16" t="n">
        <v>20</v>
      </c>
      <c r="L170" s="13" t="n">
        <f aca="false">IF(SUMIFS($F$2:$F$397,$A$2:$A$397,A170)=0,0,F170/SUMIFS($F$2:$F$397,$A$2:$A$397,A170))</f>
        <v>0.0561551700261121</v>
      </c>
    </row>
    <row r="171" customFormat="false" ht="15" hidden="false" customHeight="false" outlineLevel="0" collapsed="false">
      <c r="A171" s="10" t="n">
        <v>45383</v>
      </c>
      <c r="B171" s="18" t="n">
        <f aca="false">YEAR(A171)</f>
        <v>2024</v>
      </c>
      <c r="C171" s="19" t="str">
        <f aca="false">"Q"&amp;ROUNDUP(MONTH(A171)/3,0)</f>
        <v>Q2</v>
      </c>
      <c r="D171" s="19" t="s">
        <v>217</v>
      </c>
      <c r="E171" s="19" t="s">
        <v>218</v>
      </c>
      <c r="F171" s="12" t="n">
        <v>9388894</v>
      </c>
      <c r="G171" s="12" t="n">
        <v>1532249</v>
      </c>
      <c r="H171" s="12" t="n">
        <v>158487854</v>
      </c>
      <c r="I171" s="16" t="n">
        <v>47.1</v>
      </c>
      <c r="J171" s="13" t="n">
        <v>0.088</v>
      </c>
      <c r="K171" s="16" t="n">
        <v>26.8</v>
      </c>
      <c r="L171" s="13" t="n">
        <f aca="false">IF(SUMIFS($F$2:$F$397,$A$2:$A$397,A171)=0,0,F171/SUMIFS($F$2:$F$397,$A$2:$A$397,A171))</f>
        <v>0.0783174130060892</v>
      </c>
    </row>
    <row r="172" customFormat="false" ht="15" hidden="false" customHeight="false" outlineLevel="0" collapsed="false">
      <c r="A172" s="10" t="n">
        <v>45383</v>
      </c>
      <c r="B172" s="18" t="n">
        <f aca="false">YEAR(A172)</f>
        <v>2024</v>
      </c>
      <c r="C172" s="19" t="str">
        <f aca="false">"Q"&amp;ROUNDUP(MONTH(A172)/3,0)</f>
        <v>Q2</v>
      </c>
      <c r="D172" s="19" t="s">
        <v>219</v>
      </c>
      <c r="E172" s="19" t="s">
        <v>218</v>
      </c>
      <c r="F172" s="12" t="n">
        <v>7269286</v>
      </c>
      <c r="G172" s="12" t="n">
        <v>1153344</v>
      </c>
      <c r="H172" s="12" t="n">
        <v>125309575</v>
      </c>
      <c r="I172" s="16" t="n">
        <v>44.1</v>
      </c>
      <c r="J172" s="13" t="n">
        <v>0.091</v>
      </c>
      <c r="K172" s="16" t="n">
        <v>25.7</v>
      </c>
      <c r="L172" s="13" t="n">
        <f aca="false">IF(SUMIFS($F$2:$F$397,$A$2:$A$397,A172)=0,0,F172/SUMIFS($F$2:$F$397,$A$2:$A$397,A172))</f>
        <v>0.0606367133254867</v>
      </c>
    </row>
    <row r="173" customFormat="false" ht="15" hidden="false" customHeight="false" outlineLevel="0" collapsed="false">
      <c r="A173" s="10" t="n">
        <v>45383</v>
      </c>
      <c r="B173" s="18" t="n">
        <f aca="false">YEAR(A173)</f>
        <v>2024</v>
      </c>
      <c r="C173" s="19" t="str">
        <f aca="false">"Q"&amp;ROUNDUP(MONTH(A173)/3,0)</f>
        <v>Q2</v>
      </c>
      <c r="D173" s="19" t="s">
        <v>220</v>
      </c>
      <c r="E173" s="19" t="s">
        <v>214</v>
      </c>
      <c r="F173" s="12" t="n">
        <v>5679765</v>
      </c>
      <c r="G173" s="12" t="n">
        <v>938293</v>
      </c>
      <c r="H173" s="12" t="n">
        <v>85894567</v>
      </c>
      <c r="I173" s="16" t="n">
        <v>41.2</v>
      </c>
      <c r="J173" s="13" t="n">
        <v>0.126</v>
      </c>
      <c r="K173" s="16" t="n">
        <v>21.3</v>
      </c>
      <c r="L173" s="13" t="n">
        <f aca="false">IF(SUMIFS($F$2:$F$397,$A$2:$A$397,A173)=0,0,F173/SUMIFS($F$2:$F$397,$A$2:$A$397,A173))</f>
        <v>0.0473777317416226</v>
      </c>
    </row>
    <row r="174" customFormat="false" ht="15" hidden="false" customHeight="false" outlineLevel="0" collapsed="false">
      <c r="A174" s="10" t="n">
        <v>45383</v>
      </c>
      <c r="B174" s="18" t="n">
        <f aca="false">YEAR(A174)</f>
        <v>2024</v>
      </c>
      <c r="C174" s="19" t="str">
        <f aca="false">"Q"&amp;ROUNDUP(MONTH(A174)/3,0)</f>
        <v>Q2</v>
      </c>
      <c r="D174" s="19" t="s">
        <v>221</v>
      </c>
      <c r="E174" s="19" t="s">
        <v>214</v>
      </c>
      <c r="F174" s="12" t="n">
        <v>4649120</v>
      </c>
      <c r="G174" s="12" t="n">
        <v>799703</v>
      </c>
      <c r="H174" s="12" t="n">
        <v>67687077</v>
      </c>
      <c r="I174" s="16" t="n">
        <v>41</v>
      </c>
      <c r="J174" s="13" t="n">
        <v>0.126</v>
      </c>
      <c r="K174" s="16" t="n">
        <v>20.3</v>
      </c>
      <c r="L174" s="13" t="n">
        <f aca="false">IF(SUMIFS($F$2:$F$397,$A$2:$A$397,A174)=0,0,F174/SUMIFS($F$2:$F$397,$A$2:$A$397,A174))</f>
        <v>0.0387806115560437</v>
      </c>
    </row>
    <row r="175" customFormat="false" ht="15" hidden="false" customHeight="false" outlineLevel="0" collapsed="false">
      <c r="A175" s="10" t="n">
        <v>45383</v>
      </c>
      <c r="B175" s="18" t="n">
        <f aca="false">YEAR(A175)</f>
        <v>2024</v>
      </c>
      <c r="C175" s="19" t="str">
        <f aca="false">"Q"&amp;ROUNDUP(MONTH(A175)/3,0)</f>
        <v>Q2</v>
      </c>
      <c r="D175" s="19" t="s">
        <v>222</v>
      </c>
      <c r="E175" s="19" t="s">
        <v>218</v>
      </c>
      <c r="F175" s="12" t="n">
        <v>6200936</v>
      </c>
      <c r="G175" s="12" t="n">
        <v>947794</v>
      </c>
      <c r="H175" s="12" t="n">
        <v>103063192</v>
      </c>
      <c r="I175" s="16" t="n">
        <v>44</v>
      </c>
      <c r="J175" s="13" t="n">
        <v>0.08</v>
      </c>
      <c r="K175" s="16" t="n">
        <v>24.4</v>
      </c>
      <c r="L175" s="13" t="n">
        <f aca="false">IF(SUMIFS($F$2:$F$397,$A$2:$A$397,A175)=0,0,F175/SUMIFS($F$2:$F$397,$A$2:$A$397,A175))</f>
        <v>0.0517250770683242</v>
      </c>
    </row>
    <row r="176" customFormat="false" ht="15" hidden="false" customHeight="false" outlineLevel="0" collapsed="false">
      <c r="A176" s="10" t="n">
        <v>45383</v>
      </c>
      <c r="B176" s="18" t="n">
        <f aca="false">YEAR(A176)</f>
        <v>2024</v>
      </c>
      <c r="C176" s="19" t="str">
        <f aca="false">"Q"&amp;ROUNDUP(MONTH(A176)/3,0)</f>
        <v>Q2</v>
      </c>
      <c r="D176" s="19" t="s">
        <v>223</v>
      </c>
      <c r="E176" s="19" t="s">
        <v>224</v>
      </c>
      <c r="F176" s="12" t="n">
        <v>4738608</v>
      </c>
      <c r="G176" s="12" t="n">
        <v>813680</v>
      </c>
      <c r="H176" s="12" t="n">
        <v>71527764</v>
      </c>
      <c r="I176" s="16" t="n">
        <v>40.8</v>
      </c>
      <c r="J176" s="13" t="n">
        <v>0.101</v>
      </c>
      <c r="K176" s="16" t="n">
        <v>18.3</v>
      </c>
      <c r="L176" s="13" t="n">
        <f aca="false">IF(SUMIFS($F$2:$F$397,$A$2:$A$397,A176)=0,0,F176/SUMIFS($F$2:$F$397,$A$2:$A$397,A176))</f>
        <v>0.0395270752667948</v>
      </c>
    </row>
    <row r="177" customFormat="false" ht="15" hidden="false" customHeight="false" outlineLevel="0" collapsed="false">
      <c r="A177" s="10" t="n">
        <v>45383</v>
      </c>
      <c r="B177" s="18" t="n">
        <f aca="false">YEAR(A177)</f>
        <v>2024</v>
      </c>
      <c r="C177" s="19" t="str">
        <f aca="false">"Q"&amp;ROUNDUP(MONTH(A177)/3,0)</f>
        <v>Q2</v>
      </c>
      <c r="D177" s="19" t="s">
        <v>225</v>
      </c>
      <c r="E177" s="19" t="s">
        <v>226</v>
      </c>
      <c r="F177" s="12" t="n">
        <v>10965571</v>
      </c>
      <c r="G177" s="12" t="n">
        <v>1826705</v>
      </c>
      <c r="H177" s="12" t="n">
        <v>162616917</v>
      </c>
      <c r="I177" s="16" t="n">
        <v>39.3</v>
      </c>
      <c r="J177" s="13" t="n">
        <v>0.091</v>
      </c>
      <c r="K177" s="16" t="n">
        <v>17.3</v>
      </c>
      <c r="L177" s="13" t="n">
        <f aca="false">IF(SUMIFS($F$2:$F$397,$A$2:$A$397,A177)=0,0,F177/SUMIFS($F$2:$F$397,$A$2:$A$397,A177))</f>
        <v>0.0914692564272846</v>
      </c>
    </row>
    <row r="178" customFormat="false" ht="15" hidden="false" customHeight="false" outlineLevel="0" collapsed="false">
      <c r="A178" s="10" t="n">
        <v>45413</v>
      </c>
      <c r="B178" s="18" t="n">
        <f aca="false">YEAR(A178)</f>
        <v>2024</v>
      </c>
      <c r="C178" s="19" t="str">
        <f aca="false">"Q"&amp;ROUNDUP(MONTH(A178)/3,0)</f>
        <v>Q2</v>
      </c>
      <c r="D178" s="19" t="s">
        <v>211</v>
      </c>
      <c r="E178" s="19" t="s">
        <v>212</v>
      </c>
      <c r="F178" s="12" t="n">
        <v>34981397</v>
      </c>
      <c r="G178" s="12" t="n">
        <v>6141341</v>
      </c>
      <c r="H178" s="12" t="n">
        <v>546982207</v>
      </c>
      <c r="I178" s="16" t="n">
        <v>41.3</v>
      </c>
      <c r="J178" s="13" t="n">
        <v>0.117</v>
      </c>
      <c r="K178" s="16" t="n">
        <v>21.9</v>
      </c>
      <c r="L178" s="13" t="n">
        <f aca="false">IF(SUMIFS($F$2:$F$397,$A$2:$A$397,A178)=0,0,F178/SUMIFS($F$2:$F$397,$A$2:$A$397,A178))</f>
        <v>0.289146211208871</v>
      </c>
    </row>
    <row r="179" customFormat="false" ht="15" hidden="false" customHeight="false" outlineLevel="0" collapsed="false">
      <c r="A179" s="10" t="n">
        <v>45413</v>
      </c>
      <c r="B179" s="18" t="n">
        <f aca="false">YEAR(A179)</f>
        <v>2024</v>
      </c>
      <c r="C179" s="19" t="str">
        <f aca="false">"Q"&amp;ROUNDUP(MONTH(A179)/3,0)</f>
        <v>Q2</v>
      </c>
      <c r="D179" s="19" t="s">
        <v>213</v>
      </c>
      <c r="E179" s="19" t="s">
        <v>214</v>
      </c>
      <c r="F179" s="12" t="n">
        <v>19207416</v>
      </c>
      <c r="G179" s="12" t="n">
        <v>3385710</v>
      </c>
      <c r="H179" s="12" t="n">
        <v>301546176</v>
      </c>
      <c r="I179" s="16" t="n">
        <v>41.9</v>
      </c>
      <c r="J179" s="13" t="n">
        <v>0.137</v>
      </c>
      <c r="K179" s="16" t="n">
        <v>21.8</v>
      </c>
      <c r="L179" s="13" t="n">
        <f aca="false">IF(SUMIFS($F$2:$F$397,$A$2:$A$397,A179)=0,0,F179/SUMIFS($F$2:$F$397,$A$2:$A$397,A179))</f>
        <v>0.158763000903385</v>
      </c>
    </row>
    <row r="180" customFormat="false" ht="15" hidden="false" customHeight="false" outlineLevel="0" collapsed="false">
      <c r="A180" s="10" t="n">
        <v>45413</v>
      </c>
      <c r="B180" s="18" t="n">
        <f aca="false">YEAR(A180)</f>
        <v>2024</v>
      </c>
      <c r="C180" s="19" t="str">
        <f aca="false">"Q"&amp;ROUNDUP(MONTH(A180)/3,0)</f>
        <v>Q2</v>
      </c>
      <c r="D180" s="19" t="s">
        <v>215</v>
      </c>
      <c r="E180" s="19" t="s">
        <v>214</v>
      </c>
      <c r="F180" s="12" t="n">
        <v>10298718</v>
      </c>
      <c r="G180" s="12" t="n">
        <v>1879039</v>
      </c>
      <c r="H180" s="12" t="n">
        <v>154584953</v>
      </c>
      <c r="I180" s="16" t="n">
        <v>41.4</v>
      </c>
      <c r="J180" s="13" t="n">
        <v>0.128</v>
      </c>
      <c r="K180" s="16" t="n">
        <v>20.4</v>
      </c>
      <c r="L180" s="13" t="n">
        <f aca="false">IF(SUMIFS($F$2:$F$397,$A$2:$A$397,A180)=0,0,F180/SUMIFS($F$2:$F$397,$A$2:$A$397,A180))</f>
        <v>0.0851262541061069</v>
      </c>
    </row>
    <row r="181" customFormat="false" ht="15" hidden="false" customHeight="false" outlineLevel="0" collapsed="false">
      <c r="A181" s="10" t="n">
        <v>45413</v>
      </c>
      <c r="B181" s="18" t="n">
        <f aca="false">YEAR(A181)</f>
        <v>2024</v>
      </c>
      <c r="C181" s="19" t="str">
        <f aca="false">"Q"&amp;ROUNDUP(MONTH(A181)/3,0)</f>
        <v>Q2</v>
      </c>
      <c r="D181" s="19" t="s">
        <v>216</v>
      </c>
      <c r="E181" s="19" t="s">
        <v>212</v>
      </c>
      <c r="F181" s="12" t="n">
        <v>6891008</v>
      </c>
      <c r="G181" s="12" t="n">
        <v>1092400</v>
      </c>
      <c r="H181" s="12" t="n">
        <v>103344433</v>
      </c>
      <c r="I181" s="16" t="n">
        <v>40.6</v>
      </c>
      <c r="J181" s="13" t="n">
        <v>0.109</v>
      </c>
      <c r="K181" s="16" t="n">
        <v>18.4</v>
      </c>
      <c r="L181" s="13" t="n">
        <f aca="false">IF(SUMIFS($F$2:$F$397,$A$2:$A$397,A181)=0,0,F181/SUMIFS($F$2:$F$397,$A$2:$A$397,A181))</f>
        <v>0.056959098992245</v>
      </c>
    </row>
    <row r="182" customFormat="false" ht="15" hidden="false" customHeight="false" outlineLevel="0" collapsed="false">
      <c r="A182" s="10" t="n">
        <v>45413</v>
      </c>
      <c r="B182" s="18" t="n">
        <f aca="false">YEAR(A182)</f>
        <v>2024</v>
      </c>
      <c r="C182" s="19" t="str">
        <f aca="false">"Q"&amp;ROUNDUP(MONTH(A182)/3,0)</f>
        <v>Q2</v>
      </c>
      <c r="D182" s="19" t="s">
        <v>217</v>
      </c>
      <c r="E182" s="19" t="s">
        <v>218</v>
      </c>
      <c r="F182" s="12" t="n">
        <v>9440678</v>
      </c>
      <c r="G182" s="12" t="n">
        <v>1554701</v>
      </c>
      <c r="H182" s="12" t="n">
        <v>160262294</v>
      </c>
      <c r="I182" s="16" t="n">
        <v>45.4</v>
      </c>
      <c r="J182" s="13" t="n">
        <v>0.077</v>
      </c>
      <c r="K182" s="16" t="n">
        <v>25.9</v>
      </c>
      <c r="L182" s="13" t="n">
        <f aca="false">IF(SUMIFS($F$2:$F$397,$A$2:$A$397,A182)=0,0,F182/SUMIFS($F$2:$F$397,$A$2:$A$397,A182))</f>
        <v>0.0780339411528632</v>
      </c>
    </row>
    <row r="183" customFormat="false" ht="15" hidden="false" customHeight="false" outlineLevel="0" collapsed="false">
      <c r="A183" s="10" t="n">
        <v>45413</v>
      </c>
      <c r="B183" s="18" t="n">
        <f aca="false">YEAR(A183)</f>
        <v>2024</v>
      </c>
      <c r="C183" s="19" t="str">
        <f aca="false">"Q"&amp;ROUNDUP(MONTH(A183)/3,0)</f>
        <v>Q2</v>
      </c>
      <c r="D183" s="19" t="s">
        <v>219</v>
      </c>
      <c r="E183" s="19" t="s">
        <v>218</v>
      </c>
      <c r="F183" s="12" t="n">
        <v>7185222</v>
      </c>
      <c r="G183" s="12" t="n">
        <v>1166595</v>
      </c>
      <c r="H183" s="12" t="n">
        <v>120893905</v>
      </c>
      <c r="I183" s="16" t="n">
        <v>45.6</v>
      </c>
      <c r="J183" s="13" t="n">
        <v>0.093</v>
      </c>
      <c r="K183" s="16" t="n">
        <v>25.3</v>
      </c>
      <c r="L183" s="13" t="n">
        <f aca="false">IF(SUMIFS($F$2:$F$397,$A$2:$A$397,A183)=0,0,F183/SUMIFS($F$2:$F$397,$A$2:$A$397,A183))</f>
        <v>0.0593909876725229</v>
      </c>
    </row>
    <row r="184" customFormat="false" ht="15" hidden="false" customHeight="false" outlineLevel="0" collapsed="false">
      <c r="A184" s="10" t="n">
        <v>45413</v>
      </c>
      <c r="B184" s="18" t="n">
        <f aca="false">YEAR(A184)</f>
        <v>2024</v>
      </c>
      <c r="C184" s="19" t="str">
        <f aca="false">"Q"&amp;ROUNDUP(MONTH(A184)/3,0)</f>
        <v>Q2</v>
      </c>
      <c r="D184" s="19" t="s">
        <v>220</v>
      </c>
      <c r="E184" s="19" t="s">
        <v>214</v>
      </c>
      <c r="F184" s="12" t="n">
        <v>5787397</v>
      </c>
      <c r="G184" s="12" t="n">
        <v>942947</v>
      </c>
      <c r="H184" s="12" t="n">
        <v>85812090</v>
      </c>
      <c r="I184" s="16" t="n">
        <v>41.7</v>
      </c>
      <c r="J184" s="13" t="n">
        <v>0.126</v>
      </c>
      <c r="K184" s="16" t="n">
        <v>19</v>
      </c>
      <c r="L184" s="13" t="n">
        <f aca="false">IF(SUMIFS($F$2:$F$397,$A$2:$A$397,A184)=0,0,F184/SUMIFS($F$2:$F$397,$A$2:$A$397,A184))</f>
        <v>0.0478369664685372</v>
      </c>
    </row>
    <row r="185" customFormat="false" ht="15" hidden="false" customHeight="false" outlineLevel="0" collapsed="false">
      <c r="A185" s="10" t="n">
        <v>45413</v>
      </c>
      <c r="B185" s="18" t="n">
        <f aca="false">YEAR(A185)</f>
        <v>2024</v>
      </c>
      <c r="C185" s="19" t="str">
        <f aca="false">"Q"&amp;ROUNDUP(MONTH(A185)/3,0)</f>
        <v>Q2</v>
      </c>
      <c r="D185" s="19" t="s">
        <v>221</v>
      </c>
      <c r="E185" s="19" t="s">
        <v>214</v>
      </c>
      <c r="F185" s="12" t="n">
        <v>4820017</v>
      </c>
      <c r="G185" s="12" t="n">
        <v>794810</v>
      </c>
      <c r="H185" s="12" t="n">
        <v>74905177</v>
      </c>
      <c r="I185" s="16" t="n">
        <v>41.1</v>
      </c>
      <c r="J185" s="13" t="n">
        <v>0.125</v>
      </c>
      <c r="K185" s="16" t="n">
        <v>18.8</v>
      </c>
      <c r="L185" s="13" t="n">
        <f aca="false">IF(SUMIFS($F$2:$F$397,$A$2:$A$397,A185)=0,0,F185/SUMIFS($F$2:$F$397,$A$2:$A$397,A185))</f>
        <v>0.0398408803831462</v>
      </c>
    </row>
    <row r="186" customFormat="false" ht="15" hidden="false" customHeight="false" outlineLevel="0" collapsed="false">
      <c r="A186" s="10" t="n">
        <v>45413</v>
      </c>
      <c r="B186" s="18" t="n">
        <f aca="false">YEAR(A186)</f>
        <v>2024</v>
      </c>
      <c r="C186" s="19" t="str">
        <f aca="false">"Q"&amp;ROUNDUP(MONTH(A186)/3,0)</f>
        <v>Q2</v>
      </c>
      <c r="D186" s="19" t="s">
        <v>222</v>
      </c>
      <c r="E186" s="19" t="s">
        <v>218</v>
      </c>
      <c r="F186" s="12" t="n">
        <v>6381414</v>
      </c>
      <c r="G186" s="12" t="n">
        <v>989793</v>
      </c>
      <c r="H186" s="12" t="n">
        <v>101163673</v>
      </c>
      <c r="I186" s="16" t="n">
        <v>44.8</v>
      </c>
      <c r="J186" s="13" t="n">
        <v>0.078</v>
      </c>
      <c r="K186" s="16" t="n">
        <v>24.5</v>
      </c>
      <c r="L186" s="13" t="n">
        <f aca="false">IF(SUMIFS($F$2:$F$397,$A$2:$A$397,A186)=0,0,F186/SUMIFS($F$2:$F$397,$A$2:$A$397,A186))</f>
        <v>0.0527469409027675</v>
      </c>
    </row>
    <row r="187" customFormat="false" ht="15" hidden="false" customHeight="false" outlineLevel="0" collapsed="false">
      <c r="A187" s="10" t="n">
        <v>45413</v>
      </c>
      <c r="B187" s="18" t="n">
        <f aca="false">YEAR(A187)</f>
        <v>2024</v>
      </c>
      <c r="C187" s="19" t="str">
        <f aca="false">"Q"&amp;ROUNDUP(MONTH(A187)/3,0)</f>
        <v>Q2</v>
      </c>
      <c r="D187" s="19" t="s">
        <v>223</v>
      </c>
      <c r="E187" s="19" t="s">
        <v>224</v>
      </c>
      <c r="F187" s="12" t="n">
        <v>4856582</v>
      </c>
      <c r="G187" s="12" t="n">
        <v>787700</v>
      </c>
      <c r="H187" s="12" t="n">
        <v>74288865</v>
      </c>
      <c r="I187" s="16" t="n">
        <v>42.3</v>
      </c>
      <c r="J187" s="13" t="n">
        <v>0.105</v>
      </c>
      <c r="K187" s="16" t="n">
        <v>18.7</v>
      </c>
      <c r="L187" s="13" t="n">
        <f aca="false">IF(SUMIFS($F$2:$F$397,$A$2:$A$397,A187)=0,0,F187/SUMIFS($F$2:$F$397,$A$2:$A$397,A187))</f>
        <v>0.0401431162033124</v>
      </c>
    </row>
    <row r="188" customFormat="false" ht="15" hidden="false" customHeight="false" outlineLevel="0" collapsed="false">
      <c r="A188" s="10" t="n">
        <v>45413</v>
      </c>
      <c r="B188" s="18" t="n">
        <f aca="false">YEAR(A188)</f>
        <v>2024</v>
      </c>
      <c r="C188" s="19" t="str">
        <f aca="false">"Q"&amp;ROUNDUP(MONTH(A188)/3,0)</f>
        <v>Q2</v>
      </c>
      <c r="D188" s="19" t="s">
        <v>225</v>
      </c>
      <c r="E188" s="19" t="s">
        <v>226</v>
      </c>
      <c r="F188" s="12" t="n">
        <v>11131840</v>
      </c>
      <c r="G188" s="12" t="n">
        <v>1737204</v>
      </c>
      <c r="H188" s="12" t="n">
        <v>154727533</v>
      </c>
      <c r="I188" s="16" t="n">
        <v>39.2</v>
      </c>
      <c r="J188" s="13" t="n">
        <v>0.093</v>
      </c>
      <c r="K188" s="16" t="n">
        <v>17.2</v>
      </c>
      <c r="L188" s="13" t="n">
        <f aca="false">IF(SUMIFS($F$2:$F$397,$A$2:$A$397,A188)=0,0,F188/SUMIFS($F$2:$F$397,$A$2:$A$397,A188))</f>
        <v>0.0920126020062425</v>
      </c>
    </row>
    <row r="189" customFormat="false" ht="15" hidden="false" customHeight="false" outlineLevel="0" collapsed="false">
      <c r="A189" s="10" t="n">
        <v>45444</v>
      </c>
      <c r="B189" s="18" t="n">
        <f aca="false">YEAR(A189)</f>
        <v>2024</v>
      </c>
      <c r="C189" s="19" t="str">
        <f aca="false">"Q"&amp;ROUNDUP(MONTH(A189)/3,0)</f>
        <v>Q2</v>
      </c>
      <c r="D189" s="19" t="s">
        <v>211</v>
      </c>
      <c r="E189" s="19" t="s">
        <v>212</v>
      </c>
      <c r="F189" s="12" t="n">
        <v>35658332</v>
      </c>
      <c r="G189" s="12" t="n">
        <v>5885346</v>
      </c>
      <c r="H189" s="12" t="n">
        <v>543787589</v>
      </c>
      <c r="I189" s="16" t="n">
        <v>42.1</v>
      </c>
      <c r="J189" s="13" t="n">
        <v>0.119</v>
      </c>
      <c r="K189" s="16" t="n">
        <v>21.9</v>
      </c>
      <c r="L189" s="13" t="n">
        <f aca="false">IF(SUMIFS($F$2:$F$397,$A$2:$A$397,A189)=0,0,F189/SUMIFS($F$2:$F$397,$A$2:$A$397,A189))</f>
        <v>0.290748616494502</v>
      </c>
    </row>
    <row r="190" customFormat="false" ht="15" hidden="false" customHeight="false" outlineLevel="0" collapsed="false">
      <c r="A190" s="10" t="n">
        <v>45444</v>
      </c>
      <c r="B190" s="18" t="n">
        <f aca="false">YEAR(A190)</f>
        <v>2024</v>
      </c>
      <c r="C190" s="19" t="str">
        <f aca="false">"Q"&amp;ROUNDUP(MONTH(A190)/3,0)</f>
        <v>Q2</v>
      </c>
      <c r="D190" s="19" t="s">
        <v>213</v>
      </c>
      <c r="E190" s="19" t="s">
        <v>214</v>
      </c>
      <c r="F190" s="12" t="n">
        <v>19510341</v>
      </c>
      <c r="G190" s="12" t="n">
        <v>3028578</v>
      </c>
      <c r="H190" s="12" t="n">
        <v>306191824</v>
      </c>
      <c r="I190" s="16" t="n">
        <v>41.8</v>
      </c>
      <c r="J190" s="13" t="n">
        <v>0.137</v>
      </c>
      <c r="K190" s="16" t="n">
        <v>22.5</v>
      </c>
      <c r="L190" s="13" t="n">
        <f aca="false">IF(SUMIFS($F$2:$F$397,$A$2:$A$397,A190)=0,0,F190/SUMIFS($F$2:$F$397,$A$2:$A$397,A190))</f>
        <v>0.159082164950564</v>
      </c>
    </row>
    <row r="191" customFormat="false" ht="15" hidden="false" customHeight="false" outlineLevel="0" collapsed="false">
      <c r="A191" s="10" t="n">
        <v>45444</v>
      </c>
      <c r="B191" s="18" t="n">
        <f aca="false">YEAR(A191)</f>
        <v>2024</v>
      </c>
      <c r="C191" s="19" t="str">
        <f aca="false">"Q"&amp;ROUNDUP(MONTH(A191)/3,0)</f>
        <v>Q2</v>
      </c>
      <c r="D191" s="19" t="s">
        <v>215</v>
      </c>
      <c r="E191" s="19" t="s">
        <v>214</v>
      </c>
      <c r="F191" s="12" t="n">
        <v>10534150</v>
      </c>
      <c r="G191" s="12" t="n">
        <v>1619155</v>
      </c>
      <c r="H191" s="12" t="n">
        <v>164277432</v>
      </c>
      <c r="I191" s="16" t="n">
        <v>40.8</v>
      </c>
      <c r="J191" s="13" t="n">
        <v>0.125</v>
      </c>
      <c r="K191" s="16" t="n">
        <v>21.4</v>
      </c>
      <c r="L191" s="13" t="n">
        <f aca="false">IF(SUMIFS($F$2:$F$397,$A$2:$A$397,A191)=0,0,F191/SUMIFS($F$2:$F$397,$A$2:$A$397,A191))</f>
        <v>0.0858926754747125</v>
      </c>
    </row>
    <row r="192" customFormat="false" ht="15" hidden="false" customHeight="false" outlineLevel="0" collapsed="false">
      <c r="A192" s="10" t="n">
        <v>45444</v>
      </c>
      <c r="B192" s="18" t="n">
        <f aca="false">YEAR(A192)</f>
        <v>2024</v>
      </c>
      <c r="C192" s="19" t="str">
        <f aca="false">"Q"&amp;ROUNDUP(MONTH(A192)/3,0)</f>
        <v>Q2</v>
      </c>
      <c r="D192" s="19" t="s">
        <v>216</v>
      </c>
      <c r="E192" s="19" t="s">
        <v>212</v>
      </c>
      <c r="F192" s="12" t="n">
        <v>7140986</v>
      </c>
      <c r="G192" s="12" t="n">
        <v>1157269</v>
      </c>
      <c r="H192" s="12" t="n">
        <v>110976114</v>
      </c>
      <c r="I192" s="16" t="n">
        <v>41.1</v>
      </c>
      <c r="J192" s="13" t="n">
        <v>0.108</v>
      </c>
      <c r="K192" s="16" t="n">
        <v>20</v>
      </c>
      <c r="L192" s="13" t="n">
        <f aca="false">IF(SUMIFS($F$2:$F$397,$A$2:$A$397,A192)=0,0,F192/SUMIFS($F$2:$F$397,$A$2:$A$397,A192))</f>
        <v>0.0582257128546172</v>
      </c>
    </row>
    <row r="193" customFormat="false" ht="15" hidden="false" customHeight="false" outlineLevel="0" collapsed="false">
      <c r="A193" s="10" t="n">
        <v>45444</v>
      </c>
      <c r="B193" s="18" t="n">
        <f aca="false">YEAR(A193)</f>
        <v>2024</v>
      </c>
      <c r="C193" s="19" t="str">
        <f aca="false">"Q"&amp;ROUNDUP(MONTH(A193)/3,0)</f>
        <v>Q2</v>
      </c>
      <c r="D193" s="19" t="s">
        <v>217</v>
      </c>
      <c r="E193" s="19" t="s">
        <v>218</v>
      </c>
      <c r="F193" s="12" t="n">
        <v>9111469</v>
      </c>
      <c r="G193" s="12" t="n">
        <v>1548654</v>
      </c>
      <c r="H193" s="12" t="n">
        <v>157730481</v>
      </c>
      <c r="I193" s="16" t="n">
        <v>46.3</v>
      </c>
      <c r="J193" s="13" t="n">
        <v>0.088</v>
      </c>
      <c r="K193" s="16" t="n">
        <v>27.3</v>
      </c>
      <c r="L193" s="13" t="n">
        <f aca="false">IF(SUMIFS($F$2:$F$397,$A$2:$A$397,A193)=0,0,F193/SUMIFS($F$2:$F$397,$A$2:$A$397,A193))</f>
        <v>0.0742925105409457</v>
      </c>
    </row>
    <row r="194" customFormat="false" ht="15" hidden="false" customHeight="false" outlineLevel="0" collapsed="false">
      <c r="A194" s="10" t="n">
        <v>45444</v>
      </c>
      <c r="B194" s="18" t="n">
        <f aca="false">YEAR(A194)</f>
        <v>2024</v>
      </c>
      <c r="C194" s="19" t="str">
        <f aca="false">"Q"&amp;ROUNDUP(MONTH(A194)/3,0)</f>
        <v>Q2</v>
      </c>
      <c r="D194" s="19" t="s">
        <v>219</v>
      </c>
      <c r="E194" s="19" t="s">
        <v>218</v>
      </c>
      <c r="F194" s="12" t="n">
        <v>8123736</v>
      </c>
      <c r="G194" s="12" t="n">
        <v>1418554</v>
      </c>
      <c r="H194" s="12" t="n">
        <v>137037479</v>
      </c>
      <c r="I194" s="16" t="n">
        <v>46.3</v>
      </c>
      <c r="J194" s="13" t="n">
        <v>0.091</v>
      </c>
      <c r="K194" s="16" t="n">
        <v>26.5</v>
      </c>
      <c r="L194" s="13" t="n">
        <f aca="false">IF(SUMIFS($F$2:$F$397,$A$2:$A$397,A194)=0,0,F194/SUMIFS($F$2:$F$397,$A$2:$A$397,A194))</f>
        <v>0.0662387966651547</v>
      </c>
    </row>
    <row r="195" customFormat="false" ht="15" hidden="false" customHeight="false" outlineLevel="0" collapsed="false">
      <c r="A195" s="10" t="n">
        <v>45444</v>
      </c>
      <c r="B195" s="18" t="n">
        <f aca="false">YEAR(A195)</f>
        <v>2024</v>
      </c>
      <c r="C195" s="19" t="str">
        <f aca="false">"Q"&amp;ROUNDUP(MONTH(A195)/3,0)</f>
        <v>Q2</v>
      </c>
      <c r="D195" s="19" t="s">
        <v>220</v>
      </c>
      <c r="E195" s="19" t="s">
        <v>214</v>
      </c>
      <c r="F195" s="12" t="n">
        <v>5568822</v>
      </c>
      <c r="G195" s="12" t="n">
        <v>853509</v>
      </c>
      <c r="H195" s="12" t="n">
        <v>84806072</v>
      </c>
      <c r="I195" s="16" t="n">
        <v>41.9</v>
      </c>
      <c r="J195" s="13" t="n">
        <v>0.12</v>
      </c>
      <c r="K195" s="16" t="n">
        <v>19.2</v>
      </c>
      <c r="L195" s="13" t="n">
        <f aca="false">IF(SUMIFS($F$2:$F$397,$A$2:$A$397,A195)=0,0,F195/SUMIFS($F$2:$F$397,$A$2:$A$397,A195))</f>
        <v>0.0454067030393947</v>
      </c>
    </row>
    <row r="196" customFormat="false" ht="15" hidden="false" customHeight="false" outlineLevel="0" collapsed="false">
      <c r="A196" s="10" t="n">
        <v>45444</v>
      </c>
      <c r="B196" s="18" t="n">
        <f aca="false">YEAR(A196)</f>
        <v>2024</v>
      </c>
      <c r="C196" s="19" t="str">
        <f aca="false">"Q"&amp;ROUNDUP(MONTH(A196)/3,0)</f>
        <v>Q2</v>
      </c>
      <c r="D196" s="19" t="s">
        <v>221</v>
      </c>
      <c r="E196" s="19" t="s">
        <v>214</v>
      </c>
      <c r="F196" s="12" t="n">
        <v>4708512</v>
      </c>
      <c r="G196" s="12" t="n">
        <v>769931</v>
      </c>
      <c r="H196" s="12" t="n">
        <v>70753726</v>
      </c>
      <c r="I196" s="16" t="n">
        <v>41.4</v>
      </c>
      <c r="J196" s="13" t="n">
        <v>0.131</v>
      </c>
      <c r="K196" s="16" t="n">
        <v>19.7</v>
      </c>
      <c r="L196" s="13" t="n">
        <f aca="false">IF(SUMIFS($F$2:$F$397,$A$2:$A$397,A196)=0,0,F196/SUMIFS($F$2:$F$397,$A$2:$A$397,A196))</f>
        <v>0.0383919626343644</v>
      </c>
    </row>
    <row r="197" customFormat="false" ht="15" hidden="false" customHeight="false" outlineLevel="0" collapsed="false">
      <c r="A197" s="10" t="n">
        <v>45444</v>
      </c>
      <c r="B197" s="18" t="n">
        <f aca="false">YEAR(A197)</f>
        <v>2024</v>
      </c>
      <c r="C197" s="19" t="str">
        <f aca="false">"Q"&amp;ROUNDUP(MONTH(A197)/3,0)</f>
        <v>Q2</v>
      </c>
      <c r="D197" s="19" t="s">
        <v>222</v>
      </c>
      <c r="E197" s="19" t="s">
        <v>218</v>
      </c>
      <c r="F197" s="12" t="n">
        <v>6409416</v>
      </c>
      <c r="G197" s="12" t="n">
        <v>1077524</v>
      </c>
      <c r="H197" s="12" t="n">
        <v>113517569</v>
      </c>
      <c r="I197" s="16" t="n">
        <v>45.2</v>
      </c>
      <c r="J197" s="13" t="n">
        <v>0.08</v>
      </c>
      <c r="K197" s="16" t="n">
        <v>25.7</v>
      </c>
      <c r="L197" s="13" t="n">
        <f aca="false">IF(SUMIFS($F$2:$F$397,$A$2:$A$397,A197)=0,0,F197/SUMIFS($F$2:$F$397,$A$2:$A$397,A197))</f>
        <v>0.0522606843903334</v>
      </c>
    </row>
    <row r="198" customFormat="false" ht="15" hidden="false" customHeight="false" outlineLevel="0" collapsed="false">
      <c r="A198" s="10" t="n">
        <v>45444</v>
      </c>
      <c r="B198" s="18" t="n">
        <f aca="false">YEAR(A198)</f>
        <v>2024</v>
      </c>
      <c r="C198" s="19" t="str">
        <f aca="false">"Q"&amp;ROUNDUP(MONTH(A198)/3,0)</f>
        <v>Q2</v>
      </c>
      <c r="D198" s="19" t="s">
        <v>223</v>
      </c>
      <c r="E198" s="19" t="s">
        <v>224</v>
      </c>
      <c r="F198" s="12" t="n">
        <v>5019415</v>
      </c>
      <c r="G198" s="12" t="n">
        <v>848293</v>
      </c>
      <c r="H198" s="12" t="n">
        <v>78583356</v>
      </c>
      <c r="I198" s="16" t="n">
        <v>42</v>
      </c>
      <c r="J198" s="13" t="n">
        <v>0.105</v>
      </c>
      <c r="K198" s="16" t="n">
        <v>18.3</v>
      </c>
      <c r="L198" s="13" t="n">
        <f aca="false">IF(SUMIFS($F$2:$F$397,$A$2:$A$397,A198)=0,0,F198/SUMIFS($F$2:$F$397,$A$2:$A$397,A198))</f>
        <v>0.0409269835409506</v>
      </c>
    </row>
    <row r="199" customFormat="false" ht="15" hidden="false" customHeight="false" outlineLevel="0" collapsed="false">
      <c r="A199" s="10" t="n">
        <v>45444</v>
      </c>
      <c r="B199" s="18" t="n">
        <f aca="false">YEAR(A199)</f>
        <v>2024</v>
      </c>
      <c r="C199" s="19" t="str">
        <f aca="false">"Q"&amp;ROUNDUP(MONTH(A199)/3,0)</f>
        <v>Q2</v>
      </c>
      <c r="D199" s="19" t="s">
        <v>225</v>
      </c>
      <c r="E199" s="19" t="s">
        <v>226</v>
      </c>
      <c r="F199" s="12" t="n">
        <v>10857991</v>
      </c>
      <c r="G199" s="12" t="n">
        <v>1609504</v>
      </c>
      <c r="H199" s="12" t="n">
        <v>159999689</v>
      </c>
      <c r="I199" s="16" t="n">
        <v>39.5</v>
      </c>
      <c r="J199" s="13" t="n">
        <v>0.095</v>
      </c>
      <c r="K199" s="16" t="n">
        <v>17.4</v>
      </c>
      <c r="L199" s="13" t="n">
        <f aca="false">IF(SUMIFS($F$2:$F$397,$A$2:$A$397,A199)=0,0,F199/SUMIFS($F$2:$F$397,$A$2:$A$397,A199))</f>
        <v>0.0885331894144615</v>
      </c>
    </row>
    <row r="200" customFormat="false" ht="15" hidden="false" customHeight="false" outlineLevel="0" collapsed="false">
      <c r="A200" s="10" t="n">
        <v>45474</v>
      </c>
      <c r="B200" s="18" t="n">
        <f aca="false">YEAR(A200)</f>
        <v>2024</v>
      </c>
      <c r="C200" s="19" t="str">
        <f aca="false">"Q"&amp;ROUNDUP(MONTH(A200)/3,0)</f>
        <v>Q3</v>
      </c>
      <c r="D200" s="19" t="s">
        <v>211</v>
      </c>
      <c r="E200" s="19" t="s">
        <v>212</v>
      </c>
      <c r="F200" s="12" t="n">
        <v>37818719</v>
      </c>
      <c r="G200" s="12" t="n">
        <v>5782174</v>
      </c>
      <c r="H200" s="12" t="n">
        <v>603638722</v>
      </c>
      <c r="I200" s="16" t="n">
        <v>42</v>
      </c>
      <c r="J200" s="13" t="n">
        <v>0.113</v>
      </c>
      <c r="K200" s="16" t="n">
        <v>21.9</v>
      </c>
      <c r="L200" s="13" t="n">
        <f aca="false">IF(SUMIFS($F$2:$F$397,$A$2:$A$397,A200)=0,0,F200/SUMIFS($F$2:$F$397,$A$2:$A$397,A200))</f>
        <v>0.298633946627316</v>
      </c>
    </row>
    <row r="201" customFormat="false" ht="15" hidden="false" customHeight="false" outlineLevel="0" collapsed="false">
      <c r="A201" s="10" t="n">
        <v>45474</v>
      </c>
      <c r="B201" s="18" t="n">
        <f aca="false">YEAR(A201)</f>
        <v>2024</v>
      </c>
      <c r="C201" s="19" t="str">
        <f aca="false">"Q"&amp;ROUNDUP(MONTH(A201)/3,0)</f>
        <v>Q3</v>
      </c>
      <c r="D201" s="19" t="s">
        <v>213</v>
      </c>
      <c r="E201" s="19" t="s">
        <v>214</v>
      </c>
      <c r="F201" s="12" t="n">
        <v>19447120</v>
      </c>
      <c r="G201" s="12" t="n">
        <v>3028885</v>
      </c>
      <c r="H201" s="12" t="n">
        <v>314323757</v>
      </c>
      <c r="I201" s="16" t="n">
        <v>41.8</v>
      </c>
      <c r="J201" s="13" t="n">
        <v>0.133</v>
      </c>
      <c r="K201" s="16" t="n">
        <v>23.1</v>
      </c>
      <c r="L201" s="13" t="n">
        <f aca="false">IF(SUMIFS($F$2:$F$397,$A$2:$A$397,A201)=0,0,F201/SUMIFS($F$2:$F$397,$A$2:$A$397,A201))</f>
        <v>0.15356337680647</v>
      </c>
    </row>
    <row r="202" customFormat="false" ht="15" hidden="false" customHeight="false" outlineLevel="0" collapsed="false">
      <c r="A202" s="10" t="n">
        <v>45474</v>
      </c>
      <c r="B202" s="18" t="n">
        <f aca="false">YEAR(A202)</f>
        <v>2024</v>
      </c>
      <c r="C202" s="19" t="str">
        <f aca="false">"Q"&amp;ROUNDUP(MONTH(A202)/3,0)</f>
        <v>Q3</v>
      </c>
      <c r="D202" s="19" t="s">
        <v>215</v>
      </c>
      <c r="E202" s="19" t="s">
        <v>214</v>
      </c>
      <c r="F202" s="12" t="n">
        <v>11219970</v>
      </c>
      <c r="G202" s="12" t="n">
        <v>1711206</v>
      </c>
      <c r="H202" s="12" t="n">
        <v>168624368</v>
      </c>
      <c r="I202" s="16" t="n">
        <v>42</v>
      </c>
      <c r="J202" s="13" t="n">
        <v>0.12</v>
      </c>
      <c r="K202" s="16" t="n">
        <v>21</v>
      </c>
      <c r="L202" s="13" t="n">
        <f aca="false">IF(SUMIFS($F$2:$F$397,$A$2:$A$397,A202)=0,0,F202/SUMIFS($F$2:$F$397,$A$2:$A$397,A202))</f>
        <v>0.0885980279273891</v>
      </c>
    </row>
    <row r="203" customFormat="false" ht="15" hidden="false" customHeight="false" outlineLevel="0" collapsed="false">
      <c r="A203" s="10" t="n">
        <v>45474</v>
      </c>
      <c r="B203" s="18" t="n">
        <f aca="false">YEAR(A203)</f>
        <v>2024</v>
      </c>
      <c r="C203" s="19" t="str">
        <f aca="false">"Q"&amp;ROUNDUP(MONTH(A203)/3,0)</f>
        <v>Q3</v>
      </c>
      <c r="D203" s="19" t="s">
        <v>216</v>
      </c>
      <c r="E203" s="19" t="s">
        <v>212</v>
      </c>
      <c r="F203" s="12" t="n">
        <v>7065484</v>
      </c>
      <c r="G203" s="12" t="n">
        <v>1108835</v>
      </c>
      <c r="H203" s="12" t="n">
        <v>106580500</v>
      </c>
      <c r="I203" s="16" t="n">
        <v>41.3</v>
      </c>
      <c r="J203" s="13" t="n">
        <v>0.11</v>
      </c>
      <c r="K203" s="16" t="n">
        <v>19.4</v>
      </c>
      <c r="L203" s="13" t="n">
        <f aca="false">IF(SUMIFS($F$2:$F$397,$A$2:$A$397,A203)=0,0,F203/SUMIFS($F$2:$F$397,$A$2:$A$397,A203))</f>
        <v>0.0557923014725103</v>
      </c>
    </row>
    <row r="204" customFormat="false" ht="15" hidden="false" customHeight="false" outlineLevel="0" collapsed="false">
      <c r="A204" s="10" t="n">
        <v>45474</v>
      </c>
      <c r="B204" s="18" t="n">
        <f aca="false">YEAR(A204)</f>
        <v>2024</v>
      </c>
      <c r="C204" s="19" t="str">
        <f aca="false">"Q"&amp;ROUNDUP(MONTH(A204)/3,0)</f>
        <v>Q3</v>
      </c>
      <c r="D204" s="19" t="s">
        <v>217</v>
      </c>
      <c r="E204" s="19" t="s">
        <v>218</v>
      </c>
      <c r="F204" s="12" t="n">
        <v>9682869</v>
      </c>
      <c r="G204" s="12" t="n">
        <v>1581253</v>
      </c>
      <c r="H204" s="12" t="n">
        <v>167023087</v>
      </c>
      <c r="I204" s="16" t="n">
        <v>47.8</v>
      </c>
      <c r="J204" s="13" t="n">
        <v>0.078</v>
      </c>
      <c r="K204" s="16" t="n">
        <v>27.7</v>
      </c>
      <c r="L204" s="13" t="n">
        <f aca="false">IF(SUMIFS($F$2:$F$397,$A$2:$A$397,A204)=0,0,F204/SUMIFS($F$2:$F$397,$A$2:$A$397,A204))</f>
        <v>0.0764603736087753</v>
      </c>
    </row>
    <row r="205" customFormat="false" ht="15" hidden="false" customHeight="false" outlineLevel="0" collapsed="false">
      <c r="A205" s="10" t="n">
        <v>45474</v>
      </c>
      <c r="B205" s="18" t="n">
        <f aca="false">YEAR(A205)</f>
        <v>2024</v>
      </c>
      <c r="C205" s="19" t="str">
        <f aca="false">"Q"&amp;ROUNDUP(MONTH(A205)/3,0)</f>
        <v>Q3</v>
      </c>
      <c r="D205" s="19" t="s">
        <v>219</v>
      </c>
      <c r="E205" s="19" t="s">
        <v>218</v>
      </c>
      <c r="F205" s="12" t="n">
        <v>8185097</v>
      </c>
      <c r="G205" s="12" t="n">
        <v>1466471</v>
      </c>
      <c r="H205" s="12" t="n">
        <v>142087290</v>
      </c>
      <c r="I205" s="16" t="n">
        <v>46</v>
      </c>
      <c r="J205" s="13" t="n">
        <v>0.097</v>
      </c>
      <c r="K205" s="16" t="n">
        <v>25.9</v>
      </c>
      <c r="L205" s="13" t="n">
        <f aca="false">IF(SUMIFS($F$2:$F$397,$A$2:$A$397,A205)=0,0,F205/SUMIFS($F$2:$F$397,$A$2:$A$397,A205))</f>
        <v>0.0646332791080893</v>
      </c>
    </row>
    <row r="206" customFormat="false" ht="15" hidden="false" customHeight="false" outlineLevel="0" collapsed="false">
      <c r="A206" s="10" t="n">
        <v>45474</v>
      </c>
      <c r="B206" s="18" t="n">
        <f aca="false">YEAR(A206)</f>
        <v>2024</v>
      </c>
      <c r="C206" s="19" t="str">
        <f aca="false">"Q"&amp;ROUNDUP(MONTH(A206)/3,0)</f>
        <v>Q3</v>
      </c>
      <c r="D206" s="19" t="s">
        <v>220</v>
      </c>
      <c r="E206" s="19" t="s">
        <v>214</v>
      </c>
      <c r="F206" s="12" t="n">
        <v>5910761</v>
      </c>
      <c r="G206" s="12" t="n">
        <v>957256</v>
      </c>
      <c r="H206" s="12" t="n">
        <v>87613845</v>
      </c>
      <c r="I206" s="16" t="n">
        <v>42.6</v>
      </c>
      <c r="J206" s="13" t="n">
        <v>0.124</v>
      </c>
      <c r="K206" s="16" t="n">
        <v>18.7</v>
      </c>
      <c r="L206" s="13" t="n">
        <f aca="false">IF(SUMIFS($F$2:$F$397,$A$2:$A$397,A206)=0,0,F206/SUMIFS($F$2:$F$397,$A$2:$A$397,A206))</f>
        <v>0.0466740791775845</v>
      </c>
    </row>
    <row r="207" customFormat="false" ht="15" hidden="false" customHeight="false" outlineLevel="0" collapsed="false">
      <c r="A207" s="10" t="n">
        <v>45474</v>
      </c>
      <c r="B207" s="18" t="n">
        <f aca="false">YEAR(A207)</f>
        <v>2024</v>
      </c>
      <c r="C207" s="19" t="str">
        <f aca="false">"Q"&amp;ROUNDUP(MONTH(A207)/3,0)</f>
        <v>Q3</v>
      </c>
      <c r="D207" s="19" t="s">
        <v>221</v>
      </c>
      <c r="E207" s="19" t="s">
        <v>214</v>
      </c>
      <c r="F207" s="12" t="n">
        <v>4524044</v>
      </c>
      <c r="G207" s="12" t="n">
        <v>739187</v>
      </c>
      <c r="H207" s="12" t="n">
        <v>70029982</v>
      </c>
      <c r="I207" s="16" t="n">
        <v>40.9</v>
      </c>
      <c r="J207" s="13" t="n">
        <v>0.12</v>
      </c>
      <c r="K207" s="16" t="n">
        <v>19.3</v>
      </c>
      <c r="L207" s="13" t="n">
        <f aca="false">IF(SUMIFS($F$2:$F$397,$A$2:$A$397,A207)=0,0,F207/SUMIFS($F$2:$F$397,$A$2:$A$397,A207))</f>
        <v>0.0357239258800814</v>
      </c>
    </row>
    <row r="208" customFormat="false" ht="15" hidden="false" customHeight="false" outlineLevel="0" collapsed="false">
      <c r="A208" s="10" t="n">
        <v>45474</v>
      </c>
      <c r="B208" s="18" t="n">
        <f aca="false">YEAR(A208)</f>
        <v>2024</v>
      </c>
      <c r="C208" s="19" t="str">
        <f aca="false">"Q"&amp;ROUNDUP(MONTH(A208)/3,0)</f>
        <v>Q3</v>
      </c>
      <c r="D208" s="19" t="s">
        <v>222</v>
      </c>
      <c r="E208" s="19" t="s">
        <v>218</v>
      </c>
      <c r="F208" s="12" t="n">
        <v>6340897</v>
      </c>
      <c r="G208" s="12" t="n">
        <v>1019800</v>
      </c>
      <c r="H208" s="12" t="n">
        <v>111882673</v>
      </c>
      <c r="I208" s="16" t="n">
        <v>45.3</v>
      </c>
      <c r="J208" s="13" t="n">
        <v>0.076</v>
      </c>
      <c r="K208" s="16" t="n">
        <v>24.8</v>
      </c>
      <c r="L208" s="13" t="n">
        <f aca="false">IF(SUMIFS($F$2:$F$397,$A$2:$A$397,A208)=0,0,F208/SUMIFS($F$2:$F$397,$A$2:$A$397,A208))</f>
        <v>0.0500706302682358</v>
      </c>
    </row>
    <row r="209" customFormat="false" ht="15" hidden="false" customHeight="false" outlineLevel="0" collapsed="false">
      <c r="A209" s="10" t="n">
        <v>45474</v>
      </c>
      <c r="B209" s="18" t="n">
        <f aca="false">YEAR(A209)</f>
        <v>2024</v>
      </c>
      <c r="C209" s="19" t="str">
        <f aca="false">"Q"&amp;ROUNDUP(MONTH(A209)/3,0)</f>
        <v>Q3</v>
      </c>
      <c r="D209" s="19" t="s">
        <v>223</v>
      </c>
      <c r="E209" s="19" t="s">
        <v>224</v>
      </c>
      <c r="F209" s="12" t="n">
        <v>5273238</v>
      </c>
      <c r="G209" s="12" t="n">
        <v>886481</v>
      </c>
      <c r="H209" s="12" t="n">
        <v>82904729</v>
      </c>
      <c r="I209" s="16" t="n">
        <v>41.7</v>
      </c>
      <c r="J209" s="13" t="n">
        <v>0.108</v>
      </c>
      <c r="K209" s="16" t="n">
        <v>18.6</v>
      </c>
      <c r="L209" s="13" t="n">
        <f aca="false">IF(SUMIFS($F$2:$F$397,$A$2:$A$397,A209)=0,0,F209/SUMIFS($F$2:$F$397,$A$2:$A$397,A209))</f>
        <v>0.0416399052396548</v>
      </c>
    </row>
    <row r="210" customFormat="false" ht="15" hidden="false" customHeight="false" outlineLevel="0" collapsed="false">
      <c r="A210" s="10" t="n">
        <v>45474</v>
      </c>
      <c r="B210" s="18" t="n">
        <f aca="false">YEAR(A210)</f>
        <v>2024</v>
      </c>
      <c r="C210" s="19" t="str">
        <f aca="false">"Q"&amp;ROUNDUP(MONTH(A210)/3,0)</f>
        <v>Q3</v>
      </c>
      <c r="D210" s="19" t="s">
        <v>225</v>
      </c>
      <c r="E210" s="19" t="s">
        <v>226</v>
      </c>
      <c r="F210" s="12" t="n">
        <v>11170850</v>
      </c>
      <c r="G210" s="12" t="n">
        <v>1585974</v>
      </c>
      <c r="H210" s="12" t="n">
        <v>171485884</v>
      </c>
      <c r="I210" s="16" t="n">
        <v>40</v>
      </c>
      <c r="J210" s="13" t="n">
        <v>0.09</v>
      </c>
      <c r="K210" s="16" t="n">
        <v>18.1</v>
      </c>
      <c r="L210" s="13" t="n">
        <f aca="false">IF(SUMIFS($F$2:$F$397,$A$2:$A$397,A210)=0,0,F210/SUMIFS($F$2:$F$397,$A$2:$A$397,A210))</f>
        <v>0.0882101538838941</v>
      </c>
    </row>
    <row r="211" customFormat="false" ht="15" hidden="false" customHeight="false" outlineLevel="0" collapsed="false">
      <c r="A211" s="10" t="n">
        <v>45505</v>
      </c>
      <c r="B211" s="18" t="n">
        <f aca="false">YEAR(A211)</f>
        <v>2024</v>
      </c>
      <c r="C211" s="19" t="str">
        <f aca="false">"Q"&amp;ROUNDUP(MONTH(A211)/3,0)</f>
        <v>Q3</v>
      </c>
      <c r="D211" s="19" t="s">
        <v>211</v>
      </c>
      <c r="E211" s="19" t="s">
        <v>212</v>
      </c>
      <c r="F211" s="12" t="n">
        <v>36981358</v>
      </c>
      <c r="G211" s="12" t="n">
        <v>5695542</v>
      </c>
      <c r="H211" s="12" t="n">
        <v>560253439</v>
      </c>
      <c r="I211" s="16" t="n">
        <v>42.6</v>
      </c>
      <c r="J211" s="13" t="n">
        <v>0.119</v>
      </c>
      <c r="K211" s="16" t="n">
        <v>23.1</v>
      </c>
      <c r="L211" s="13" t="n">
        <f aca="false">IF(SUMIFS($F$2:$F$397,$A$2:$A$397,A211)=0,0,F211/SUMIFS($F$2:$F$397,$A$2:$A$397,A211))</f>
        <v>0.283698054141394</v>
      </c>
    </row>
    <row r="212" customFormat="false" ht="15" hidden="false" customHeight="false" outlineLevel="0" collapsed="false">
      <c r="A212" s="10" t="n">
        <v>45505</v>
      </c>
      <c r="B212" s="18" t="n">
        <f aca="false">YEAR(A212)</f>
        <v>2024</v>
      </c>
      <c r="C212" s="19" t="str">
        <f aca="false">"Q"&amp;ROUNDUP(MONTH(A212)/3,0)</f>
        <v>Q3</v>
      </c>
      <c r="D212" s="19" t="s">
        <v>213</v>
      </c>
      <c r="E212" s="19" t="s">
        <v>214</v>
      </c>
      <c r="F212" s="12" t="n">
        <v>21822447</v>
      </c>
      <c r="G212" s="12" t="n">
        <v>3672711</v>
      </c>
      <c r="H212" s="12" t="n">
        <v>362233834</v>
      </c>
      <c r="I212" s="16" t="n">
        <v>41.4</v>
      </c>
      <c r="J212" s="13" t="n">
        <v>0.133</v>
      </c>
      <c r="K212" s="16" t="n">
        <v>22.4</v>
      </c>
      <c r="L212" s="13" t="n">
        <f aca="false">IF(SUMIFS($F$2:$F$397,$A$2:$A$397,A212)=0,0,F212/SUMIFS($F$2:$F$397,$A$2:$A$397,A212))</f>
        <v>0.167408285831572</v>
      </c>
    </row>
    <row r="213" customFormat="false" ht="15" hidden="false" customHeight="false" outlineLevel="0" collapsed="false">
      <c r="A213" s="10" t="n">
        <v>45505</v>
      </c>
      <c r="B213" s="18" t="n">
        <f aca="false">YEAR(A213)</f>
        <v>2024</v>
      </c>
      <c r="C213" s="19" t="str">
        <f aca="false">"Q"&amp;ROUNDUP(MONTH(A213)/3,0)</f>
        <v>Q3</v>
      </c>
      <c r="D213" s="19" t="s">
        <v>215</v>
      </c>
      <c r="E213" s="19" t="s">
        <v>214</v>
      </c>
      <c r="F213" s="12" t="n">
        <v>11188621</v>
      </c>
      <c r="G213" s="12" t="n">
        <v>1675870</v>
      </c>
      <c r="H213" s="12" t="n">
        <v>173231774</v>
      </c>
      <c r="I213" s="16" t="n">
        <v>42.2</v>
      </c>
      <c r="J213" s="13" t="n">
        <v>0.118</v>
      </c>
      <c r="K213" s="16" t="n">
        <v>21</v>
      </c>
      <c r="L213" s="13" t="n">
        <f aca="false">IF(SUMIFS($F$2:$F$397,$A$2:$A$397,A213)=0,0,F213/SUMIFS($F$2:$F$397,$A$2:$A$397,A213))</f>
        <v>0.0858321645793954</v>
      </c>
    </row>
    <row r="214" customFormat="false" ht="15" hidden="false" customHeight="false" outlineLevel="0" collapsed="false">
      <c r="A214" s="10" t="n">
        <v>45505</v>
      </c>
      <c r="B214" s="18" t="n">
        <f aca="false">YEAR(A214)</f>
        <v>2024</v>
      </c>
      <c r="C214" s="19" t="str">
        <f aca="false">"Q"&amp;ROUNDUP(MONTH(A214)/3,0)</f>
        <v>Q3</v>
      </c>
      <c r="D214" s="19" t="s">
        <v>216</v>
      </c>
      <c r="E214" s="19" t="s">
        <v>212</v>
      </c>
      <c r="F214" s="12" t="n">
        <v>7384900</v>
      </c>
      <c r="G214" s="12" t="n">
        <v>1083871</v>
      </c>
      <c r="H214" s="12" t="n">
        <v>116465859</v>
      </c>
      <c r="I214" s="16" t="n">
        <v>41.9</v>
      </c>
      <c r="J214" s="13" t="n">
        <v>0.113</v>
      </c>
      <c r="K214" s="16" t="n">
        <v>19.7</v>
      </c>
      <c r="L214" s="13" t="n">
        <f aca="false">IF(SUMIFS($F$2:$F$397,$A$2:$A$397,A214)=0,0,F214/SUMIFS($F$2:$F$397,$A$2:$A$397,A214))</f>
        <v>0.0566523749622386</v>
      </c>
    </row>
    <row r="215" customFormat="false" ht="15" hidden="false" customHeight="false" outlineLevel="0" collapsed="false">
      <c r="A215" s="10" t="n">
        <v>45505</v>
      </c>
      <c r="B215" s="18" t="n">
        <f aca="false">YEAR(A215)</f>
        <v>2024</v>
      </c>
      <c r="C215" s="19" t="str">
        <f aca="false">"Q"&amp;ROUNDUP(MONTH(A215)/3,0)</f>
        <v>Q3</v>
      </c>
      <c r="D215" s="19" t="s">
        <v>217</v>
      </c>
      <c r="E215" s="19" t="s">
        <v>218</v>
      </c>
      <c r="F215" s="12" t="n">
        <v>10095989</v>
      </c>
      <c r="G215" s="12" t="n">
        <v>1573250</v>
      </c>
      <c r="H215" s="12" t="n">
        <v>186500894</v>
      </c>
      <c r="I215" s="16" t="n">
        <v>47.1</v>
      </c>
      <c r="J215" s="13" t="n">
        <v>0.081</v>
      </c>
      <c r="K215" s="16" t="n">
        <v>26.7</v>
      </c>
      <c r="L215" s="13" t="n">
        <f aca="false">IF(SUMIFS($F$2:$F$397,$A$2:$A$397,A215)=0,0,F215/SUMIFS($F$2:$F$397,$A$2:$A$397,A215))</f>
        <v>0.0774501691888362</v>
      </c>
    </row>
    <row r="216" customFormat="false" ht="15" hidden="false" customHeight="false" outlineLevel="0" collapsed="false">
      <c r="A216" s="10" t="n">
        <v>45505</v>
      </c>
      <c r="B216" s="18" t="n">
        <f aca="false">YEAR(A216)</f>
        <v>2024</v>
      </c>
      <c r="C216" s="19" t="str">
        <f aca="false">"Q"&amp;ROUNDUP(MONTH(A216)/3,0)</f>
        <v>Q3</v>
      </c>
      <c r="D216" s="19" t="s">
        <v>219</v>
      </c>
      <c r="E216" s="19" t="s">
        <v>218</v>
      </c>
      <c r="F216" s="12" t="n">
        <v>8265660</v>
      </c>
      <c r="G216" s="12" t="n">
        <v>1361112</v>
      </c>
      <c r="H216" s="12" t="n">
        <v>145056281</v>
      </c>
      <c r="I216" s="16" t="n">
        <v>47.2</v>
      </c>
      <c r="J216" s="13" t="n">
        <v>0.091</v>
      </c>
      <c r="K216" s="16" t="n">
        <v>26.3</v>
      </c>
      <c r="L216" s="13" t="n">
        <f aca="false">IF(SUMIFS($F$2:$F$397,$A$2:$A$397,A216)=0,0,F216/SUMIFS($F$2:$F$397,$A$2:$A$397,A216))</f>
        <v>0.063409019706479</v>
      </c>
    </row>
    <row r="217" customFormat="false" ht="15" hidden="false" customHeight="false" outlineLevel="0" collapsed="false">
      <c r="A217" s="10" t="n">
        <v>45505</v>
      </c>
      <c r="B217" s="18" t="n">
        <f aca="false">YEAR(A217)</f>
        <v>2024</v>
      </c>
      <c r="C217" s="19" t="str">
        <f aca="false">"Q"&amp;ROUNDUP(MONTH(A217)/3,0)</f>
        <v>Q3</v>
      </c>
      <c r="D217" s="19" t="s">
        <v>220</v>
      </c>
      <c r="E217" s="19" t="s">
        <v>214</v>
      </c>
      <c r="F217" s="12" t="n">
        <v>6196637</v>
      </c>
      <c r="G217" s="12" t="n">
        <v>907746</v>
      </c>
      <c r="H217" s="12" t="n">
        <v>95563435</v>
      </c>
      <c r="I217" s="16" t="n">
        <v>42.6</v>
      </c>
      <c r="J217" s="13" t="n">
        <v>0.122</v>
      </c>
      <c r="K217" s="16" t="n">
        <v>20.4</v>
      </c>
      <c r="L217" s="13" t="n">
        <f aca="false">IF(SUMIFS($F$2:$F$397,$A$2:$A$397,A217)=0,0,F217/SUMIFS($F$2:$F$397,$A$2:$A$397,A217))</f>
        <v>0.0475367578205367</v>
      </c>
    </row>
    <row r="218" customFormat="false" ht="15" hidden="false" customHeight="false" outlineLevel="0" collapsed="false">
      <c r="A218" s="10" t="n">
        <v>45505</v>
      </c>
      <c r="B218" s="18" t="n">
        <f aca="false">YEAR(A218)</f>
        <v>2024</v>
      </c>
      <c r="C218" s="19" t="str">
        <f aca="false">"Q"&amp;ROUNDUP(MONTH(A218)/3,0)</f>
        <v>Q3</v>
      </c>
      <c r="D218" s="19" t="s">
        <v>221</v>
      </c>
      <c r="E218" s="19" t="s">
        <v>214</v>
      </c>
      <c r="F218" s="12" t="n">
        <v>4874611</v>
      </c>
      <c r="G218" s="12" t="n">
        <v>777592</v>
      </c>
      <c r="H218" s="12" t="n">
        <v>75615835</v>
      </c>
      <c r="I218" s="16" t="n">
        <v>41.7</v>
      </c>
      <c r="J218" s="13" t="n">
        <v>0.128</v>
      </c>
      <c r="K218" s="16" t="n">
        <v>20.1</v>
      </c>
      <c r="L218" s="13" t="n">
        <f aca="false">IF(SUMIFS($F$2:$F$397,$A$2:$A$397,A218)=0,0,F218/SUMIFS($F$2:$F$397,$A$2:$A$397,A218))</f>
        <v>0.0373949938614</v>
      </c>
    </row>
    <row r="219" customFormat="false" ht="15" hidden="false" customHeight="false" outlineLevel="0" collapsed="false">
      <c r="A219" s="10" t="n">
        <v>45505</v>
      </c>
      <c r="B219" s="18" t="n">
        <f aca="false">YEAR(A219)</f>
        <v>2024</v>
      </c>
      <c r="C219" s="19" t="str">
        <f aca="false">"Q"&amp;ROUNDUP(MONTH(A219)/3,0)</f>
        <v>Q3</v>
      </c>
      <c r="D219" s="19" t="s">
        <v>222</v>
      </c>
      <c r="E219" s="19" t="s">
        <v>218</v>
      </c>
      <c r="F219" s="12" t="n">
        <v>6520652</v>
      </c>
      <c r="G219" s="12" t="n">
        <v>981042</v>
      </c>
      <c r="H219" s="12" t="n">
        <v>111555153</v>
      </c>
      <c r="I219" s="16" t="n">
        <v>44.5</v>
      </c>
      <c r="J219" s="13" t="n">
        <v>0.081</v>
      </c>
      <c r="K219" s="16" t="n">
        <v>25.5</v>
      </c>
      <c r="L219" s="13" t="n">
        <f aca="false">IF(SUMIFS($F$2:$F$397,$A$2:$A$397,A219)=0,0,F219/SUMIFS($F$2:$F$397,$A$2:$A$397,A219))</f>
        <v>0.0500224000463474</v>
      </c>
    </row>
    <row r="220" customFormat="false" ht="15" hidden="false" customHeight="false" outlineLevel="0" collapsed="false">
      <c r="A220" s="10" t="n">
        <v>45505</v>
      </c>
      <c r="B220" s="18" t="n">
        <f aca="false">YEAR(A220)</f>
        <v>2024</v>
      </c>
      <c r="C220" s="19" t="str">
        <f aca="false">"Q"&amp;ROUNDUP(MONTH(A220)/3,0)</f>
        <v>Q3</v>
      </c>
      <c r="D220" s="19" t="s">
        <v>223</v>
      </c>
      <c r="E220" s="19" t="s">
        <v>224</v>
      </c>
      <c r="F220" s="12" t="n">
        <v>5355558</v>
      </c>
      <c r="G220" s="12" t="n">
        <v>858364</v>
      </c>
      <c r="H220" s="12" t="n">
        <v>87012563</v>
      </c>
      <c r="I220" s="16" t="n">
        <v>41.7</v>
      </c>
      <c r="J220" s="13" t="n">
        <v>0.105</v>
      </c>
      <c r="K220" s="16" t="n">
        <v>20</v>
      </c>
      <c r="L220" s="13" t="n">
        <f aca="false">IF(SUMIFS($F$2:$F$397,$A$2:$A$397,A220)=0,0,F220/SUMIFS($F$2:$F$397,$A$2:$A$397,A220))</f>
        <v>0.0410845211103761</v>
      </c>
    </row>
    <row r="221" customFormat="false" ht="15" hidden="false" customHeight="false" outlineLevel="0" collapsed="false">
      <c r="A221" s="10" t="n">
        <v>45505</v>
      </c>
      <c r="B221" s="18" t="n">
        <f aca="false">YEAR(A221)</f>
        <v>2024</v>
      </c>
      <c r="C221" s="19" t="str">
        <f aca="false">"Q"&amp;ROUNDUP(MONTH(A221)/3,0)</f>
        <v>Q3</v>
      </c>
      <c r="D221" s="19" t="s">
        <v>225</v>
      </c>
      <c r="E221" s="19" t="s">
        <v>226</v>
      </c>
      <c r="F221" s="12" t="n">
        <v>11668208</v>
      </c>
      <c r="G221" s="12" t="n">
        <v>1825231</v>
      </c>
      <c r="H221" s="12" t="n">
        <v>181708016</v>
      </c>
      <c r="I221" s="16" t="n">
        <v>39.3</v>
      </c>
      <c r="J221" s="13" t="n">
        <v>0.096</v>
      </c>
      <c r="K221" s="16" t="n">
        <v>17.7</v>
      </c>
      <c r="L221" s="13" t="n">
        <f aca="false">IF(SUMIFS($F$2:$F$397,$A$2:$A$397,A221)=0,0,F221/SUMIFS($F$2:$F$397,$A$2:$A$397,A221))</f>
        <v>0.0895112587514241</v>
      </c>
    </row>
    <row r="222" customFormat="false" ht="15" hidden="false" customHeight="false" outlineLevel="0" collapsed="false">
      <c r="A222" s="10" t="n">
        <v>45536</v>
      </c>
      <c r="B222" s="18" t="n">
        <f aca="false">YEAR(A222)</f>
        <v>2024</v>
      </c>
      <c r="C222" s="19" t="str">
        <f aca="false">"Q"&amp;ROUNDUP(MONTH(A222)/3,0)</f>
        <v>Q3</v>
      </c>
      <c r="D222" s="19" t="s">
        <v>211</v>
      </c>
      <c r="E222" s="19" t="s">
        <v>212</v>
      </c>
      <c r="F222" s="12" t="n">
        <v>38000567</v>
      </c>
      <c r="G222" s="12" t="n">
        <v>5994586</v>
      </c>
      <c r="H222" s="12" t="n">
        <v>610519261</v>
      </c>
      <c r="I222" s="16" t="n">
        <v>42.5</v>
      </c>
      <c r="J222" s="13" t="n">
        <v>0.115</v>
      </c>
      <c r="K222" s="16" t="n">
        <v>22.6</v>
      </c>
      <c r="L222" s="13" t="n">
        <f aca="false">IF(SUMIFS($F$2:$F$397,$A$2:$A$397,A222)=0,0,F222/SUMIFS($F$2:$F$397,$A$2:$A$397,A222))</f>
        <v>0.286539149599179</v>
      </c>
    </row>
    <row r="223" customFormat="false" ht="15" hidden="false" customHeight="false" outlineLevel="0" collapsed="false">
      <c r="A223" s="10" t="n">
        <v>45536</v>
      </c>
      <c r="B223" s="18" t="n">
        <f aca="false">YEAR(A223)</f>
        <v>2024</v>
      </c>
      <c r="C223" s="19" t="str">
        <f aca="false">"Q"&amp;ROUNDUP(MONTH(A223)/3,0)</f>
        <v>Q3</v>
      </c>
      <c r="D223" s="19" t="s">
        <v>213</v>
      </c>
      <c r="E223" s="19" t="s">
        <v>214</v>
      </c>
      <c r="F223" s="12" t="n">
        <v>20359049</v>
      </c>
      <c r="G223" s="12" t="n">
        <v>3206426</v>
      </c>
      <c r="H223" s="12" t="n">
        <v>317939632</v>
      </c>
      <c r="I223" s="16" t="n">
        <v>42</v>
      </c>
      <c r="J223" s="13" t="n">
        <v>0.13</v>
      </c>
      <c r="K223" s="16" t="n">
        <v>23.5</v>
      </c>
      <c r="L223" s="13" t="n">
        <f aca="false">IF(SUMIFS($F$2:$F$397,$A$2:$A$397,A223)=0,0,F223/SUMIFS($F$2:$F$397,$A$2:$A$397,A223))</f>
        <v>0.153515198526065</v>
      </c>
    </row>
    <row r="224" customFormat="false" ht="15" hidden="false" customHeight="false" outlineLevel="0" collapsed="false">
      <c r="A224" s="10" t="n">
        <v>45536</v>
      </c>
      <c r="B224" s="18" t="n">
        <f aca="false">YEAR(A224)</f>
        <v>2024</v>
      </c>
      <c r="C224" s="19" t="str">
        <f aca="false">"Q"&amp;ROUNDUP(MONTH(A224)/3,0)</f>
        <v>Q3</v>
      </c>
      <c r="D224" s="19" t="s">
        <v>215</v>
      </c>
      <c r="E224" s="19" t="s">
        <v>214</v>
      </c>
      <c r="F224" s="12" t="n">
        <v>11460354</v>
      </c>
      <c r="G224" s="12" t="n">
        <v>1853167</v>
      </c>
      <c r="H224" s="12" t="n">
        <v>176150537</v>
      </c>
      <c r="I224" s="16" t="n">
        <v>42.1</v>
      </c>
      <c r="J224" s="13" t="n">
        <v>0.127</v>
      </c>
      <c r="K224" s="16" t="n">
        <v>20.6</v>
      </c>
      <c r="L224" s="13" t="n">
        <f aca="false">IF(SUMIFS($F$2:$F$397,$A$2:$A$397,A224)=0,0,F224/SUMIFS($F$2:$F$397,$A$2:$A$397,A224))</f>
        <v>0.0864155550433116</v>
      </c>
    </row>
    <row r="225" customFormat="false" ht="15" hidden="false" customHeight="false" outlineLevel="0" collapsed="false">
      <c r="A225" s="10" t="n">
        <v>45536</v>
      </c>
      <c r="B225" s="18" t="n">
        <f aca="false">YEAR(A225)</f>
        <v>2024</v>
      </c>
      <c r="C225" s="19" t="str">
        <f aca="false">"Q"&amp;ROUNDUP(MONTH(A225)/3,0)</f>
        <v>Q3</v>
      </c>
      <c r="D225" s="19" t="s">
        <v>216</v>
      </c>
      <c r="E225" s="19" t="s">
        <v>212</v>
      </c>
      <c r="F225" s="12" t="n">
        <v>7722161</v>
      </c>
      <c r="G225" s="12" t="n">
        <v>1221006</v>
      </c>
      <c r="H225" s="12" t="n">
        <v>119678553</v>
      </c>
      <c r="I225" s="16" t="n">
        <v>42.8</v>
      </c>
      <c r="J225" s="13" t="n">
        <v>0.115</v>
      </c>
      <c r="K225" s="16" t="n">
        <v>19.6</v>
      </c>
      <c r="L225" s="13" t="n">
        <f aca="false">IF(SUMIFS($F$2:$F$397,$A$2:$A$397,A225)=0,0,F225/SUMIFS($F$2:$F$397,$A$2:$A$397,A225))</f>
        <v>0.0582281165964694</v>
      </c>
    </row>
    <row r="226" customFormat="false" ht="15" hidden="false" customHeight="false" outlineLevel="0" collapsed="false">
      <c r="A226" s="10" t="n">
        <v>45536</v>
      </c>
      <c r="B226" s="18" t="n">
        <f aca="false">YEAR(A226)</f>
        <v>2024</v>
      </c>
      <c r="C226" s="19" t="str">
        <f aca="false">"Q"&amp;ROUNDUP(MONTH(A226)/3,0)</f>
        <v>Q3</v>
      </c>
      <c r="D226" s="19" t="s">
        <v>217</v>
      </c>
      <c r="E226" s="19" t="s">
        <v>218</v>
      </c>
      <c r="F226" s="12" t="n">
        <v>10801116</v>
      </c>
      <c r="G226" s="12" t="n">
        <v>1609362</v>
      </c>
      <c r="H226" s="12" t="n">
        <v>185713318</v>
      </c>
      <c r="I226" s="16" t="n">
        <v>47</v>
      </c>
      <c r="J226" s="13" t="n">
        <v>0.087</v>
      </c>
      <c r="K226" s="16" t="n">
        <v>27.4</v>
      </c>
      <c r="L226" s="13" t="n">
        <f aca="false">IF(SUMIFS($F$2:$F$397,$A$2:$A$397,A226)=0,0,F226/SUMIFS($F$2:$F$397,$A$2:$A$397,A226))</f>
        <v>0.0814446424802579</v>
      </c>
    </row>
    <row r="227" customFormat="false" ht="15" hidden="false" customHeight="false" outlineLevel="0" collapsed="false">
      <c r="A227" s="10" t="n">
        <v>45536</v>
      </c>
      <c r="B227" s="18" t="n">
        <f aca="false">YEAR(A227)</f>
        <v>2024</v>
      </c>
      <c r="C227" s="19" t="str">
        <f aca="false">"Q"&amp;ROUNDUP(MONTH(A227)/3,0)</f>
        <v>Q3</v>
      </c>
      <c r="D227" s="19" t="s">
        <v>219</v>
      </c>
      <c r="E227" s="19" t="s">
        <v>218</v>
      </c>
      <c r="F227" s="12" t="n">
        <v>8755147</v>
      </c>
      <c r="G227" s="12" t="n">
        <v>1419787</v>
      </c>
      <c r="H227" s="12" t="n">
        <v>151113674</v>
      </c>
      <c r="I227" s="16" t="n">
        <v>46.7</v>
      </c>
      <c r="J227" s="13" t="n">
        <v>0.103</v>
      </c>
      <c r="K227" s="16" t="n">
        <v>27.4</v>
      </c>
      <c r="L227" s="13" t="n">
        <f aca="false">IF(SUMIFS($F$2:$F$397,$A$2:$A$397,A227)=0,0,F227/SUMIFS($F$2:$F$397,$A$2:$A$397,A227))</f>
        <v>0.0660172353742986</v>
      </c>
    </row>
    <row r="228" customFormat="false" ht="15" hidden="false" customHeight="false" outlineLevel="0" collapsed="false">
      <c r="A228" s="10" t="n">
        <v>45536</v>
      </c>
      <c r="B228" s="18" t="n">
        <f aca="false">YEAR(A228)</f>
        <v>2024</v>
      </c>
      <c r="C228" s="19" t="str">
        <f aca="false">"Q"&amp;ROUNDUP(MONTH(A228)/3,0)</f>
        <v>Q3</v>
      </c>
      <c r="D228" s="19" t="s">
        <v>220</v>
      </c>
      <c r="E228" s="19" t="s">
        <v>214</v>
      </c>
      <c r="F228" s="12" t="n">
        <v>6600660</v>
      </c>
      <c r="G228" s="12" t="n">
        <v>976958</v>
      </c>
      <c r="H228" s="12" t="n">
        <v>101078567</v>
      </c>
      <c r="I228" s="16" t="n">
        <v>42</v>
      </c>
      <c r="J228" s="13" t="n">
        <v>0.131</v>
      </c>
      <c r="K228" s="16" t="n">
        <v>20</v>
      </c>
      <c r="L228" s="13" t="n">
        <f aca="false">IF(SUMIFS($F$2:$F$397,$A$2:$A$397,A228)=0,0,F228/SUMIFS($F$2:$F$397,$A$2:$A$397,A228))</f>
        <v>0.0497715600715463</v>
      </c>
    </row>
    <row r="229" customFormat="false" ht="15" hidden="false" customHeight="false" outlineLevel="0" collapsed="false">
      <c r="A229" s="10" t="n">
        <v>45536</v>
      </c>
      <c r="B229" s="18" t="n">
        <f aca="false">YEAR(A229)</f>
        <v>2024</v>
      </c>
      <c r="C229" s="19" t="str">
        <f aca="false">"Q"&amp;ROUNDUP(MONTH(A229)/3,0)</f>
        <v>Q3</v>
      </c>
      <c r="D229" s="19" t="s">
        <v>221</v>
      </c>
      <c r="E229" s="19" t="s">
        <v>214</v>
      </c>
      <c r="F229" s="12" t="n">
        <v>4959732</v>
      </c>
      <c r="G229" s="12" t="n">
        <v>791280</v>
      </c>
      <c r="H229" s="12" t="n">
        <v>75242681</v>
      </c>
      <c r="I229" s="16" t="n">
        <v>41.4</v>
      </c>
      <c r="J229" s="13" t="n">
        <v>0.132</v>
      </c>
      <c r="K229" s="16" t="n">
        <v>20.3</v>
      </c>
      <c r="L229" s="13" t="n">
        <f aca="false">IF(SUMIFS($F$2:$F$397,$A$2:$A$397,A229)=0,0,F229/SUMIFS($F$2:$F$397,$A$2:$A$397,A229))</f>
        <v>0.0373983206492639</v>
      </c>
    </row>
    <row r="230" customFormat="false" ht="15" hidden="false" customHeight="false" outlineLevel="0" collapsed="false">
      <c r="A230" s="10" t="n">
        <v>45536</v>
      </c>
      <c r="B230" s="18" t="n">
        <f aca="false">YEAR(A230)</f>
        <v>2024</v>
      </c>
      <c r="C230" s="19" t="str">
        <f aca="false">"Q"&amp;ROUNDUP(MONTH(A230)/3,0)</f>
        <v>Q3</v>
      </c>
      <c r="D230" s="19" t="s">
        <v>222</v>
      </c>
      <c r="E230" s="19" t="s">
        <v>218</v>
      </c>
      <c r="F230" s="12" t="n">
        <v>6706074</v>
      </c>
      <c r="G230" s="12" t="n">
        <v>1211180</v>
      </c>
      <c r="H230" s="12" t="n">
        <v>111579427</v>
      </c>
      <c r="I230" s="16" t="n">
        <v>46.3</v>
      </c>
      <c r="J230" s="13" t="n">
        <v>0.073</v>
      </c>
      <c r="K230" s="16" t="n">
        <v>25.1</v>
      </c>
      <c r="L230" s="13" t="n">
        <f aca="false">IF(SUMIFS($F$2:$F$397,$A$2:$A$397,A230)=0,0,F230/SUMIFS($F$2:$F$397,$A$2:$A$397,A230))</f>
        <v>0.0505664228933522</v>
      </c>
    </row>
    <row r="231" customFormat="false" ht="15" hidden="false" customHeight="false" outlineLevel="0" collapsed="false">
      <c r="A231" s="10" t="n">
        <v>45536</v>
      </c>
      <c r="B231" s="18" t="n">
        <f aca="false">YEAR(A231)</f>
        <v>2024</v>
      </c>
      <c r="C231" s="19" t="str">
        <f aca="false">"Q"&amp;ROUNDUP(MONTH(A231)/3,0)</f>
        <v>Q3</v>
      </c>
      <c r="D231" s="19" t="s">
        <v>223</v>
      </c>
      <c r="E231" s="19" t="s">
        <v>224</v>
      </c>
      <c r="F231" s="12" t="n">
        <v>5495292</v>
      </c>
      <c r="G231" s="12" t="n">
        <v>908128</v>
      </c>
      <c r="H231" s="12" t="n">
        <v>93999578</v>
      </c>
      <c r="I231" s="16" t="n">
        <v>42.1</v>
      </c>
      <c r="J231" s="13" t="n">
        <v>0.109</v>
      </c>
      <c r="K231" s="16" t="n">
        <v>19.1</v>
      </c>
      <c r="L231" s="13" t="n">
        <f aca="false">IF(SUMIFS($F$2:$F$397,$A$2:$A$397,A231)=0,0,F231/SUMIFS($F$2:$F$397,$A$2:$A$397,A231))</f>
        <v>0.0414366526815027</v>
      </c>
    </row>
    <row r="232" customFormat="false" ht="15" hidden="false" customHeight="false" outlineLevel="0" collapsed="false">
      <c r="A232" s="10" t="n">
        <v>45536</v>
      </c>
      <c r="B232" s="18" t="n">
        <f aca="false">YEAR(A232)</f>
        <v>2024</v>
      </c>
      <c r="C232" s="19" t="str">
        <f aca="false">"Q"&amp;ROUNDUP(MONTH(A232)/3,0)</f>
        <v>Q3</v>
      </c>
      <c r="D232" s="19" t="s">
        <v>225</v>
      </c>
      <c r="E232" s="19" t="s">
        <v>226</v>
      </c>
      <c r="F232" s="12" t="n">
        <v>11758958</v>
      </c>
      <c r="G232" s="12" t="n">
        <v>1908114</v>
      </c>
      <c r="H232" s="12" t="n">
        <v>177852487</v>
      </c>
      <c r="I232" s="16" t="n">
        <v>39.9</v>
      </c>
      <c r="J232" s="13" t="n">
        <v>0.097</v>
      </c>
      <c r="K232" s="16" t="n">
        <v>18.3</v>
      </c>
      <c r="L232" s="13" t="n">
        <f aca="false">IF(SUMIFS($F$2:$F$397,$A$2:$A$397,A232)=0,0,F232/SUMIFS($F$2:$F$397,$A$2:$A$397,A232))</f>
        <v>0.0886671460847536</v>
      </c>
    </row>
    <row r="233" customFormat="false" ht="15" hidden="false" customHeight="false" outlineLevel="0" collapsed="false">
      <c r="A233" s="10" t="n">
        <v>45566</v>
      </c>
      <c r="B233" s="18" t="n">
        <f aca="false">YEAR(A233)</f>
        <v>2024</v>
      </c>
      <c r="C233" s="19" t="str">
        <f aca="false">"Q"&amp;ROUNDUP(MONTH(A233)/3,0)</f>
        <v>Q4</v>
      </c>
      <c r="D233" s="19" t="s">
        <v>211</v>
      </c>
      <c r="E233" s="19" t="s">
        <v>212</v>
      </c>
      <c r="F233" s="12" t="n">
        <v>40215280</v>
      </c>
      <c r="G233" s="12" t="n">
        <v>5944081</v>
      </c>
      <c r="H233" s="12" t="n">
        <v>669412838</v>
      </c>
      <c r="I233" s="16" t="n">
        <v>44.1</v>
      </c>
      <c r="J233" s="13" t="n">
        <v>0.122</v>
      </c>
      <c r="K233" s="16" t="n">
        <v>22.5</v>
      </c>
      <c r="L233" s="13" t="n">
        <f aca="false">IF(SUMIFS($F$2:$F$397,$A$2:$A$397,A233)=0,0,F233/SUMIFS($F$2:$F$397,$A$2:$A$397,A233))</f>
        <v>0.295473953195385</v>
      </c>
    </row>
    <row r="234" customFormat="false" ht="15" hidden="false" customHeight="false" outlineLevel="0" collapsed="false">
      <c r="A234" s="10" t="n">
        <v>45566</v>
      </c>
      <c r="B234" s="18" t="n">
        <f aca="false">YEAR(A234)</f>
        <v>2024</v>
      </c>
      <c r="C234" s="19" t="str">
        <f aca="false">"Q"&amp;ROUNDUP(MONTH(A234)/3,0)</f>
        <v>Q4</v>
      </c>
      <c r="D234" s="19" t="s">
        <v>213</v>
      </c>
      <c r="E234" s="19" t="s">
        <v>214</v>
      </c>
      <c r="F234" s="12" t="n">
        <v>21289596</v>
      </c>
      <c r="G234" s="12" t="n">
        <v>3178019</v>
      </c>
      <c r="H234" s="12" t="n">
        <v>344529881</v>
      </c>
      <c r="I234" s="16" t="n">
        <v>43.3</v>
      </c>
      <c r="J234" s="13" t="n">
        <v>0.135</v>
      </c>
      <c r="K234" s="16" t="n">
        <v>24</v>
      </c>
      <c r="L234" s="13" t="n">
        <f aca="false">IF(SUMIFS($F$2:$F$397,$A$2:$A$397,A234)=0,0,F234/SUMIFS($F$2:$F$397,$A$2:$A$397,A234))</f>
        <v>0.156421168572062</v>
      </c>
    </row>
    <row r="235" customFormat="false" ht="15" hidden="false" customHeight="false" outlineLevel="0" collapsed="false">
      <c r="A235" s="10" t="n">
        <v>45566</v>
      </c>
      <c r="B235" s="18" t="n">
        <f aca="false">YEAR(A235)</f>
        <v>2024</v>
      </c>
      <c r="C235" s="19" t="str">
        <f aca="false">"Q"&amp;ROUNDUP(MONTH(A235)/3,0)</f>
        <v>Q4</v>
      </c>
      <c r="D235" s="19" t="s">
        <v>215</v>
      </c>
      <c r="E235" s="19" t="s">
        <v>214</v>
      </c>
      <c r="F235" s="12" t="n">
        <v>12181104</v>
      </c>
      <c r="G235" s="12" t="n">
        <v>1967411</v>
      </c>
      <c r="H235" s="12" t="n">
        <v>195082206</v>
      </c>
      <c r="I235" s="16" t="n">
        <v>42.6</v>
      </c>
      <c r="J235" s="13" t="n">
        <v>0.124</v>
      </c>
      <c r="K235" s="16" t="n">
        <v>22.4</v>
      </c>
      <c r="L235" s="13" t="n">
        <f aca="false">IF(SUMIFS($F$2:$F$397,$A$2:$A$397,A235)=0,0,F235/SUMIFS($F$2:$F$397,$A$2:$A$397,A235))</f>
        <v>0.0894982940107373</v>
      </c>
    </row>
    <row r="236" customFormat="false" ht="15" hidden="false" customHeight="false" outlineLevel="0" collapsed="false">
      <c r="A236" s="10" t="n">
        <v>45566</v>
      </c>
      <c r="B236" s="18" t="n">
        <f aca="false">YEAR(A236)</f>
        <v>2024</v>
      </c>
      <c r="C236" s="19" t="str">
        <f aca="false">"Q"&amp;ROUNDUP(MONTH(A236)/3,0)</f>
        <v>Q4</v>
      </c>
      <c r="D236" s="19" t="s">
        <v>216</v>
      </c>
      <c r="E236" s="19" t="s">
        <v>212</v>
      </c>
      <c r="F236" s="12" t="n">
        <v>7948374</v>
      </c>
      <c r="G236" s="12" t="n">
        <v>1195977</v>
      </c>
      <c r="H236" s="12" t="n">
        <v>122869258</v>
      </c>
      <c r="I236" s="16" t="n">
        <v>42.3</v>
      </c>
      <c r="J236" s="13" t="n">
        <v>0.124</v>
      </c>
      <c r="K236" s="16" t="n">
        <v>20.1</v>
      </c>
      <c r="L236" s="13" t="n">
        <f aca="false">IF(SUMIFS($F$2:$F$397,$A$2:$A$397,A236)=0,0,F236/SUMIFS($F$2:$F$397,$A$2:$A$397,A236))</f>
        <v>0.0583991330473248</v>
      </c>
    </row>
    <row r="237" customFormat="false" ht="15" hidden="false" customHeight="false" outlineLevel="0" collapsed="false">
      <c r="A237" s="10" t="n">
        <v>45566</v>
      </c>
      <c r="B237" s="18" t="n">
        <f aca="false">YEAR(A237)</f>
        <v>2024</v>
      </c>
      <c r="C237" s="19" t="str">
        <f aca="false">"Q"&amp;ROUNDUP(MONTH(A237)/3,0)</f>
        <v>Q4</v>
      </c>
      <c r="D237" s="19" t="s">
        <v>217</v>
      </c>
      <c r="E237" s="19" t="s">
        <v>218</v>
      </c>
      <c r="F237" s="12" t="n">
        <v>10504845</v>
      </c>
      <c r="G237" s="12" t="n">
        <v>1594481</v>
      </c>
      <c r="H237" s="12" t="n">
        <v>177424106</v>
      </c>
      <c r="I237" s="16" t="n">
        <v>48.1</v>
      </c>
      <c r="J237" s="13" t="n">
        <v>0.084</v>
      </c>
      <c r="K237" s="16" t="n">
        <v>27.5</v>
      </c>
      <c r="L237" s="13" t="n">
        <f aca="false">IF(SUMIFS($F$2:$F$397,$A$2:$A$397,A237)=0,0,F237/SUMIFS($F$2:$F$397,$A$2:$A$397,A237))</f>
        <v>0.0771823068210585</v>
      </c>
    </row>
    <row r="238" customFormat="false" ht="15" hidden="false" customHeight="false" outlineLevel="0" collapsed="false">
      <c r="A238" s="10" t="n">
        <v>45566</v>
      </c>
      <c r="B238" s="18" t="n">
        <f aca="false">YEAR(A238)</f>
        <v>2024</v>
      </c>
      <c r="C238" s="19" t="str">
        <f aca="false">"Q"&amp;ROUNDUP(MONTH(A238)/3,0)</f>
        <v>Q4</v>
      </c>
      <c r="D238" s="19" t="s">
        <v>219</v>
      </c>
      <c r="E238" s="19" t="s">
        <v>218</v>
      </c>
      <c r="F238" s="12" t="n">
        <v>8401680</v>
      </c>
      <c r="G238" s="12" t="n">
        <v>1246988</v>
      </c>
      <c r="H238" s="12" t="n">
        <v>147317883</v>
      </c>
      <c r="I238" s="16" t="n">
        <v>48</v>
      </c>
      <c r="J238" s="13" t="n">
        <v>0.095</v>
      </c>
      <c r="K238" s="16" t="n">
        <v>26.4</v>
      </c>
      <c r="L238" s="13" t="n">
        <f aca="false">IF(SUMIFS($F$2:$F$397,$A$2:$A$397,A238)=0,0,F238/SUMIFS($F$2:$F$397,$A$2:$A$397,A238))</f>
        <v>0.0617297107736812</v>
      </c>
    </row>
    <row r="239" customFormat="false" ht="15" hidden="false" customHeight="false" outlineLevel="0" collapsed="false">
      <c r="A239" s="10" t="n">
        <v>45566</v>
      </c>
      <c r="B239" s="18" t="n">
        <f aca="false">YEAR(A239)</f>
        <v>2024</v>
      </c>
      <c r="C239" s="19" t="str">
        <f aca="false">"Q"&amp;ROUNDUP(MONTH(A239)/3,0)</f>
        <v>Q4</v>
      </c>
      <c r="D239" s="19" t="s">
        <v>220</v>
      </c>
      <c r="E239" s="19" t="s">
        <v>214</v>
      </c>
      <c r="F239" s="12" t="n">
        <v>6435666</v>
      </c>
      <c r="G239" s="12" t="n">
        <v>1022507</v>
      </c>
      <c r="H239" s="12" t="n">
        <v>98922529</v>
      </c>
      <c r="I239" s="16" t="n">
        <v>42.7</v>
      </c>
      <c r="J239" s="13" t="n">
        <v>0.117</v>
      </c>
      <c r="K239" s="16" t="n">
        <v>20</v>
      </c>
      <c r="L239" s="13" t="n">
        <f aca="false">IF(SUMIFS($F$2:$F$397,$A$2:$A$397,A239)=0,0,F239/SUMIFS($F$2:$F$397,$A$2:$A$397,A239))</f>
        <v>0.0472848050408982</v>
      </c>
    </row>
    <row r="240" customFormat="false" ht="15" hidden="false" customHeight="false" outlineLevel="0" collapsed="false">
      <c r="A240" s="10" t="n">
        <v>45566</v>
      </c>
      <c r="B240" s="18" t="n">
        <f aca="false">YEAR(A240)</f>
        <v>2024</v>
      </c>
      <c r="C240" s="19" t="str">
        <f aca="false">"Q"&amp;ROUNDUP(MONTH(A240)/3,0)</f>
        <v>Q4</v>
      </c>
      <c r="D240" s="19" t="s">
        <v>221</v>
      </c>
      <c r="E240" s="19" t="s">
        <v>214</v>
      </c>
      <c r="F240" s="12" t="n">
        <v>5058197</v>
      </c>
      <c r="G240" s="12" t="n">
        <v>699174</v>
      </c>
      <c r="H240" s="12" t="n">
        <v>75137188</v>
      </c>
      <c r="I240" s="16" t="n">
        <v>41.4</v>
      </c>
      <c r="J240" s="13" t="n">
        <v>0.127</v>
      </c>
      <c r="K240" s="16" t="n">
        <v>20.7</v>
      </c>
      <c r="L240" s="13" t="n">
        <f aca="false">IF(SUMIFS($F$2:$F$397,$A$2:$A$397,A240)=0,0,F240/SUMIFS($F$2:$F$397,$A$2:$A$397,A240))</f>
        <v>0.0371641193006996</v>
      </c>
    </row>
    <row r="241" customFormat="false" ht="15" hidden="false" customHeight="false" outlineLevel="0" collapsed="false">
      <c r="A241" s="10" t="n">
        <v>45566</v>
      </c>
      <c r="B241" s="18" t="n">
        <f aca="false">YEAR(A241)</f>
        <v>2024</v>
      </c>
      <c r="C241" s="19" t="str">
        <f aca="false">"Q"&amp;ROUNDUP(MONTH(A241)/3,0)</f>
        <v>Q4</v>
      </c>
      <c r="D241" s="19" t="s">
        <v>222</v>
      </c>
      <c r="E241" s="19" t="s">
        <v>218</v>
      </c>
      <c r="F241" s="12" t="n">
        <v>6940773</v>
      </c>
      <c r="G241" s="12" t="n">
        <v>1002942</v>
      </c>
      <c r="H241" s="12" t="n">
        <v>116259254</v>
      </c>
      <c r="I241" s="16" t="n">
        <v>46.1</v>
      </c>
      <c r="J241" s="13" t="n">
        <v>0.075</v>
      </c>
      <c r="K241" s="16" t="n">
        <v>26.7</v>
      </c>
      <c r="L241" s="13" t="n">
        <f aca="false">IF(SUMIFS($F$2:$F$397,$A$2:$A$397,A241)=0,0,F241/SUMIFS($F$2:$F$397,$A$2:$A$397,A241))</f>
        <v>0.050995980546245</v>
      </c>
    </row>
    <row r="242" customFormat="false" ht="15" hidden="false" customHeight="false" outlineLevel="0" collapsed="false">
      <c r="A242" s="10" t="n">
        <v>45566</v>
      </c>
      <c r="B242" s="18" t="n">
        <f aca="false">YEAR(A242)</f>
        <v>2024</v>
      </c>
      <c r="C242" s="19" t="str">
        <f aca="false">"Q"&amp;ROUNDUP(MONTH(A242)/3,0)</f>
        <v>Q4</v>
      </c>
      <c r="D242" s="19" t="s">
        <v>223</v>
      </c>
      <c r="E242" s="19" t="s">
        <v>224</v>
      </c>
      <c r="F242" s="12" t="n">
        <v>5354062</v>
      </c>
      <c r="G242" s="12" t="n">
        <v>876711</v>
      </c>
      <c r="H242" s="12" t="n">
        <v>83364124</v>
      </c>
      <c r="I242" s="16" t="n">
        <v>42.3</v>
      </c>
      <c r="J242" s="13" t="n">
        <v>0.11</v>
      </c>
      <c r="K242" s="16" t="n">
        <v>19.4</v>
      </c>
      <c r="L242" s="13" t="n">
        <f aca="false">IF(SUMIFS($F$2:$F$397,$A$2:$A$397,A242)=0,0,F242/SUMIFS($F$2:$F$397,$A$2:$A$397,A242))</f>
        <v>0.0393379298812091</v>
      </c>
    </row>
    <row r="243" customFormat="false" ht="15" hidden="false" customHeight="false" outlineLevel="0" collapsed="false">
      <c r="A243" s="10" t="n">
        <v>45566</v>
      </c>
      <c r="B243" s="18" t="n">
        <f aca="false">YEAR(A243)</f>
        <v>2024</v>
      </c>
      <c r="C243" s="19" t="str">
        <f aca="false">"Q"&amp;ROUNDUP(MONTH(A243)/3,0)</f>
        <v>Q4</v>
      </c>
      <c r="D243" s="19" t="s">
        <v>225</v>
      </c>
      <c r="E243" s="19" t="s">
        <v>226</v>
      </c>
      <c r="F243" s="12" t="n">
        <v>11774738</v>
      </c>
      <c r="G243" s="12" t="n">
        <v>1869434</v>
      </c>
      <c r="H243" s="12" t="n">
        <v>177633208</v>
      </c>
      <c r="I243" s="16" t="n">
        <v>39.9</v>
      </c>
      <c r="J243" s="13" t="n">
        <v>0.1</v>
      </c>
      <c r="K243" s="16" t="n">
        <v>18.4</v>
      </c>
      <c r="L243" s="13" t="n">
        <f aca="false">IF(SUMIFS($F$2:$F$397,$A$2:$A$397,A243)=0,0,F243/SUMIFS($F$2:$F$397,$A$2:$A$397,A243))</f>
        <v>0.086512598810699</v>
      </c>
    </row>
    <row r="244" customFormat="false" ht="15" hidden="false" customHeight="false" outlineLevel="0" collapsed="false">
      <c r="A244" s="10" t="n">
        <v>45597</v>
      </c>
      <c r="B244" s="18" t="n">
        <f aca="false">YEAR(A244)</f>
        <v>2024</v>
      </c>
      <c r="C244" s="19" t="str">
        <f aca="false">"Q"&amp;ROUNDUP(MONTH(A244)/3,0)</f>
        <v>Q4</v>
      </c>
      <c r="D244" s="19" t="s">
        <v>211</v>
      </c>
      <c r="E244" s="19" t="s">
        <v>212</v>
      </c>
      <c r="F244" s="12" t="n">
        <v>38365551</v>
      </c>
      <c r="G244" s="12" t="n">
        <v>6266921</v>
      </c>
      <c r="H244" s="12" t="n">
        <v>644637482</v>
      </c>
      <c r="I244" s="16" t="n">
        <v>42.6</v>
      </c>
      <c r="J244" s="13" t="n">
        <v>0.115</v>
      </c>
      <c r="K244" s="16" t="n">
        <v>23</v>
      </c>
      <c r="L244" s="13" t="n">
        <f aca="false">IF(SUMIFS($F$2:$F$397,$A$2:$A$397,A244)=0,0,F244/SUMIFS($F$2:$F$397,$A$2:$A$397,A244))</f>
        <v>0.275724113602108</v>
      </c>
    </row>
    <row r="245" customFormat="false" ht="15" hidden="false" customHeight="false" outlineLevel="0" collapsed="false">
      <c r="A245" s="10" t="n">
        <v>45597</v>
      </c>
      <c r="B245" s="18" t="n">
        <f aca="false">YEAR(A245)</f>
        <v>2024</v>
      </c>
      <c r="C245" s="19" t="str">
        <f aca="false">"Q"&amp;ROUNDUP(MONTH(A245)/3,0)</f>
        <v>Q4</v>
      </c>
      <c r="D245" s="19" t="s">
        <v>213</v>
      </c>
      <c r="E245" s="19" t="s">
        <v>214</v>
      </c>
      <c r="F245" s="12" t="n">
        <v>23141566</v>
      </c>
      <c r="G245" s="12" t="n">
        <v>3486666</v>
      </c>
      <c r="H245" s="12" t="n">
        <v>374131347</v>
      </c>
      <c r="I245" s="16" t="n">
        <v>42.8</v>
      </c>
      <c r="J245" s="13" t="n">
        <v>0.134</v>
      </c>
      <c r="K245" s="16" t="n">
        <v>24</v>
      </c>
      <c r="L245" s="13" t="n">
        <f aca="false">IF(SUMIFS($F$2:$F$397,$A$2:$A$397,A245)=0,0,F245/SUMIFS($F$2:$F$397,$A$2:$A$397,A245))</f>
        <v>0.16631294498324</v>
      </c>
    </row>
    <row r="246" customFormat="false" ht="15" hidden="false" customHeight="false" outlineLevel="0" collapsed="false">
      <c r="A246" s="10" t="n">
        <v>45597</v>
      </c>
      <c r="B246" s="18" t="n">
        <f aca="false">YEAR(A246)</f>
        <v>2024</v>
      </c>
      <c r="C246" s="19" t="str">
        <f aca="false">"Q"&amp;ROUNDUP(MONTH(A246)/3,0)</f>
        <v>Q4</v>
      </c>
      <c r="D246" s="19" t="s">
        <v>215</v>
      </c>
      <c r="E246" s="19" t="s">
        <v>214</v>
      </c>
      <c r="F246" s="12" t="n">
        <v>11858956</v>
      </c>
      <c r="G246" s="12" t="n">
        <v>1919601</v>
      </c>
      <c r="H246" s="12" t="n">
        <v>190980688</v>
      </c>
      <c r="I246" s="16" t="n">
        <v>42.2</v>
      </c>
      <c r="J246" s="13" t="n">
        <v>0.123</v>
      </c>
      <c r="K246" s="16" t="n">
        <v>20.8</v>
      </c>
      <c r="L246" s="13" t="n">
        <f aca="false">IF(SUMIFS($F$2:$F$397,$A$2:$A$397,A246)=0,0,F246/SUMIFS($F$2:$F$397,$A$2:$A$397,A246))</f>
        <v>0.0852275034795251</v>
      </c>
    </row>
    <row r="247" customFormat="false" ht="15" hidden="false" customHeight="false" outlineLevel="0" collapsed="false">
      <c r="A247" s="10" t="n">
        <v>45597</v>
      </c>
      <c r="B247" s="18" t="n">
        <f aca="false">YEAR(A247)</f>
        <v>2024</v>
      </c>
      <c r="C247" s="19" t="str">
        <f aca="false">"Q"&amp;ROUNDUP(MONTH(A247)/3,0)</f>
        <v>Q4</v>
      </c>
      <c r="D247" s="19" t="s">
        <v>216</v>
      </c>
      <c r="E247" s="19" t="s">
        <v>212</v>
      </c>
      <c r="F247" s="12" t="n">
        <v>7915017</v>
      </c>
      <c r="G247" s="12" t="n">
        <v>1129316</v>
      </c>
      <c r="H247" s="12" t="n">
        <v>122599017</v>
      </c>
      <c r="I247" s="16" t="n">
        <v>42</v>
      </c>
      <c r="J247" s="13" t="n">
        <v>0.118</v>
      </c>
      <c r="K247" s="16" t="n">
        <v>22.1</v>
      </c>
      <c r="L247" s="13" t="n">
        <f aca="false">IF(SUMIFS($F$2:$F$397,$A$2:$A$397,A247)=0,0,F247/SUMIFS($F$2:$F$397,$A$2:$A$397,A247))</f>
        <v>0.0568833495046276</v>
      </c>
    </row>
    <row r="248" customFormat="false" ht="15" hidden="false" customHeight="false" outlineLevel="0" collapsed="false">
      <c r="A248" s="10" t="n">
        <v>45597</v>
      </c>
      <c r="B248" s="18" t="n">
        <f aca="false">YEAR(A248)</f>
        <v>2024</v>
      </c>
      <c r="C248" s="19" t="str">
        <f aca="false">"Q"&amp;ROUNDUP(MONTH(A248)/3,0)</f>
        <v>Q4</v>
      </c>
      <c r="D248" s="19" t="s">
        <v>217</v>
      </c>
      <c r="E248" s="19" t="s">
        <v>218</v>
      </c>
      <c r="F248" s="12" t="n">
        <v>11401872</v>
      </c>
      <c r="G248" s="12" t="n">
        <v>1602681</v>
      </c>
      <c r="H248" s="12" t="n">
        <v>201031163</v>
      </c>
      <c r="I248" s="16" t="n">
        <v>48.4</v>
      </c>
      <c r="J248" s="13" t="n">
        <v>0.084</v>
      </c>
      <c r="K248" s="16" t="n">
        <v>27.6</v>
      </c>
      <c r="L248" s="13" t="n">
        <f aca="false">IF(SUMIFS($F$2:$F$397,$A$2:$A$397,A248)=0,0,F248/SUMIFS($F$2:$F$397,$A$2:$A$397,A248))</f>
        <v>0.0819425492052673</v>
      </c>
    </row>
    <row r="249" customFormat="false" ht="15" hidden="false" customHeight="false" outlineLevel="0" collapsed="false">
      <c r="A249" s="10" t="n">
        <v>45597</v>
      </c>
      <c r="B249" s="18" t="n">
        <f aca="false">YEAR(A249)</f>
        <v>2024</v>
      </c>
      <c r="C249" s="19" t="str">
        <f aca="false">"Q"&amp;ROUNDUP(MONTH(A249)/3,0)</f>
        <v>Q4</v>
      </c>
      <c r="D249" s="19" t="s">
        <v>219</v>
      </c>
      <c r="E249" s="19" t="s">
        <v>218</v>
      </c>
      <c r="F249" s="12" t="n">
        <v>9403859</v>
      </c>
      <c r="G249" s="12" t="n">
        <v>1441780</v>
      </c>
      <c r="H249" s="12" t="n">
        <v>162340451</v>
      </c>
      <c r="I249" s="16" t="n">
        <v>46.6</v>
      </c>
      <c r="J249" s="13" t="n">
        <v>0.101</v>
      </c>
      <c r="K249" s="16" t="n">
        <v>26.9</v>
      </c>
      <c r="L249" s="13" t="n">
        <f aca="false">IF(SUMIFS($F$2:$F$397,$A$2:$A$397,A249)=0,0,F249/SUMIFS($F$2:$F$397,$A$2:$A$397,A249))</f>
        <v>0.0675833037616012</v>
      </c>
    </row>
    <row r="250" customFormat="false" ht="15" hidden="false" customHeight="false" outlineLevel="0" collapsed="false">
      <c r="A250" s="10" t="n">
        <v>45597</v>
      </c>
      <c r="B250" s="18" t="n">
        <f aca="false">YEAR(A250)</f>
        <v>2024</v>
      </c>
      <c r="C250" s="19" t="str">
        <f aca="false">"Q"&amp;ROUNDUP(MONTH(A250)/3,0)</f>
        <v>Q4</v>
      </c>
      <c r="D250" s="19" t="s">
        <v>220</v>
      </c>
      <c r="E250" s="19" t="s">
        <v>214</v>
      </c>
      <c r="F250" s="12" t="n">
        <v>6342538</v>
      </c>
      <c r="G250" s="12" t="n">
        <v>1000851</v>
      </c>
      <c r="H250" s="12" t="n">
        <v>100220654</v>
      </c>
      <c r="I250" s="16" t="n">
        <v>42.8</v>
      </c>
      <c r="J250" s="13" t="n">
        <v>0.123</v>
      </c>
      <c r="K250" s="16" t="n">
        <v>20.9</v>
      </c>
      <c r="L250" s="13" t="n">
        <f aca="false">IF(SUMIFS($F$2:$F$397,$A$2:$A$397,A250)=0,0,F250/SUMIFS($F$2:$F$397,$A$2:$A$397,A250))</f>
        <v>0.0455823159698055</v>
      </c>
    </row>
    <row r="251" customFormat="false" ht="15" hidden="false" customHeight="false" outlineLevel="0" collapsed="false">
      <c r="A251" s="10" t="n">
        <v>45597</v>
      </c>
      <c r="B251" s="18" t="n">
        <f aca="false">YEAR(A251)</f>
        <v>2024</v>
      </c>
      <c r="C251" s="19" t="str">
        <f aca="false">"Q"&amp;ROUNDUP(MONTH(A251)/3,0)</f>
        <v>Q4</v>
      </c>
      <c r="D251" s="19" t="s">
        <v>221</v>
      </c>
      <c r="E251" s="19" t="s">
        <v>214</v>
      </c>
      <c r="F251" s="12" t="n">
        <v>5179881</v>
      </c>
      <c r="G251" s="12" t="n">
        <v>838828</v>
      </c>
      <c r="H251" s="12" t="n">
        <v>76920293</v>
      </c>
      <c r="I251" s="16" t="n">
        <v>41.3</v>
      </c>
      <c r="J251" s="13" t="n">
        <v>0.123</v>
      </c>
      <c r="K251" s="16" t="n">
        <v>21</v>
      </c>
      <c r="L251" s="13" t="n">
        <f aca="false">IF(SUMIFS($F$2:$F$397,$A$2:$A$397,A251)=0,0,F251/SUMIFS($F$2:$F$397,$A$2:$A$397,A251))</f>
        <v>0.0372265759271749</v>
      </c>
    </row>
    <row r="252" customFormat="false" ht="15" hidden="false" customHeight="false" outlineLevel="0" collapsed="false">
      <c r="A252" s="10" t="n">
        <v>45597</v>
      </c>
      <c r="B252" s="18" t="n">
        <f aca="false">YEAR(A252)</f>
        <v>2024</v>
      </c>
      <c r="C252" s="19" t="str">
        <f aca="false">"Q"&amp;ROUNDUP(MONTH(A252)/3,0)</f>
        <v>Q4</v>
      </c>
      <c r="D252" s="19" t="s">
        <v>222</v>
      </c>
      <c r="E252" s="19" t="s">
        <v>218</v>
      </c>
      <c r="F252" s="12" t="n">
        <v>7171104</v>
      </c>
      <c r="G252" s="12" t="n">
        <v>1128867</v>
      </c>
      <c r="H252" s="12" t="n">
        <v>115135984</v>
      </c>
      <c r="I252" s="16" t="n">
        <v>47.2</v>
      </c>
      <c r="J252" s="13" t="n">
        <v>0.071</v>
      </c>
      <c r="K252" s="16" t="n">
        <v>25.7</v>
      </c>
      <c r="L252" s="13" t="n">
        <f aca="false">IF(SUMIFS($F$2:$F$397,$A$2:$A$397,A252)=0,0,F252/SUMIFS($F$2:$F$397,$A$2:$A$397,A252))</f>
        <v>0.0515370232516283</v>
      </c>
    </row>
    <row r="253" customFormat="false" ht="15" hidden="false" customHeight="false" outlineLevel="0" collapsed="false">
      <c r="A253" s="10" t="n">
        <v>45597</v>
      </c>
      <c r="B253" s="18" t="n">
        <f aca="false">YEAR(A253)</f>
        <v>2024</v>
      </c>
      <c r="C253" s="19" t="str">
        <f aca="false">"Q"&amp;ROUNDUP(MONTH(A253)/3,0)</f>
        <v>Q4</v>
      </c>
      <c r="D253" s="19" t="s">
        <v>223</v>
      </c>
      <c r="E253" s="19" t="s">
        <v>224</v>
      </c>
      <c r="F253" s="12" t="n">
        <v>6083002</v>
      </c>
      <c r="G253" s="12" t="n">
        <v>947051</v>
      </c>
      <c r="H253" s="12" t="n">
        <v>97584482</v>
      </c>
      <c r="I253" s="16" t="n">
        <v>43.6</v>
      </c>
      <c r="J253" s="13" t="n">
        <v>0.109</v>
      </c>
      <c r="K253" s="16" t="n">
        <v>21.1</v>
      </c>
      <c r="L253" s="13" t="n">
        <f aca="false">IF(SUMIFS($F$2:$F$397,$A$2:$A$397,A253)=0,0,F253/SUMIFS($F$2:$F$397,$A$2:$A$397,A253))</f>
        <v>0.0437170923073632</v>
      </c>
    </row>
    <row r="254" customFormat="false" ht="15" hidden="false" customHeight="false" outlineLevel="0" collapsed="false">
      <c r="A254" s="10" t="n">
        <v>45597</v>
      </c>
      <c r="B254" s="18" t="n">
        <f aca="false">YEAR(A254)</f>
        <v>2024</v>
      </c>
      <c r="C254" s="19" t="str">
        <f aca="false">"Q"&amp;ROUNDUP(MONTH(A254)/3,0)</f>
        <v>Q4</v>
      </c>
      <c r="D254" s="19" t="s">
        <v>225</v>
      </c>
      <c r="E254" s="19" t="s">
        <v>226</v>
      </c>
      <c r="F254" s="12" t="n">
        <v>12281361</v>
      </c>
      <c r="G254" s="12" t="n">
        <v>1998097</v>
      </c>
      <c r="H254" s="12" t="n">
        <v>175563094</v>
      </c>
      <c r="I254" s="16" t="n">
        <v>41.2</v>
      </c>
      <c r="J254" s="13" t="n">
        <v>0.097</v>
      </c>
      <c r="K254" s="16" t="n">
        <v>19.1</v>
      </c>
      <c r="L254" s="13" t="n">
        <f aca="false">IF(SUMIFS($F$2:$F$397,$A$2:$A$397,A254)=0,0,F254/SUMIFS($F$2:$F$397,$A$2:$A$397,A254))</f>
        <v>0.0882632280076597</v>
      </c>
    </row>
    <row r="255" customFormat="false" ht="15" hidden="false" customHeight="false" outlineLevel="0" collapsed="false">
      <c r="A255" s="10" t="n">
        <v>45627</v>
      </c>
      <c r="B255" s="18" t="n">
        <f aca="false">YEAR(A255)</f>
        <v>2024</v>
      </c>
      <c r="C255" s="19" t="str">
        <f aca="false">"Q"&amp;ROUNDUP(MONTH(A255)/3,0)</f>
        <v>Q4</v>
      </c>
      <c r="D255" s="19" t="s">
        <v>211</v>
      </c>
      <c r="E255" s="19" t="s">
        <v>212</v>
      </c>
      <c r="F255" s="12" t="n">
        <v>40854741</v>
      </c>
      <c r="G255" s="12" t="n">
        <v>6221052</v>
      </c>
      <c r="H255" s="12" t="n">
        <v>645926246</v>
      </c>
      <c r="I255" s="16" t="n">
        <v>44.1</v>
      </c>
      <c r="J255" s="13" t="n">
        <v>0.117</v>
      </c>
      <c r="K255" s="16" t="n">
        <v>24.1</v>
      </c>
      <c r="L255" s="13" t="n">
        <f aca="false">IF(SUMIFS($F$2:$F$397,$A$2:$A$397,A255)=0,0,F255/SUMIFS($F$2:$F$397,$A$2:$A$397,A255))</f>
        <v>0.282728727156405</v>
      </c>
    </row>
    <row r="256" customFormat="false" ht="15" hidden="false" customHeight="false" outlineLevel="0" collapsed="false">
      <c r="A256" s="10" t="n">
        <v>45627</v>
      </c>
      <c r="B256" s="18" t="n">
        <f aca="false">YEAR(A256)</f>
        <v>2024</v>
      </c>
      <c r="C256" s="19" t="str">
        <f aca="false">"Q"&amp;ROUNDUP(MONTH(A256)/3,0)</f>
        <v>Q4</v>
      </c>
      <c r="D256" s="19" t="s">
        <v>213</v>
      </c>
      <c r="E256" s="19" t="s">
        <v>214</v>
      </c>
      <c r="F256" s="12" t="n">
        <v>23079157</v>
      </c>
      <c r="G256" s="12" t="n">
        <v>3780553</v>
      </c>
      <c r="H256" s="12" t="n">
        <v>362914563</v>
      </c>
      <c r="I256" s="16" t="n">
        <v>42.7</v>
      </c>
      <c r="J256" s="13" t="n">
        <v>0.134</v>
      </c>
      <c r="K256" s="16" t="n">
        <v>24.5</v>
      </c>
      <c r="L256" s="13" t="n">
        <f aca="false">IF(SUMIFS($F$2:$F$397,$A$2:$A$397,A256)=0,0,F256/SUMIFS($F$2:$F$397,$A$2:$A$397,A256))</f>
        <v>0.159715629636542</v>
      </c>
    </row>
    <row r="257" customFormat="false" ht="15" hidden="false" customHeight="false" outlineLevel="0" collapsed="false">
      <c r="A257" s="10" t="n">
        <v>45627</v>
      </c>
      <c r="B257" s="18" t="n">
        <f aca="false">YEAR(A257)</f>
        <v>2024</v>
      </c>
      <c r="C257" s="19" t="str">
        <f aca="false">"Q"&amp;ROUNDUP(MONTH(A257)/3,0)</f>
        <v>Q4</v>
      </c>
      <c r="D257" s="19" t="s">
        <v>215</v>
      </c>
      <c r="E257" s="19" t="s">
        <v>214</v>
      </c>
      <c r="F257" s="12" t="n">
        <v>11551407</v>
      </c>
      <c r="G257" s="12" t="n">
        <v>1918536</v>
      </c>
      <c r="H257" s="12" t="n">
        <v>177866521</v>
      </c>
      <c r="I257" s="16" t="n">
        <v>42.8</v>
      </c>
      <c r="J257" s="13" t="n">
        <v>0.125</v>
      </c>
      <c r="K257" s="16" t="n">
        <v>21.1</v>
      </c>
      <c r="L257" s="13" t="n">
        <f aca="false">IF(SUMIFS($F$2:$F$397,$A$2:$A$397,A257)=0,0,F257/SUMIFS($F$2:$F$397,$A$2:$A$397,A257))</f>
        <v>0.0799396720683063</v>
      </c>
    </row>
    <row r="258" customFormat="false" ht="15" hidden="false" customHeight="false" outlineLevel="0" collapsed="false">
      <c r="A258" s="10" t="n">
        <v>45627</v>
      </c>
      <c r="B258" s="18" t="n">
        <f aca="false">YEAR(A258)</f>
        <v>2024</v>
      </c>
      <c r="C258" s="19" t="str">
        <f aca="false">"Q"&amp;ROUNDUP(MONTH(A258)/3,0)</f>
        <v>Q4</v>
      </c>
      <c r="D258" s="19" t="s">
        <v>216</v>
      </c>
      <c r="E258" s="19" t="s">
        <v>212</v>
      </c>
      <c r="F258" s="12" t="n">
        <v>8606520</v>
      </c>
      <c r="G258" s="12" t="n">
        <v>1307547</v>
      </c>
      <c r="H258" s="12" t="n">
        <v>138527152</v>
      </c>
      <c r="I258" s="16" t="n">
        <v>41.7</v>
      </c>
      <c r="J258" s="13" t="n">
        <v>0.114</v>
      </c>
      <c r="K258" s="16" t="n">
        <v>20.4</v>
      </c>
      <c r="L258" s="13" t="n">
        <f aca="false">IF(SUMIFS($F$2:$F$397,$A$2:$A$397,A258)=0,0,F258/SUMIFS($F$2:$F$397,$A$2:$A$397,A258))</f>
        <v>0.0595600506890043</v>
      </c>
    </row>
    <row r="259" customFormat="false" ht="15" hidden="false" customHeight="false" outlineLevel="0" collapsed="false">
      <c r="A259" s="10" t="n">
        <v>45627</v>
      </c>
      <c r="B259" s="18" t="n">
        <f aca="false">YEAR(A259)</f>
        <v>2024</v>
      </c>
      <c r="C259" s="19" t="str">
        <f aca="false">"Q"&amp;ROUNDUP(MONTH(A259)/3,0)</f>
        <v>Q4</v>
      </c>
      <c r="D259" s="19" t="s">
        <v>217</v>
      </c>
      <c r="E259" s="19" t="s">
        <v>218</v>
      </c>
      <c r="F259" s="12" t="n">
        <v>11645147</v>
      </c>
      <c r="G259" s="12" t="n">
        <v>1838268</v>
      </c>
      <c r="H259" s="12" t="n">
        <v>212399852</v>
      </c>
      <c r="I259" s="16" t="n">
        <v>48.8</v>
      </c>
      <c r="J259" s="13" t="n">
        <v>0.087</v>
      </c>
      <c r="K259" s="16" t="n">
        <v>27</v>
      </c>
      <c r="L259" s="13" t="n">
        <f aca="false">IF(SUMIFS($F$2:$F$397,$A$2:$A$397,A259)=0,0,F259/SUMIFS($F$2:$F$397,$A$2:$A$397,A259))</f>
        <v>0.0805883848060432</v>
      </c>
    </row>
    <row r="260" customFormat="false" ht="15" hidden="false" customHeight="false" outlineLevel="0" collapsed="false">
      <c r="A260" s="10" t="n">
        <v>45627</v>
      </c>
      <c r="B260" s="18" t="n">
        <f aca="false">YEAR(A260)</f>
        <v>2024</v>
      </c>
      <c r="C260" s="19" t="str">
        <f aca="false">"Q"&amp;ROUNDUP(MONTH(A260)/3,0)</f>
        <v>Q4</v>
      </c>
      <c r="D260" s="19" t="s">
        <v>219</v>
      </c>
      <c r="E260" s="19" t="s">
        <v>218</v>
      </c>
      <c r="F260" s="12" t="n">
        <v>9944988</v>
      </c>
      <c r="G260" s="12" t="n">
        <v>1433569</v>
      </c>
      <c r="H260" s="12" t="n">
        <v>170222501</v>
      </c>
      <c r="I260" s="16" t="n">
        <v>47.5</v>
      </c>
      <c r="J260" s="13" t="n">
        <v>0.093</v>
      </c>
      <c r="K260" s="16" t="n">
        <v>27.7</v>
      </c>
      <c r="L260" s="13" t="n">
        <f aca="false">IF(SUMIFS($F$2:$F$397,$A$2:$A$397,A260)=0,0,F260/SUMIFS($F$2:$F$397,$A$2:$A$397,A260))</f>
        <v>0.0688227052724609</v>
      </c>
    </row>
    <row r="261" customFormat="false" ht="15" hidden="false" customHeight="false" outlineLevel="0" collapsed="false">
      <c r="A261" s="10" t="n">
        <v>45627</v>
      </c>
      <c r="B261" s="18" t="n">
        <f aca="false">YEAR(A261)</f>
        <v>2024</v>
      </c>
      <c r="C261" s="19" t="str">
        <f aca="false">"Q"&amp;ROUNDUP(MONTH(A261)/3,0)</f>
        <v>Q4</v>
      </c>
      <c r="D261" s="19" t="s">
        <v>220</v>
      </c>
      <c r="E261" s="19" t="s">
        <v>214</v>
      </c>
      <c r="F261" s="12" t="n">
        <v>6443102</v>
      </c>
      <c r="G261" s="12" t="n">
        <v>944647</v>
      </c>
      <c r="H261" s="12" t="n">
        <v>100973458</v>
      </c>
      <c r="I261" s="16" t="n">
        <v>43.2</v>
      </c>
      <c r="J261" s="13" t="n">
        <v>0.122</v>
      </c>
      <c r="K261" s="16" t="n">
        <v>20.6</v>
      </c>
      <c r="L261" s="13" t="n">
        <f aca="false">IF(SUMIFS($F$2:$F$397,$A$2:$A$397,A261)=0,0,F261/SUMIFS($F$2:$F$397,$A$2:$A$397,A261))</f>
        <v>0.0445884610405164</v>
      </c>
    </row>
    <row r="262" customFormat="false" ht="15" hidden="false" customHeight="false" outlineLevel="0" collapsed="false">
      <c r="A262" s="10" t="n">
        <v>45627</v>
      </c>
      <c r="B262" s="18" t="n">
        <f aca="false">YEAR(A262)</f>
        <v>2024</v>
      </c>
      <c r="C262" s="19" t="str">
        <f aca="false">"Q"&amp;ROUNDUP(MONTH(A262)/3,0)</f>
        <v>Q4</v>
      </c>
      <c r="D262" s="19" t="s">
        <v>221</v>
      </c>
      <c r="E262" s="19" t="s">
        <v>214</v>
      </c>
      <c r="F262" s="12" t="n">
        <v>5363252</v>
      </c>
      <c r="G262" s="12" t="n">
        <v>808066</v>
      </c>
      <c r="H262" s="12" t="n">
        <v>83610012</v>
      </c>
      <c r="I262" s="16" t="n">
        <v>43.3</v>
      </c>
      <c r="J262" s="13" t="n">
        <v>0.124</v>
      </c>
      <c r="K262" s="16" t="n">
        <v>20.7</v>
      </c>
      <c r="L262" s="13" t="n">
        <f aca="false">IF(SUMIFS($F$2:$F$397,$A$2:$A$397,A262)=0,0,F262/SUMIFS($F$2:$F$397,$A$2:$A$397,A262))</f>
        <v>0.037115531129644</v>
      </c>
    </row>
    <row r="263" customFormat="false" ht="15" hidden="false" customHeight="false" outlineLevel="0" collapsed="false">
      <c r="A263" s="10" t="n">
        <v>45627</v>
      </c>
      <c r="B263" s="18" t="n">
        <f aca="false">YEAR(A263)</f>
        <v>2024</v>
      </c>
      <c r="C263" s="19" t="str">
        <f aca="false">"Q"&amp;ROUNDUP(MONTH(A263)/3,0)</f>
        <v>Q4</v>
      </c>
      <c r="D263" s="19" t="s">
        <v>222</v>
      </c>
      <c r="E263" s="19" t="s">
        <v>218</v>
      </c>
      <c r="F263" s="12" t="n">
        <v>7561489</v>
      </c>
      <c r="G263" s="12" t="n">
        <v>1204699</v>
      </c>
      <c r="H263" s="12" t="n">
        <v>131429428</v>
      </c>
      <c r="I263" s="16" t="n">
        <v>45.9</v>
      </c>
      <c r="J263" s="13" t="n">
        <v>0.083</v>
      </c>
      <c r="K263" s="16" t="n">
        <v>25.5</v>
      </c>
      <c r="L263" s="13" t="n">
        <f aca="false">IF(SUMIFS($F$2:$F$397,$A$2:$A$397,A263)=0,0,F263/SUMIFS($F$2:$F$397,$A$2:$A$397,A263))</f>
        <v>0.052328080121158</v>
      </c>
    </row>
    <row r="264" customFormat="false" ht="15" hidden="false" customHeight="false" outlineLevel="0" collapsed="false">
      <c r="A264" s="10" t="n">
        <v>45627</v>
      </c>
      <c r="B264" s="18" t="n">
        <f aca="false">YEAR(A264)</f>
        <v>2024</v>
      </c>
      <c r="C264" s="19" t="str">
        <f aca="false">"Q"&amp;ROUNDUP(MONTH(A264)/3,0)</f>
        <v>Q4</v>
      </c>
      <c r="D264" s="19" t="s">
        <v>223</v>
      </c>
      <c r="E264" s="19" t="s">
        <v>224</v>
      </c>
      <c r="F264" s="12" t="n">
        <v>5973432</v>
      </c>
      <c r="G264" s="12" t="n">
        <v>895138</v>
      </c>
      <c r="H264" s="12" t="n">
        <v>98133221</v>
      </c>
      <c r="I264" s="16" t="n">
        <v>42.3</v>
      </c>
      <c r="J264" s="13" t="n">
        <v>0.112</v>
      </c>
      <c r="K264" s="16" t="n">
        <v>20.6</v>
      </c>
      <c r="L264" s="13" t="n">
        <f aca="false">IF(SUMIFS($F$2:$F$397,$A$2:$A$397,A264)=0,0,F264/SUMIFS($F$2:$F$397,$A$2:$A$397,A264))</f>
        <v>0.0413381846213476</v>
      </c>
    </row>
    <row r="265" customFormat="false" ht="15" hidden="false" customHeight="false" outlineLevel="0" collapsed="false">
      <c r="A265" s="10" t="n">
        <v>45627</v>
      </c>
      <c r="B265" s="18" t="n">
        <f aca="false">YEAR(A265)</f>
        <v>2024</v>
      </c>
      <c r="C265" s="19" t="str">
        <f aca="false">"Q"&amp;ROUNDUP(MONTH(A265)/3,0)</f>
        <v>Q4</v>
      </c>
      <c r="D265" s="19" t="s">
        <v>225</v>
      </c>
      <c r="E265" s="19" t="s">
        <v>226</v>
      </c>
      <c r="F265" s="12" t="n">
        <v>13478321</v>
      </c>
      <c r="G265" s="12" t="n">
        <v>2184221</v>
      </c>
      <c r="H265" s="12" t="n">
        <v>199727562</v>
      </c>
      <c r="I265" s="16" t="n">
        <v>41.1</v>
      </c>
      <c r="J265" s="13" t="n">
        <v>0.1</v>
      </c>
      <c r="K265" s="16" t="n">
        <v>19.4</v>
      </c>
      <c r="L265" s="13" t="n">
        <f aca="false">IF(SUMIFS($F$2:$F$397,$A$2:$A$397,A265)=0,0,F265/SUMIFS($F$2:$F$397,$A$2:$A$397,A265))</f>
        <v>0.0932745734585723</v>
      </c>
    </row>
    <row r="266" customFormat="false" ht="15" hidden="false" customHeight="false" outlineLevel="0" collapsed="false">
      <c r="A266" s="10" t="n">
        <v>45658</v>
      </c>
      <c r="B266" s="18" t="n">
        <f aca="false">YEAR(A266)</f>
        <v>2025</v>
      </c>
      <c r="C266" s="19" t="str">
        <f aca="false">"Q"&amp;ROUNDUP(MONTH(A266)/3,0)</f>
        <v>Q1</v>
      </c>
      <c r="D266" s="19" t="s">
        <v>211</v>
      </c>
      <c r="E266" s="19" t="s">
        <v>212</v>
      </c>
      <c r="F266" s="12" t="n">
        <v>42488324</v>
      </c>
      <c r="G266" s="12" t="n">
        <v>6136343</v>
      </c>
      <c r="H266" s="12" t="n">
        <v>656568943</v>
      </c>
      <c r="I266" s="16" t="n">
        <v>43.2</v>
      </c>
      <c r="J266" s="13" t="n">
        <v>0.115</v>
      </c>
      <c r="K266" s="16" t="n">
        <v>23</v>
      </c>
      <c r="L266" s="13" t="n">
        <f aca="false">IF(SUMIFS($F$2:$F$397,$A$2:$A$397,A266)=0,0,F266/SUMIFS($F$2:$F$397,$A$2:$A$397,A266))</f>
        <v>0.279184747067139</v>
      </c>
    </row>
    <row r="267" customFormat="false" ht="15" hidden="false" customHeight="false" outlineLevel="0" collapsed="false">
      <c r="A267" s="10" t="n">
        <v>45658</v>
      </c>
      <c r="B267" s="18" t="n">
        <f aca="false">YEAR(A267)</f>
        <v>2025</v>
      </c>
      <c r="C267" s="19" t="str">
        <f aca="false">"Q"&amp;ROUNDUP(MONTH(A267)/3,0)</f>
        <v>Q1</v>
      </c>
      <c r="D267" s="19" t="s">
        <v>213</v>
      </c>
      <c r="E267" s="19" t="s">
        <v>214</v>
      </c>
      <c r="F267" s="12" t="n">
        <v>23825534</v>
      </c>
      <c r="G267" s="12" t="n">
        <v>3867352</v>
      </c>
      <c r="H267" s="12" t="n">
        <v>373691922</v>
      </c>
      <c r="I267" s="16" t="n">
        <v>43.3</v>
      </c>
      <c r="J267" s="13" t="n">
        <v>0.136</v>
      </c>
      <c r="K267" s="16" t="n">
        <v>24.3</v>
      </c>
      <c r="L267" s="13" t="n">
        <f aca="false">IF(SUMIFS($F$2:$F$397,$A$2:$A$397,A267)=0,0,F267/SUMIFS($F$2:$F$397,$A$2:$A$397,A267))</f>
        <v>0.156554202597624</v>
      </c>
    </row>
    <row r="268" customFormat="false" ht="15" hidden="false" customHeight="false" outlineLevel="0" collapsed="false">
      <c r="A268" s="10" t="n">
        <v>45658</v>
      </c>
      <c r="B268" s="18" t="n">
        <f aca="false">YEAR(A268)</f>
        <v>2025</v>
      </c>
      <c r="C268" s="19" t="str">
        <f aca="false">"Q"&amp;ROUNDUP(MONTH(A268)/3,0)</f>
        <v>Q1</v>
      </c>
      <c r="D268" s="19" t="s">
        <v>215</v>
      </c>
      <c r="E268" s="19" t="s">
        <v>214</v>
      </c>
      <c r="F268" s="12" t="n">
        <v>12964547</v>
      </c>
      <c r="G268" s="12" t="n">
        <v>1993831</v>
      </c>
      <c r="H268" s="12" t="n">
        <v>209036291</v>
      </c>
      <c r="I268" s="16" t="n">
        <v>43.6</v>
      </c>
      <c r="J268" s="13" t="n">
        <v>0.125</v>
      </c>
      <c r="K268" s="16" t="n">
        <v>21.6</v>
      </c>
      <c r="L268" s="13" t="n">
        <f aca="false">IF(SUMIFS($F$2:$F$397,$A$2:$A$397,A268)=0,0,F268/SUMIFS($F$2:$F$397,$A$2:$A$397,A268))</f>
        <v>0.0851881984103452</v>
      </c>
    </row>
    <row r="269" customFormat="false" ht="15" hidden="false" customHeight="false" outlineLevel="0" collapsed="false">
      <c r="A269" s="10" t="n">
        <v>45658</v>
      </c>
      <c r="B269" s="18" t="n">
        <f aca="false">YEAR(A269)</f>
        <v>2025</v>
      </c>
      <c r="C269" s="19" t="str">
        <f aca="false">"Q"&amp;ROUNDUP(MONTH(A269)/3,0)</f>
        <v>Q1</v>
      </c>
      <c r="D269" s="19" t="s">
        <v>216</v>
      </c>
      <c r="E269" s="19" t="s">
        <v>212</v>
      </c>
      <c r="F269" s="12" t="n">
        <v>8722834</v>
      </c>
      <c r="G269" s="12" t="n">
        <v>1370264</v>
      </c>
      <c r="H269" s="12" t="n">
        <v>138630006</v>
      </c>
      <c r="I269" s="16" t="n">
        <v>43.4</v>
      </c>
      <c r="J269" s="13" t="n">
        <v>0.115</v>
      </c>
      <c r="K269" s="16" t="n">
        <v>21.8</v>
      </c>
      <c r="L269" s="13" t="n">
        <f aca="false">IF(SUMIFS($F$2:$F$397,$A$2:$A$397,A269)=0,0,F269/SUMIFS($F$2:$F$397,$A$2:$A$397,A269))</f>
        <v>0.0573165042706471</v>
      </c>
    </row>
    <row r="270" customFormat="false" ht="15" hidden="false" customHeight="false" outlineLevel="0" collapsed="false">
      <c r="A270" s="10" t="n">
        <v>45658</v>
      </c>
      <c r="B270" s="18" t="n">
        <f aca="false">YEAR(A270)</f>
        <v>2025</v>
      </c>
      <c r="C270" s="19" t="str">
        <f aca="false">"Q"&amp;ROUNDUP(MONTH(A270)/3,0)</f>
        <v>Q1</v>
      </c>
      <c r="D270" s="19" t="s">
        <v>217</v>
      </c>
      <c r="E270" s="19" t="s">
        <v>218</v>
      </c>
      <c r="F270" s="12" t="n">
        <v>11776077</v>
      </c>
      <c r="G270" s="12" t="n">
        <v>1767436</v>
      </c>
      <c r="H270" s="12" t="n">
        <v>212412313</v>
      </c>
      <c r="I270" s="16" t="n">
        <v>48.4</v>
      </c>
      <c r="J270" s="13" t="n">
        <v>0.087</v>
      </c>
      <c r="K270" s="16" t="n">
        <v>27.9</v>
      </c>
      <c r="L270" s="13" t="n">
        <f aca="false">IF(SUMIFS($F$2:$F$397,$A$2:$A$397,A270)=0,0,F270/SUMIFS($F$2:$F$397,$A$2:$A$397,A270))</f>
        <v>0.0773789307078375</v>
      </c>
    </row>
    <row r="271" customFormat="false" ht="15" hidden="false" customHeight="false" outlineLevel="0" collapsed="false">
      <c r="A271" s="10" t="n">
        <v>45658</v>
      </c>
      <c r="B271" s="18" t="n">
        <f aca="false">YEAR(A271)</f>
        <v>2025</v>
      </c>
      <c r="C271" s="19" t="str">
        <f aca="false">"Q"&amp;ROUNDUP(MONTH(A271)/3,0)</f>
        <v>Q1</v>
      </c>
      <c r="D271" s="19" t="s">
        <v>219</v>
      </c>
      <c r="E271" s="19" t="s">
        <v>218</v>
      </c>
      <c r="F271" s="12" t="n">
        <v>10614153</v>
      </c>
      <c r="G271" s="12" t="n">
        <v>1608260</v>
      </c>
      <c r="H271" s="12" t="n">
        <v>186036263</v>
      </c>
      <c r="I271" s="16" t="n">
        <v>48.9</v>
      </c>
      <c r="J271" s="13" t="n">
        <v>0.092</v>
      </c>
      <c r="K271" s="16" t="n">
        <v>27.3</v>
      </c>
      <c r="L271" s="13" t="n">
        <f aca="false">IF(SUMIFS($F$2:$F$397,$A$2:$A$397,A271)=0,0,F271/SUMIFS($F$2:$F$397,$A$2:$A$397,A271))</f>
        <v>0.0697440930039253</v>
      </c>
    </row>
    <row r="272" customFormat="false" ht="15" hidden="false" customHeight="false" outlineLevel="0" collapsed="false">
      <c r="A272" s="10" t="n">
        <v>45658</v>
      </c>
      <c r="B272" s="18" t="n">
        <f aca="false">YEAR(A272)</f>
        <v>2025</v>
      </c>
      <c r="C272" s="19" t="str">
        <f aca="false">"Q"&amp;ROUNDUP(MONTH(A272)/3,0)</f>
        <v>Q1</v>
      </c>
      <c r="D272" s="19" t="s">
        <v>220</v>
      </c>
      <c r="E272" s="19" t="s">
        <v>214</v>
      </c>
      <c r="F272" s="12" t="n">
        <v>6967758</v>
      </c>
      <c r="G272" s="12" t="n">
        <v>1059850</v>
      </c>
      <c r="H272" s="12" t="n">
        <v>117209560</v>
      </c>
      <c r="I272" s="16" t="n">
        <v>44.5</v>
      </c>
      <c r="J272" s="13" t="n">
        <v>0.132</v>
      </c>
      <c r="K272" s="16" t="n">
        <v>21.2</v>
      </c>
      <c r="L272" s="13" t="n">
        <f aca="false">IF(SUMIFS($F$2:$F$397,$A$2:$A$397,A272)=0,0,F272/SUMIFS($F$2:$F$397,$A$2:$A$397,A272))</f>
        <v>0.0457841489547818</v>
      </c>
    </row>
    <row r="273" customFormat="false" ht="15" hidden="false" customHeight="false" outlineLevel="0" collapsed="false">
      <c r="A273" s="10" t="n">
        <v>45658</v>
      </c>
      <c r="B273" s="18" t="n">
        <f aca="false">YEAR(A273)</f>
        <v>2025</v>
      </c>
      <c r="C273" s="19" t="str">
        <f aca="false">"Q"&amp;ROUNDUP(MONTH(A273)/3,0)</f>
        <v>Q1</v>
      </c>
      <c r="D273" s="19" t="s">
        <v>221</v>
      </c>
      <c r="E273" s="19" t="s">
        <v>214</v>
      </c>
      <c r="F273" s="12" t="n">
        <v>5623303</v>
      </c>
      <c r="G273" s="12" t="n">
        <v>818939</v>
      </c>
      <c r="H273" s="12" t="n">
        <v>85090647</v>
      </c>
      <c r="I273" s="16" t="n">
        <v>43</v>
      </c>
      <c r="J273" s="13" t="n">
        <v>0.125</v>
      </c>
      <c r="K273" s="16" t="n">
        <v>21.4</v>
      </c>
      <c r="L273" s="13" t="n">
        <f aca="false">IF(SUMIFS($F$2:$F$397,$A$2:$A$397,A273)=0,0,F273/SUMIFS($F$2:$F$397,$A$2:$A$397,A273))</f>
        <v>0.036949925954643</v>
      </c>
    </row>
    <row r="274" customFormat="false" ht="15" hidden="false" customHeight="false" outlineLevel="0" collapsed="false">
      <c r="A274" s="10" t="n">
        <v>45658</v>
      </c>
      <c r="B274" s="18" t="n">
        <f aca="false">YEAR(A274)</f>
        <v>2025</v>
      </c>
      <c r="C274" s="19" t="str">
        <f aca="false">"Q"&amp;ROUNDUP(MONTH(A274)/3,0)</f>
        <v>Q1</v>
      </c>
      <c r="D274" s="19" t="s">
        <v>222</v>
      </c>
      <c r="E274" s="19" t="s">
        <v>218</v>
      </c>
      <c r="F274" s="12" t="n">
        <v>7947394</v>
      </c>
      <c r="G274" s="12" t="n">
        <v>1240111</v>
      </c>
      <c r="H274" s="12" t="n">
        <v>139209903</v>
      </c>
      <c r="I274" s="16" t="n">
        <v>47.5</v>
      </c>
      <c r="J274" s="13" t="n">
        <v>0.071</v>
      </c>
      <c r="K274" s="16" t="n">
        <v>25.9</v>
      </c>
      <c r="L274" s="13" t="n">
        <f aca="false">IF(SUMIFS($F$2:$F$397,$A$2:$A$397,A274)=0,0,F274/SUMIFS($F$2:$F$397,$A$2:$A$397,A274))</f>
        <v>0.0522211980809809</v>
      </c>
    </row>
    <row r="275" customFormat="false" ht="15" hidden="false" customHeight="false" outlineLevel="0" collapsed="false">
      <c r="A275" s="10" t="n">
        <v>45658</v>
      </c>
      <c r="B275" s="18" t="n">
        <f aca="false">YEAR(A275)</f>
        <v>2025</v>
      </c>
      <c r="C275" s="19" t="str">
        <f aca="false">"Q"&amp;ROUNDUP(MONTH(A275)/3,0)</f>
        <v>Q1</v>
      </c>
      <c r="D275" s="19" t="s">
        <v>223</v>
      </c>
      <c r="E275" s="19" t="s">
        <v>224</v>
      </c>
      <c r="F275" s="12" t="n">
        <v>7001217</v>
      </c>
      <c r="G275" s="12" t="n">
        <v>1102205</v>
      </c>
      <c r="H275" s="12" t="n">
        <v>104561707</v>
      </c>
      <c r="I275" s="16" t="n">
        <v>43</v>
      </c>
      <c r="J275" s="13" t="n">
        <v>0.105</v>
      </c>
      <c r="K275" s="16" t="n">
        <v>20.2</v>
      </c>
      <c r="L275" s="13" t="n">
        <f aca="false">IF(SUMIFS($F$2:$F$397,$A$2:$A$397,A275)=0,0,F275/SUMIFS($F$2:$F$397,$A$2:$A$397,A275))</f>
        <v>0.0460040032952853</v>
      </c>
    </row>
    <row r="276" customFormat="false" ht="15" hidden="false" customHeight="false" outlineLevel="0" collapsed="false">
      <c r="A276" s="10" t="n">
        <v>45658</v>
      </c>
      <c r="B276" s="18" t="n">
        <f aca="false">YEAR(A276)</f>
        <v>2025</v>
      </c>
      <c r="C276" s="19" t="str">
        <f aca="false">"Q"&amp;ROUNDUP(MONTH(A276)/3,0)</f>
        <v>Q1</v>
      </c>
      <c r="D276" s="19" t="s">
        <v>225</v>
      </c>
      <c r="E276" s="19" t="s">
        <v>226</v>
      </c>
      <c r="F276" s="12" t="n">
        <v>14255984</v>
      </c>
      <c r="G276" s="12" t="n">
        <v>2098199</v>
      </c>
      <c r="H276" s="12" t="n">
        <v>223872969</v>
      </c>
      <c r="I276" s="16" t="n">
        <v>42.2</v>
      </c>
      <c r="J276" s="13" t="n">
        <v>0.092</v>
      </c>
      <c r="K276" s="16" t="n">
        <v>18.9</v>
      </c>
      <c r="L276" s="13" t="n">
        <f aca="false">IF(SUMIFS($F$2:$F$397,$A$2:$A$397,A276)=0,0,F276/SUMIFS($F$2:$F$397,$A$2:$A$397,A276))</f>
        <v>0.0936740476567909</v>
      </c>
    </row>
    <row r="277" customFormat="false" ht="15" hidden="false" customHeight="false" outlineLevel="0" collapsed="false">
      <c r="A277" s="10" t="n">
        <v>45689</v>
      </c>
      <c r="B277" s="18" t="n">
        <f aca="false">YEAR(A277)</f>
        <v>2025</v>
      </c>
      <c r="C277" s="19" t="str">
        <f aca="false">"Q"&amp;ROUNDUP(MONTH(A277)/3,0)</f>
        <v>Q1</v>
      </c>
      <c r="D277" s="19" t="s">
        <v>211</v>
      </c>
      <c r="E277" s="19" t="s">
        <v>212</v>
      </c>
      <c r="F277" s="12" t="n">
        <v>45626622</v>
      </c>
      <c r="G277" s="12" t="n">
        <v>6245209</v>
      </c>
      <c r="H277" s="12" t="n">
        <v>747894647</v>
      </c>
      <c r="I277" s="16" t="n">
        <v>43.1</v>
      </c>
      <c r="J277" s="13" t="n">
        <v>0.12</v>
      </c>
      <c r="K277" s="16" t="n">
        <v>23.4</v>
      </c>
      <c r="L277" s="13" t="n">
        <f aca="false">IF(SUMIFS($F$2:$F$397,$A$2:$A$397,A277)=0,0,F277/SUMIFS($F$2:$F$397,$A$2:$A$397,A277))</f>
        <v>0.287098573459948</v>
      </c>
    </row>
    <row r="278" customFormat="false" ht="15" hidden="false" customHeight="false" outlineLevel="0" collapsed="false">
      <c r="A278" s="10" t="n">
        <v>45689</v>
      </c>
      <c r="B278" s="18" t="n">
        <f aca="false">YEAR(A278)</f>
        <v>2025</v>
      </c>
      <c r="C278" s="19" t="str">
        <f aca="false">"Q"&amp;ROUNDUP(MONTH(A278)/3,0)</f>
        <v>Q1</v>
      </c>
      <c r="D278" s="19" t="s">
        <v>213</v>
      </c>
      <c r="E278" s="19" t="s">
        <v>214</v>
      </c>
      <c r="F278" s="12" t="n">
        <v>23931257</v>
      </c>
      <c r="G278" s="12" t="n">
        <v>3541121</v>
      </c>
      <c r="H278" s="12" t="n">
        <v>400752280</v>
      </c>
      <c r="I278" s="16" t="n">
        <v>44</v>
      </c>
      <c r="J278" s="13" t="n">
        <v>0.135</v>
      </c>
      <c r="K278" s="16" t="n">
        <v>23.5</v>
      </c>
      <c r="L278" s="13" t="n">
        <f aca="false">IF(SUMIFS($F$2:$F$397,$A$2:$A$397,A278)=0,0,F278/SUMIFS($F$2:$F$397,$A$2:$A$397,A278))</f>
        <v>0.150583791756563</v>
      </c>
    </row>
    <row r="279" customFormat="false" ht="15" hidden="false" customHeight="false" outlineLevel="0" collapsed="false">
      <c r="A279" s="10" t="n">
        <v>45689</v>
      </c>
      <c r="B279" s="18" t="n">
        <f aca="false">YEAR(A279)</f>
        <v>2025</v>
      </c>
      <c r="C279" s="19" t="str">
        <f aca="false">"Q"&amp;ROUNDUP(MONTH(A279)/3,0)</f>
        <v>Q1</v>
      </c>
      <c r="D279" s="19" t="s">
        <v>215</v>
      </c>
      <c r="E279" s="19" t="s">
        <v>214</v>
      </c>
      <c r="F279" s="12" t="n">
        <v>13936166</v>
      </c>
      <c r="G279" s="12" t="n">
        <v>2181015</v>
      </c>
      <c r="H279" s="12" t="n">
        <v>225606694</v>
      </c>
      <c r="I279" s="16" t="n">
        <v>44.9</v>
      </c>
      <c r="J279" s="13" t="n">
        <v>0.127</v>
      </c>
      <c r="K279" s="16" t="n">
        <v>23.1</v>
      </c>
      <c r="L279" s="13" t="n">
        <f aca="false">IF(SUMIFS($F$2:$F$397,$A$2:$A$397,A279)=0,0,F279/SUMIFS($F$2:$F$397,$A$2:$A$397,A279))</f>
        <v>0.0876912031335791</v>
      </c>
    </row>
    <row r="280" customFormat="false" ht="15" hidden="false" customHeight="false" outlineLevel="0" collapsed="false">
      <c r="A280" s="10" t="n">
        <v>45689</v>
      </c>
      <c r="B280" s="18" t="n">
        <f aca="false">YEAR(A280)</f>
        <v>2025</v>
      </c>
      <c r="C280" s="19" t="str">
        <f aca="false">"Q"&amp;ROUNDUP(MONTH(A280)/3,0)</f>
        <v>Q1</v>
      </c>
      <c r="D280" s="19" t="s">
        <v>216</v>
      </c>
      <c r="E280" s="19" t="s">
        <v>212</v>
      </c>
      <c r="F280" s="12" t="n">
        <v>9558898</v>
      </c>
      <c r="G280" s="12" t="n">
        <v>1410440</v>
      </c>
      <c r="H280" s="12" t="n">
        <v>144277173</v>
      </c>
      <c r="I280" s="16" t="n">
        <v>42.9</v>
      </c>
      <c r="J280" s="13" t="n">
        <v>0.118</v>
      </c>
      <c r="K280" s="16" t="n">
        <v>21.1</v>
      </c>
      <c r="L280" s="13" t="n">
        <f aca="false">IF(SUMIFS($F$2:$F$397,$A$2:$A$397,A280)=0,0,F280/SUMIFS($F$2:$F$397,$A$2:$A$397,A280))</f>
        <v>0.0601479105696045</v>
      </c>
    </row>
    <row r="281" customFormat="false" ht="15" hidden="false" customHeight="false" outlineLevel="0" collapsed="false">
      <c r="A281" s="10" t="n">
        <v>45689</v>
      </c>
      <c r="B281" s="18" t="n">
        <f aca="false">YEAR(A281)</f>
        <v>2025</v>
      </c>
      <c r="C281" s="19" t="str">
        <f aca="false">"Q"&amp;ROUNDUP(MONTH(A281)/3,0)</f>
        <v>Q1</v>
      </c>
      <c r="D281" s="19" t="s">
        <v>217</v>
      </c>
      <c r="E281" s="19" t="s">
        <v>218</v>
      </c>
      <c r="F281" s="12" t="n">
        <v>12570443</v>
      </c>
      <c r="G281" s="12" t="n">
        <v>2009511</v>
      </c>
      <c r="H281" s="12" t="n">
        <v>213320714</v>
      </c>
      <c r="I281" s="16" t="n">
        <v>49.2</v>
      </c>
      <c r="J281" s="13" t="n">
        <v>0.091</v>
      </c>
      <c r="K281" s="16" t="n">
        <v>29.3</v>
      </c>
      <c r="L281" s="13" t="n">
        <f aca="false">IF(SUMIFS($F$2:$F$397,$A$2:$A$397,A281)=0,0,F281/SUMIFS($F$2:$F$397,$A$2:$A$397,A281))</f>
        <v>0.0790975990521409</v>
      </c>
    </row>
    <row r="282" customFormat="false" ht="15" hidden="false" customHeight="false" outlineLevel="0" collapsed="false">
      <c r="A282" s="10" t="n">
        <v>45689</v>
      </c>
      <c r="B282" s="18" t="n">
        <f aca="false">YEAR(A282)</f>
        <v>2025</v>
      </c>
      <c r="C282" s="19" t="str">
        <f aca="false">"Q"&amp;ROUNDUP(MONTH(A282)/3,0)</f>
        <v>Q1</v>
      </c>
      <c r="D282" s="19" t="s">
        <v>219</v>
      </c>
      <c r="E282" s="19" t="s">
        <v>218</v>
      </c>
      <c r="F282" s="12" t="n">
        <v>10365836</v>
      </c>
      <c r="G282" s="12" t="n">
        <v>1509379</v>
      </c>
      <c r="H282" s="12" t="n">
        <v>182802649</v>
      </c>
      <c r="I282" s="16" t="n">
        <v>48.5</v>
      </c>
      <c r="J282" s="13" t="n">
        <v>0.095</v>
      </c>
      <c r="K282" s="16" t="n">
        <v>27.9</v>
      </c>
      <c r="L282" s="13" t="n">
        <f aca="false">IF(SUMIFS($F$2:$F$397,$A$2:$A$397,A282)=0,0,F282/SUMIFS($F$2:$F$397,$A$2:$A$397,A282))</f>
        <v>0.0652254450991304</v>
      </c>
    </row>
    <row r="283" customFormat="false" ht="15" hidden="false" customHeight="false" outlineLevel="0" collapsed="false">
      <c r="A283" s="10" t="n">
        <v>45689</v>
      </c>
      <c r="B283" s="18" t="n">
        <f aca="false">YEAR(A283)</f>
        <v>2025</v>
      </c>
      <c r="C283" s="19" t="str">
        <f aca="false">"Q"&amp;ROUNDUP(MONTH(A283)/3,0)</f>
        <v>Q1</v>
      </c>
      <c r="D283" s="19" t="s">
        <v>220</v>
      </c>
      <c r="E283" s="19" t="s">
        <v>214</v>
      </c>
      <c r="F283" s="12" t="n">
        <v>7100010</v>
      </c>
      <c r="G283" s="12" t="n">
        <v>974790</v>
      </c>
      <c r="H283" s="12" t="n">
        <v>111458668</v>
      </c>
      <c r="I283" s="16" t="n">
        <v>43</v>
      </c>
      <c r="J283" s="13" t="n">
        <v>0.128</v>
      </c>
      <c r="K283" s="16" t="n">
        <v>21.3</v>
      </c>
      <c r="L283" s="13" t="n">
        <f aca="false">IF(SUMIFS($F$2:$F$397,$A$2:$A$397,A283)=0,0,F283/SUMIFS($F$2:$F$397,$A$2:$A$397,A283))</f>
        <v>0.0446757321318104</v>
      </c>
    </row>
    <row r="284" customFormat="false" ht="15" hidden="false" customHeight="false" outlineLevel="0" collapsed="false">
      <c r="A284" s="10" t="n">
        <v>45689</v>
      </c>
      <c r="B284" s="18" t="n">
        <f aca="false">YEAR(A284)</f>
        <v>2025</v>
      </c>
      <c r="C284" s="19" t="str">
        <f aca="false">"Q"&amp;ROUNDUP(MONTH(A284)/3,0)</f>
        <v>Q1</v>
      </c>
      <c r="D284" s="19" t="s">
        <v>221</v>
      </c>
      <c r="E284" s="19" t="s">
        <v>214</v>
      </c>
      <c r="F284" s="12" t="n">
        <v>5721942</v>
      </c>
      <c r="G284" s="12" t="n">
        <v>863816</v>
      </c>
      <c r="H284" s="12" t="n">
        <v>90631664</v>
      </c>
      <c r="I284" s="16" t="n">
        <v>42.1</v>
      </c>
      <c r="J284" s="13" t="n">
        <v>0.128</v>
      </c>
      <c r="K284" s="16" t="n">
        <v>21.7</v>
      </c>
      <c r="L284" s="13" t="n">
        <f aca="false">IF(SUMIFS($F$2:$F$397,$A$2:$A$397,A284)=0,0,F284/SUMIFS($F$2:$F$397,$A$2:$A$397,A284))</f>
        <v>0.0360044490170796</v>
      </c>
    </row>
    <row r="285" customFormat="false" ht="15" hidden="false" customHeight="false" outlineLevel="0" collapsed="false">
      <c r="A285" s="10" t="n">
        <v>45689</v>
      </c>
      <c r="B285" s="18" t="n">
        <f aca="false">YEAR(A285)</f>
        <v>2025</v>
      </c>
      <c r="C285" s="19" t="str">
        <f aca="false">"Q"&amp;ROUNDUP(MONTH(A285)/3,0)</f>
        <v>Q1</v>
      </c>
      <c r="D285" s="19" t="s">
        <v>222</v>
      </c>
      <c r="E285" s="19" t="s">
        <v>218</v>
      </c>
      <c r="F285" s="12" t="n">
        <v>8643461</v>
      </c>
      <c r="G285" s="12" t="n">
        <v>1242355</v>
      </c>
      <c r="H285" s="12" t="n">
        <v>145259931</v>
      </c>
      <c r="I285" s="16" t="n">
        <v>48.3</v>
      </c>
      <c r="J285" s="13" t="n">
        <v>0.078</v>
      </c>
      <c r="K285" s="16" t="n">
        <v>24.5</v>
      </c>
      <c r="L285" s="13" t="n">
        <f aca="false">IF(SUMIFS($F$2:$F$397,$A$2:$A$397,A285)=0,0,F285/SUMIFS($F$2:$F$397,$A$2:$A$397,A285))</f>
        <v>0.0543876625987498</v>
      </c>
    </row>
    <row r="286" customFormat="false" ht="15" hidden="false" customHeight="false" outlineLevel="0" collapsed="false">
      <c r="A286" s="10" t="n">
        <v>45689</v>
      </c>
      <c r="B286" s="18" t="n">
        <f aca="false">YEAR(A286)</f>
        <v>2025</v>
      </c>
      <c r="C286" s="19" t="str">
        <f aca="false">"Q"&amp;ROUNDUP(MONTH(A286)/3,0)</f>
        <v>Q1</v>
      </c>
      <c r="D286" s="19" t="s">
        <v>223</v>
      </c>
      <c r="E286" s="19" t="s">
        <v>224</v>
      </c>
      <c r="F286" s="12" t="n">
        <v>7055580</v>
      </c>
      <c r="G286" s="12" t="n">
        <v>1152391</v>
      </c>
      <c r="H286" s="12" t="n">
        <v>111594559</v>
      </c>
      <c r="I286" s="16" t="n">
        <v>44.3</v>
      </c>
      <c r="J286" s="13" t="n">
        <v>0.11</v>
      </c>
      <c r="K286" s="16" t="n">
        <v>19.6</v>
      </c>
      <c r="L286" s="13" t="n">
        <f aca="false">IF(SUMIFS($F$2:$F$397,$A$2:$A$397,A286)=0,0,F286/SUMIFS($F$2:$F$397,$A$2:$A$397,A286))</f>
        <v>0.0443961631201306</v>
      </c>
    </row>
    <row r="287" customFormat="false" ht="15" hidden="false" customHeight="false" outlineLevel="0" collapsed="false">
      <c r="A287" s="10" t="n">
        <v>45689</v>
      </c>
      <c r="B287" s="18" t="n">
        <f aca="false">YEAR(A287)</f>
        <v>2025</v>
      </c>
      <c r="C287" s="19" t="str">
        <f aca="false">"Q"&amp;ROUNDUP(MONTH(A287)/3,0)</f>
        <v>Q1</v>
      </c>
      <c r="D287" s="19" t="s">
        <v>225</v>
      </c>
      <c r="E287" s="19" t="s">
        <v>226</v>
      </c>
      <c r="F287" s="12" t="n">
        <v>14412978</v>
      </c>
      <c r="G287" s="12" t="n">
        <v>2161970</v>
      </c>
      <c r="H287" s="12" t="n">
        <v>213767333</v>
      </c>
      <c r="I287" s="16" t="n">
        <v>42.5</v>
      </c>
      <c r="J287" s="13" t="n">
        <v>0.096</v>
      </c>
      <c r="K287" s="16" t="n">
        <v>19</v>
      </c>
      <c r="L287" s="13" t="n">
        <f aca="false">IF(SUMIFS($F$2:$F$397,$A$2:$A$397,A287)=0,0,F287/SUMIFS($F$2:$F$397,$A$2:$A$397,A287))</f>
        <v>0.0906914700612641</v>
      </c>
    </row>
    <row r="288" customFormat="false" ht="15" hidden="false" customHeight="false" outlineLevel="0" collapsed="false">
      <c r="A288" s="10" t="n">
        <v>45717</v>
      </c>
      <c r="B288" s="18" t="n">
        <f aca="false">YEAR(A288)</f>
        <v>2025</v>
      </c>
      <c r="C288" s="19" t="str">
        <f aca="false">"Q"&amp;ROUNDUP(MONTH(A288)/3,0)</f>
        <v>Q1</v>
      </c>
      <c r="D288" s="19" t="s">
        <v>211</v>
      </c>
      <c r="E288" s="19" t="s">
        <v>212</v>
      </c>
      <c r="F288" s="12" t="n">
        <v>42314283</v>
      </c>
      <c r="G288" s="12" t="n">
        <v>6779162</v>
      </c>
      <c r="H288" s="12" t="n">
        <v>642243076</v>
      </c>
      <c r="I288" s="16" t="n">
        <v>44.2</v>
      </c>
      <c r="J288" s="13" t="n">
        <v>0.121</v>
      </c>
      <c r="K288" s="16" t="n">
        <v>23.3</v>
      </c>
      <c r="L288" s="13" t="n">
        <f aca="false">IF(SUMIFS($F$2:$F$397,$A$2:$A$397,A288)=0,0,F288/SUMIFS($F$2:$F$397,$A$2:$A$397,A288))</f>
        <v>0.271450630963571</v>
      </c>
    </row>
    <row r="289" customFormat="false" ht="15" hidden="false" customHeight="false" outlineLevel="0" collapsed="false">
      <c r="A289" s="10" t="n">
        <v>45717</v>
      </c>
      <c r="B289" s="18" t="n">
        <f aca="false">YEAR(A289)</f>
        <v>2025</v>
      </c>
      <c r="C289" s="19" t="str">
        <f aca="false">"Q"&amp;ROUNDUP(MONTH(A289)/3,0)</f>
        <v>Q1</v>
      </c>
      <c r="D289" s="19" t="s">
        <v>213</v>
      </c>
      <c r="E289" s="19" t="s">
        <v>214</v>
      </c>
      <c r="F289" s="12" t="n">
        <v>24020010</v>
      </c>
      <c r="G289" s="12" t="n">
        <v>3766717</v>
      </c>
      <c r="H289" s="12" t="n">
        <v>386588096</v>
      </c>
      <c r="I289" s="16" t="n">
        <v>43.2</v>
      </c>
      <c r="J289" s="13" t="n">
        <v>0.14</v>
      </c>
      <c r="K289" s="16" t="n">
        <v>23.9</v>
      </c>
      <c r="L289" s="13" t="n">
        <f aca="false">IF(SUMIFS($F$2:$F$397,$A$2:$A$397,A289)=0,0,F289/SUMIFS($F$2:$F$397,$A$2:$A$397,A289))</f>
        <v>0.154090921740333</v>
      </c>
    </row>
    <row r="290" customFormat="false" ht="15" hidden="false" customHeight="false" outlineLevel="0" collapsed="false">
      <c r="A290" s="10" t="n">
        <v>45717</v>
      </c>
      <c r="B290" s="18" t="n">
        <f aca="false">YEAR(A290)</f>
        <v>2025</v>
      </c>
      <c r="C290" s="19" t="str">
        <f aca="false">"Q"&amp;ROUNDUP(MONTH(A290)/3,0)</f>
        <v>Q1</v>
      </c>
      <c r="D290" s="19" t="s">
        <v>215</v>
      </c>
      <c r="E290" s="19" t="s">
        <v>214</v>
      </c>
      <c r="F290" s="12" t="n">
        <v>13906580</v>
      </c>
      <c r="G290" s="12" t="n">
        <v>2161747</v>
      </c>
      <c r="H290" s="12" t="n">
        <v>221917045</v>
      </c>
      <c r="I290" s="16" t="n">
        <v>44.3</v>
      </c>
      <c r="J290" s="13" t="n">
        <v>0.121</v>
      </c>
      <c r="K290" s="16" t="n">
        <v>22.6</v>
      </c>
      <c r="L290" s="13" t="n">
        <f aca="false">IF(SUMIFS($F$2:$F$397,$A$2:$A$397,A290)=0,0,F290/SUMIFS($F$2:$F$397,$A$2:$A$397,A290))</f>
        <v>0.0892121914377086</v>
      </c>
    </row>
    <row r="291" customFormat="false" ht="15" hidden="false" customHeight="false" outlineLevel="0" collapsed="false">
      <c r="A291" s="10" t="n">
        <v>45717</v>
      </c>
      <c r="B291" s="18" t="n">
        <f aca="false">YEAR(A291)</f>
        <v>2025</v>
      </c>
      <c r="C291" s="19" t="str">
        <f aca="false">"Q"&amp;ROUNDUP(MONTH(A291)/3,0)</f>
        <v>Q1</v>
      </c>
      <c r="D291" s="19" t="s">
        <v>216</v>
      </c>
      <c r="E291" s="19" t="s">
        <v>212</v>
      </c>
      <c r="F291" s="12" t="n">
        <v>8574012</v>
      </c>
      <c r="G291" s="12" t="n">
        <v>1289994</v>
      </c>
      <c r="H291" s="12" t="n">
        <v>140691119</v>
      </c>
      <c r="I291" s="16" t="n">
        <v>43.1</v>
      </c>
      <c r="J291" s="13" t="n">
        <v>0.119</v>
      </c>
      <c r="K291" s="16" t="n">
        <v>22</v>
      </c>
      <c r="L291" s="13" t="n">
        <f aca="false">IF(SUMIFS($F$2:$F$397,$A$2:$A$397,A291)=0,0,F291/SUMIFS($F$2:$F$397,$A$2:$A$397,A291))</f>
        <v>0.055003199919262</v>
      </c>
    </row>
    <row r="292" customFormat="false" ht="15" hidden="false" customHeight="false" outlineLevel="0" collapsed="false">
      <c r="A292" s="10" t="n">
        <v>45717</v>
      </c>
      <c r="B292" s="18" t="n">
        <f aca="false">YEAR(A292)</f>
        <v>2025</v>
      </c>
      <c r="C292" s="19" t="str">
        <f aca="false">"Q"&amp;ROUNDUP(MONTH(A292)/3,0)</f>
        <v>Q1</v>
      </c>
      <c r="D292" s="19" t="s">
        <v>217</v>
      </c>
      <c r="E292" s="19" t="s">
        <v>218</v>
      </c>
      <c r="F292" s="12" t="n">
        <v>12835628</v>
      </c>
      <c r="G292" s="12" t="n">
        <v>2004945</v>
      </c>
      <c r="H292" s="12" t="n">
        <v>255928081</v>
      </c>
      <c r="I292" s="16" t="n">
        <v>48.5</v>
      </c>
      <c r="J292" s="13" t="n">
        <v>0.084</v>
      </c>
      <c r="K292" s="16" t="n">
        <v>28.6</v>
      </c>
      <c r="L292" s="13" t="n">
        <f aca="false">IF(SUMIFS($F$2:$F$397,$A$2:$A$397,A292)=0,0,F292/SUMIFS($F$2:$F$397,$A$2:$A$397,A292))</f>
        <v>0.0823419203254296</v>
      </c>
    </row>
    <row r="293" customFormat="false" ht="15" hidden="false" customHeight="false" outlineLevel="0" collapsed="false">
      <c r="A293" s="10" t="n">
        <v>45717</v>
      </c>
      <c r="B293" s="18" t="n">
        <f aca="false">YEAR(A293)</f>
        <v>2025</v>
      </c>
      <c r="C293" s="19" t="str">
        <f aca="false">"Q"&amp;ROUNDUP(MONTH(A293)/3,0)</f>
        <v>Q1</v>
      </c>
      <c r="D293" s="19" t="s">
        <v>219</v>
      </c>
      <c r="E293" s="19" t="s">
        <v>218</v>
      </c>
      <c r="F293" s="12" t="n">
        <v>11252448</v>
      </c>
      <c r="G293" s="12" t="n">
        <v>1758760</v>
      </c>
      <c r="H293" s="12" t="n">
        <v>200063752</v>
      </c>
      <c r="I293" s="16" t="n">
        <v>47.8</v>
      </c>
      <c r="J293" s="13" t="n">
        <v>0.099</v>
      </c>
      <c r="K293" s="16" t="n">
        <v>27.5</v>
      </c>
      <c r="L293" s="13" t="n">
        <f aca="false">IF(SUMIFS($F$2:$F$397,$A$2:$A$397,A293)=0,0,F293/SUMIFS($F$2:$F$397,$A$2:$A$397,A293))</f>
        <v>0.0721856520523998</v>
      </c>
    </row>
    <row r="294" customFormat="false" ht="15" hidden="false" customHeight="false" outlineLevel="0" collapsed="false">
      <c r="A294" s="10" t="n">
        <v>45717</v>
      </c>
      <c r="B294" s="18" t="n">
        <f aca="false">YEAR(A294)</f>
        <v>2025</v>
      </c>
      <c r="C294" s="19" t="str">
        <f aca="false">"Q"&amp;ROUNDUP(MONTH(A294)/3,0)</f>
        <v>Q1</v>
      </c>
      <c r="D294" s="19" t="s">
        <v>220</v>
      </c>
      <c r="E294" s="19" t="s">
        <v>214</v>
      </c>
      <c r="F294" s="12" t="n">
        <v>7467446</v>
      </c>
      <c r="G294" s="12" t="n">
        <v>1138848</v>
      </c>
      <c r="H294" s="12" t="n">
        <v>127498605</v>
      </c>
      <c r="I294" s="16" t="n">
        <v>43.7</v>
      </c>
      <c r="J294" s="13" t="n">
        <v>0.123</v>
      </c>
      <c r="K294" s="16" t="n">
        <v>21.3</v>
      </c>
      <c r="L294" s="13" t="n">
        <f aca="false">IF(SUMIFS($F$2:$F$397,$A$2:$A$397,A294)=0,0,F294/SUMIFS($F$2:$F$397,$A$2:$A$397,A294))</f>
        <v>0.0479044612048938</v>
      </c>
    </row>
    <row r="295" customFormat="false" ht="15" hidden="false" customHeight="false" outlineLevel="0" collapsed="false">
      <c r="A295" s="10" t="n">
        <v>45717</v>
      </c>
      <c r="B295" s="18" t="n">
        <f aca="false">YEAR(A295)</f>
        <v>2025</v>
      </c>
      <c r="C295" s="19" t="str">
        <f aca="false">"Q"&amp;ROUNDUP(MONTH(A295)/3,0)</f>
        <v>Q1</v>
      </c>
      <c r="D295" s="19" t="s">
        <v>221</v>
      </c>
      <c r="E295" s="19" t="s">
        <v>214</v>
      </c>
      <c r="F295" s="12" t="n">
        <v>5257887</v>
      </c>
      <c r="G295" s="12" t="n">
        <v>770990</v>
      </c>
      <c r="H295" s="12" t="n">
        <v>84663379</v>
      </c>
      <c r="I295" s="16" t="n">
        <v>43.8</v>
      </c>
      <c r="J295" s="13" t="n">
        <v>0.125</v>
      </c>
      <c r="K295" s="16" t="n">
        <v>21.7</v>
      </c>
      <c r="L295" s="13" t="n">
        <f aca="false">IF(SUMIFS($F$2:$F$397,$A$2:$A$397,A295)=0,0,F295/SUMIFS($F$2:$F$397,$A$2:$A$397,A295))</f>
        <v>0.0337299049516013</v>
      </c>
    </row>
    <row r="296" customFormat="false" ht="15" hidden="false" customHeight="false" outlineLevel="0" collapsed="false">
      <c r="A296" s="10" t="n">
        <v>45717</v>
      </c>
      <c r="B296" s="18" t="n">
        <f aca="false">YEAR(A296)</f>
        <v>2025</v>
      </c>
      <c r="C296" s="19" t="str">
        <f aca="false">"Q"&amp;ROUNDUP(MONTH(A296)/3,0)</f>
        <v>Q1</v>
      </c>
      <c r="D296" s="19" t="s">
        <v>222</v>
      </c>
      <c r="E296" s="19" t="s">
        <v>218</v>
      </c>
      <c r="F296" s="12" t="n">
        <v>8966794</v>
      </c>
      <c r="G296" s="12" t="n">
        <v>1344269</v>
      </c>
      <c r="H296" s="12" t="n">
        <v>160704426</v>
      </c>
      <c r="I296" s="16" t="n">
        <v>46.7</v>
      </c>
      <c r="J296" s="13" t="n">
        <v>0.082</v>
      </c>
      <c r="K296" s="16" t="n">
        <v>26.7</v>
      </c>
      <c r="L296" s="13" t="n">
        <f aca="false">IF(SUMIFS($F$2:$F$397,$A$2:$A$397,A296)=0,0,F296/SUMIFS($F$2:$F$397,$A$2:$A$397,A296))</f>
        <v>0.0575229382717028</v>
      </c>
    </row>
    <row r="297" customFormat="false" ht="15" hidden="false" customHeight="false" outlineLevel="0" collapsed="false">
      <c r="A297" s="10" t="n">
        <v>45717</v>
      </c>
      <c r="B297" s="18" t="n">
        <f aca="false">YEAR(A297)</f>
        <v>2025</v>
      </c>
      <c r="C297" s="19" t="str">
        <f aca="false">"Q"&amp;ROUNDUP(MONTH(A297)/3,0)</f>
        <v>Q1</v>
      </c>
      <c r="D297" s="19" t="s">
        <v>223</v>
      </c>
      <c r="E297" s="19" t="s">
        <v>224</v>
      </c>
      <c r="F297" s="12" t="n">
        <v>6870746</v>
      </c>
      <c r="G297" s="12" t="n">
        <v>1071422</v>
      </c>
      <c r="H297" s="12" t="n">
        <v>107951284</v>
      </c>
      <c r="I297" s="16" t="n">
        <v>42.2</v>
      </c>
      <c r="J297" s="13" t="n">
        <v>0.102</v>
      </c>
      <c r="K297" s="16" t="n">
        <v>20.3</v>
      </c>
      <c r="L297" s="13" t="n">
        <f aca="false">IF(SUMIFS($F$2:$F$397,$A$2:$A$397,A297)=0,0,F297/SUMIFS($F$2:$F$397,$A$2:$A$397,A297))</f>
        <v>0.0440765671697765</v>
      </c>
    </row>
    <row r="298" customFormat="false" ht="15" hidden="false" customHeight="false" outlineLevel="0" collapsed="false">
      <c r="A298" s="10" t="n">
        <v>45717</v>
      </c>
      <c r="B298" s="18" t="n">
        <f aca="false">YEAR(A298)</f>
        <v>2025</v>
      </c>
      <c r="C298" s="19" t="str">
        <f aca="false">"Q"&amp;ROUNDUP(MONTH(A298)/3,0)</f>
        <v>Q1</v>
      </c>
      <c r="D298" s="19" t="s">
        <v>225</v>
      </c>
      <c r="E298" s="19" t="s">
        <v>226</v>
      </c>
      <c r="F298" s="12" t="n">
        <v>14416224</v>
      </c>
      <c r="G298" s="12" t="n">
        <v>2184851</v>
      </c>
      <c r="H298" s="12" t="n">
        <v>216461664</v>
      </c>
      <c r="I298" s="16" t="n">
        <v>42.8</v>
      </c>
      <c r="J298" s="13" t="n">
        <v>0.093</v>
      </c>
      <c r="K298" s="16" t="n">
        <v>19.5</v>
      </c>
      <c r="L298" s="13" t="n">
        <f aca="false">IF(SUMIFS($F$2:$F$397,$A$2:$A$397,A298)=0,0,F298/SUMIFS($F$2:$F$397,$A$2:$A$397,A298))</f>
        <v>0.0924816119633217</v>
      </c>
    </row>
    <row r="299" customFormat="false" ht="15" hidden="false" customHeight="false" outlineLevel="0" collapsed="false">
      <c r="A299" s="10" t="n">
        <v>45748</v>
      </c>
      <c r="B299" s="18" t="n">
        <f aca="false">YEAR(A299)</f>
        <v>2025</v>
      </c>
      <c r="C299" s="19" t="str">
        <f aca="false">"Q"&amp;ROUNDUP(MONTH(A299)/3,0)</f>
        <v>Q2</v>
      </c>
      <c r="D299" s="19" t="s">
        <v>211</v>
      </c>
      <c r="E299" s="19" t="s">
        <v>212</v>
      </c>
      <c r="F299" s="12" t="n">
        <v>43591477</v>
      </c>
      <c r="G299" s="12" t="n">
        <v>6892535</v>
      </c>
      <c r="H299" s="12" t="n">
        <v>697929536</v>
      </c>
      <c r="I299" s="16" t="n">
        <v>44.4</v>
      </c>
      <c r="J299" s="13" t="n">
        <v>0.122</v>
      </c>
      <c r="K299" s="16" t="n">
        <v>23</v>
      </c>
      <c r="L299" s="13" t="n">
        <f aca="false">IF(SUMIFS($F$2:$F$397,$A$2:$A$397,A299)=0,0,F299/SUMIFS($F$2:$F$397,$A$2:$A$397,A299))</f>
        <v>0.279758377301851</v>
      </c>
    </row>
    <row r="300" customFormat="false" ht="15" hidden="false" customHeight="false" outlineLevel="0" collapsed="false">
      <c r="A300" s="10" t="n">
        <v>45748</v>
      </c>
      <c r="B300" s="18" t="n">
        <f aca="false">YEAR(A300)</f>
        <v>2025</v>
      </c>
      <c r="C300" s="19" t="str">
        <f aca="false">"Q"&amp;ROUNDUP(MONTH(A300)/3,0)</f>
        <v>Q2</v>
      </c>
      <c r="D300" s="19" t="s">
        <v>213</v>
      </c>
      <c r="E300" s="19" t="s">
        <v>214</v>
      </c>
      <c r="F300" s="12" t="n">
        <v>23205097</v>
      </c>
      <c r="G300" s="12" t="n">
        <v>3671284</v>
      </c>
      <c r="H300" s="12" t="n">
        <v>382961431</v>
      </c>
      <c r="I300" s="16" t="n">
        <v>43.1</v>
      </c>
      <c r="J300" s="13" t="n">
        <v>0.133</v>
      </c>
      <c r="K300" s="16" t="n">
        <v>25.2</v>
      </c>
      <c r="L300" s="13" t="n">
        <f aca="false">IF(SUMIFS($F$2:$F$397,$A$2:$A$397,A300)=0,0,F300/SUMIFS($F$2:$F$397,$A$2:$A$397,A300))</f>
        <v>0.148924072516562</v>
      </c>
    </row>
    <row r="301" customFormat="false" ht="15" hidden="false" customHeight="false" outlineLevel="0" collapsed="false">
      <c r="A301" s="10" t="n">
        <v>45748</v>
      </c>
      <c r="B301" s="18" t="n">
        <f aca="false">YEAR(A301)</f>
        <v>2025</v>
      </c>
      <c r="C301" s="19" t="str">
        <f aca="false">"Q"&amp;ROUNDUP(MONTH(A301)/3,0)</f>
        <v>Q2</v>
      </c>
      <c r="D301" s="19" t="s">
        <v>215</v>
      </c>
      <c r="E301" s="19" t="s">
        <v>214</v>
      </c>
      <c r="F301" s="12" t="n">
        <v>13301498</v>
      </c>
      <c r="G301" s="12" t="n">
        <v>2189737</v>
      </c>
      <c r="H301" s="12" t="n">
        <v>214955145</v>
      </c>
      <c r="I301" s="16" t="n">
        <v>44.2</v>
      </c>
      <c r="J301" s="13" t="n">
        <v>0.13</v>
      </c>
      <c r="K301" s="16" t="n">
        <v>22.9</v>
      </c>
      <c r="L301" s="13" t="n">
        <f aca="false">IF(SUMIFS($F$2:$F$397,$A$2:$A$397,A301)=0,0,F301/SUMIFS($F$2:$F$397,$A$2:$A$397,A301))</f>
        <v>0.0853654372886657</v>
      </c>
    </row>
    <row r="302" customFormat="false" ht="15" hidden="false" customHeight="false" outlineLevel="0" collapsed="false">
      <c r="A302" s="10" t="n">
        <v>45748</v>
      </c>
      <c r="B302" s="18" t="n">
        <f aca="false">YEAR(A302)</f>
        <v>2025</v>
      </c>
      <c r="C302" s="19" t="str">
        <f aca="false">"Q"&amp;ROUNDUP(MONTH(A302)/3,0)</f>
        <v>Q2</v>
      </c>
      <c r="D302" s="19" t="s">
        <v>216</v>
      </c>
      <c r="E302" s="19" t="s">
        <v>212</v>
      </c>
      <c r="F302" s="12" t="n">
        <v>8827083</v>
      </c>
      <c r="G302" s="12" t="n">
        <v>1348129</v>
      </c>
      <c r="H302" s="12" t="n">
        <v>140304560</v>
      </c>
      <c r="I302" s="16" t="n">
        <v>42.8</v>
      </c>
      <c r="J302" s="13" t="n">
        <v>0.121</v>
      </c>
      <c r="K302" s="16" t="n">
        <v>22</v>
      </c>
      <c r="L302" s="13" t="n">
        <f aca="false">IF(SUMIFS($F$2:$F$397,$A$2:$A$397,A302)=0,0,F302/SUMIFS($F$2:$F$397,$A$2:$A$397,A302))</f>
        <v>0.056649845023346</v>
      </c>
    </row>
    <row r="303" customFormat="false" ht="15" hidden="false" customHeight="false" outlineLevel="0" collapsed="false">
      <c r="A303" s="10" t="n">
        <v>45748</v>
      </c>
      <c r="B303" s="18" t="n">
        <f aca="false">YEAR(A303)</f>
        <v>2025</v>
      </c>
      <c r="C303" s="19" t="str">
        <f aca="false">"Q"&amp;ROUNDUP(MONTH(A303)/3,0)</f>
        <v>Q2</v>
      </c>
      <c r="D303" s="19" t="s">
        <v>217</v>
      </c>
      <c r="E303" s="19" t="s">
        <v>218</v>
      </c>
      <c r="F303" s="12" t="n">
        <v>13159624</v>
      </c>
      <c r="G303" s="12" t="n">
        <v>2037746</v>
      </c>
      <c r="H303" s="12" t="n">
        <v>247352854</v>
      </c>
      <c r="I303" s="16" t="n">
        <v>48.5</v>
      </c>
      <c r="J303" s="13" t="n">
        <v>0.086</v>
      </c>
      <c r="K303" s="16" t="n">
        <v>29.1</v>
      </c>
      <c r="L303" s="13" t="n">
        <f aca="false">IF(SUMIFS($F$2:$F$397,$A$2:$A$397,A303)=0,0,F303/SUMIFS($F$2:$F$397,$A$2:$A$397,A303))</f>
        <v>0.0844549281076778</v>
      </c>
    </row>
    <row r="304" customFormat="false" ht="15" hidden="false" customHeight="false" outlineLevel="0" collapsed="false">
      <c r="A304" s="10" t="n">
        <v>45748</v>
      </c>
      <c r="B304" s="18" t="n">
        <f aca="false">YEAR(A304)</f>
        <v>2025</v>
      </c>
      <c r="C304" s="19" t="str">
        <f aca="false">"Q"&amp;ROUNDUP(MONTH(A304)/3,0)</f>
        <v>Q2</v>
      </c>
      <c r="D304" s="19" t="s">
        <v>219</v>
      </c>
      <c r="E304" s="19" t="s">
        <v>218</v>
      </c>
      <c r="F304" s="12" t="n">
        <v>10665032</v>
      </c>
      <c r="G304" s="12" t="n">
        <v>1693867</v>
      </c>
      <c r="H304" s="12" t="n">
        <v>197112280</v>
      </c>
      <c r="I304" s="16" t="n">
        <v>48.6</v>
      </c>
      <c r="J304" s="13" t="n">
        <v>0.097</v>
      </c>
      <c r="K304" s="16" t="n">
        <v>27.6</v>
      </c>
      <c r="L304" s="13" t="n">
        <f aca="false">IF(SUMIFS($F$2:$F$397,$A$2:$A$397,A304)=0,0,F304/SUMIFS($F$2:$F$397,$A$2:$A$397,A304))</f>
        <v>0.0684453074666938</v>
      </c>
    </row>
    <row r="305" customFormat="false" ht="15" hidden="false" customHeight="false" outlineLevel="0" collapsed="false">
      <c r="A305" s="10" t="n">
        <v>45748</v>
      </c>
      <c r="B305" s="18" t="n">
        <f aca="false">YEAR(A305)</f>
        <v>2025</v>
      </c>
      <c r="C305" s="19" t="str">
        <f aca="false">"Q"&amp;ROUNDUP(MONTH(A305)/3,0)</f>
        <v>Q2</v>
      </c>
      <c r="D305" s="19" t="s">
        <v>220</v>
      </c>
      <c r="E305" s="19" t="s">
        <v>214</v>
      </c>
      <c r="F305" s="12" t="n">
        <v>7408406</v>
      </c>
      <c r="G305" s="12" t="n">
        <v>1054018</v>
      </c>
      <c r="H305" s="12" t="n">
        <v>119262761</v>
      </c>
      <c r="I305" s="16" t="n">
        <v>43.2</v>
      </c>
      <c r="J305" s="13" t="n">
        <v>0.13</v>
      </c>
      <c r="K305" s="16" t="n">
        <v>22.5</v>
      </c>
      <c r="L305" s="13" t="n">
        <f aca="false">IF(SUMIFS($F$2:$F$397,$A$2:$A$397,A305)=0,0,F305/SUMIFS($F$2:$F$397,$A$2:$A$397,A305))</f>
        <v>0.0475451575305259</v>
      </c>
    </row>
    <row r="306" customFormat="false" ht="15" hidden="false" customHeight="false" outlineLevel="0" collapsed="false">
      <c r="A306" s="10" t="n">
        <v>45748</v>
      </c>
      <c r="B306" s="18" t="n">
        <f aca="false">YEAR(A306)</f>
        <v>2025</v>
      </c>
      <c r="C306" s="19" t="str">
        <f aca="false">"Q"&amp;ROUNDUP(MONTH(A306)/3,0)</f>
        <v>Q2</v>
      </c>
      <c r="D306" s="19" t="s">
        <v>221</v>
      </c>
      <c r="E306" s="19" t="s">
        <v>214</v>
      </c>
      <c r="F306" s="12" t="n">
        <v>5630204</v>
      </c>
      <c r="G306" s="12" t="n">
        <v>852206</v>
      </c>
      <c r="H306" s="12" t="n">
        <v>91720487</v>
      </c>
      <c r="I306" s="16" t="n">
        <v>43.1</v>
      </c>
      <c r="J306" s="13" t="n">
        <v>0.122</v>
      </c>
      <c r="K306" s="16" t="n">
        <v>21.7</v>
      </c>
      <c r="L306" s="13" t="n">
        <f aca="false">IF(SUMIFS($F$2:$F$397,$A$2:$A$397,A306)=0,0,F306/SUMIFS($F$2:$F$397,$A$2:$A$397,A306))</f>
        <v>0.0361331352667493</v>
      </c>
    </row>
    <row r="307" customFormat="false" ht="15" hidden="false" customHeight="false" outlineLevel="0" collapsed="false">
      <c r="A307" s="10" t="n">
        <v>45748</v>
      </c>
      <c r="B307" s="18" t="n">
        <f aca="false">YEAR(A307)</f>
        <v>2025</v>
      </c>
      <c r="C307" s="19" t="str">
        <f aca="false">"Q"&amp;ROUNDUP(MONTH(A307)/3,0)</f>
        <v>Q2</v>
      </c>
      <c r="D307" s="19" t="s">
        <v>222</v>
      </c>
      <c r="E307" s="19" t="s">
        <v>218</v>
      </c>
      <c r="F307" s="12" t="n">
        <v>8816147</v>
      </c>
      <c r="G307" s="12" t="n">
        <v>1176479</v>
      </c>
      <c r="H307" s="12" t="n">
        <v>148290584</v>
      </c>
      <c r="I307" s="16" t="n">
        <v>48.1</v>
      </c>
      <c r="J307" s="13" t="n">
        <v>0.075</v>
      </c>
      <c r="K307" s="16" t="n">
        <v>26.1</v>
      </c>
      <c r="L307" s="13" t="n">
        <f aca="false">IF(SUMIFS($F$2:$F$397,$A$2:$A$397,A307)=0,0,F307/SUMIFS($F$2:$F$397,$A$2:$A$397,A307))</f>
        <v>0.0565796607161207</v>
      </c>
    </row>
    <row r="308" customFormat="false" ht="15" hidden="false" customHeight="false" outlineLevel="0" collapsed="false">
      <c r="A308" s="10" t="n">
        <v>45748</v>
      </c>
      <c r="B308" s="18" t="n">
        <f aca="false">YEAR(A308)</f>
        <v>2025</v>
      </c>
      <c r="C308" s="19" t="str">
        <f aca="false">"Q"&amp;ROUNDUP(MONTH(A308)/3,0)</f>
        <v>Q2</v>
      </c>
      <c r="D308" s="19" t="s">
        <v>223</v>
      </c>
      <c r="E308" s="19" t="s">
        <v>224</v>
      </c>
      <c r="F308" s="12" t="n">
        <v>7558996</v>
      </c>
      <c r="G308" s="12" t="n">
        <v>1083780</v>
      </c>
      <c r="H308" s="12" t="n">
        <v>130463280</v>
      </c>
      <c r="I308" s="16" t="n">
        <v>44.1</v>
      </c>
      <c r="J308" s="13" t="n">
        <v>0.105</v>
      </c>
      <c r="K308" s="16" t="n">
        <v>20.8</v>
      </c>
      <c r="L308" s="13" t="n">
        <f aca="false">IF(SUMIFS($F$2:$F$397,$A$2:$A$397,A308)=0,0,F308/SUMIFS($F$2:$F$397,$A$2:$A$397,A308))</f>
        <v>0.0485116036557142</v>
      </c>
    </row>
    <row r="309" customFormat="false" ht="15" hidden="false" customHeight="false" outlineLevel="0" collapsed="false">
      <c r="A309" s="10" t="n">
        <v>45748</v>
      </c>
      <c r="B309" s="18" t="n">
        <f aca="false">YEAR(A309)</f>
        <v>2025</v>
      </c>
      <c r="C309" s="19" t="str">
        <f aca="false">"Q"&amp;ROUNDUP(MONTH(A309)/3,0)</f>
        <v>Q2</v>
      </c>
      <c r="D309" s="19" t="s">
        <v>225</v>
      </c>
      <c r="E309" s="19" t="s">
        <v>226</v>
      </c>
      <c r="F309" s="12" t="n">
        <v>13654744</v>
      </c>
      <c r="G309" s="12" t="n">
        <v>1989963</v>
      </c>
      <c r="H309" s="12" t="n">
        <v>208258872</v>
      </c>
      <c r="I309" s="16" t="n">
        <v>40.7</v>
      </c>
      <c r="J309" s="13" t="n">
        <v>0.092</v>
      </c>
      <c r="K309" s="16" t="n">
        <v>19.4</v>
      </c>
      <c r="L309" s="13" t="n">
        <f aca="false">IF(SUMIFS($F$2:$F$397,$A$2:$A$397,A309)=0,0,F309/SUMIFS($F$2:$F$397,$A$2:$A$397,A309))</f>
        <v>0.0876324751260937</v>
      </c>
    </row>
    <row r="310" customFormat="false" ht="15" hidden="false" customHeight="false" outlineLevel="0" collapsed="false">
      <c r="A310" s="10" t="n">
        <v>45778</v>
      </c>
      <c r="B310" s="18" t="n">
        <f aca="false">YEAR(A310)</f>
        <v>2025</v>
      </c>
      <c r="C310" s="19" t="str">
        <f aca="false">"Q"&amp;ROUNDUP(MONTH(A310)/3,0)</f>
        <v>Q2</v>
      </c>
      <c r="D310" s="19" t="s">
        <v>211</v>
      </c>
      <c r="E310" s="19" t="s">
        <v>212</v>
      </c>
      <c r="F310" s="12" t="n">
        <v>43901832</v>
      </c>
      <c r="G310" s="12" t="n">
        <v>6212100</v>
      </c>
      <c r="H310" s="12" t="n">
        <v>711607706</v>
      </c>
      <c r="I310" s="16" t="n">
        <v>44.7</v>
      </c>
      <c r="J310" s="13" t="n">
        <v>0.115</v>
      </c>
      <c r="K310" s="16" t="n">
        <v>24.2</v>
      </c>
      <c r="L310" s="13" t="n">
        <f aca="false">IF(SUMIFS($F$2:$F$397,$A$2:$A$397,A310)=0,0,F310/SUMIFS($F$2:$F$397,$A$2:$A$397,A310))</f>
        <v>0.280133527635369</v>
      </c>
    </row>
    <row r="311" customFormat="false" ht="15" hidden="false" customHeight="false" outlineLevel="0" collapsed="false">
      <c r="A311" s="10" t="n">
        <v>45778</v>
      </c>
      <c r="B311" s="18" t="n">
        <f aca="false">YEAR(A311)</f>
        <v>2025</v>
      </c>
      <c r="C311" s="19" t="str">
        <f aca="false">"Q"&amp;ROUNDUP(MONTH(A311)/3,0)</f>
        <v>Q2</v>
      </c>
      <c r="D311" s="19" t="s">
        <v>213</v>
      </c>
      <c r="E311" s="19" t="s">
        <v>214</v>
      </c>
      <c r="F311" s="12" t="n">
        <v>24272484</v>
      </c>
      <c r="G311" s="12" t="n">
        <v>3479076</v>
      </c>
      <c r="H311" s="12" t="n">
        <v>414909995</v>
      </c>
      <c r="I311" s="16" t="n">
        <v>43.9</v>
      </c>
      <c r="J311" s="13" t="n">
        <v>0.139</v>
      </c>
      <c r="K311" s="16" t="n">
        <v>25.5</v>
      </c>
      <c r="L311" s="13" t="n">
        <f aca="false">IF(SUMIFS($F$2:$F$397,$A$2:$A$397,A311)=0,0,F311/SUMIFS($F$2:$F$397,$A$2:$A$397,A311))</f>
        <v>0.154880474404646</v>
      </c>
    </row>
    <row r="312" customFormat="false" ht="15" hidden="false" customHeight="false" outlineLevel="0" collapsed="false">
      <c r="A312" s="10" t="n">
        <v>45778</v>
      </c>
      <c r="B312" s="18" t="n">
        <f aca="false">YEAR(A312)</f>
        <v>2025</v>
      </c>
      <c r="C312" s="19" t="str">
        <f aca="false">"Q"&amp;ROUNDUP(MONTH(A312)/3,0)</f>
        <v>Q2</v>
      </c>
      <c r="D312" s="19" t="s">
        <v>215</v>
      </c>
      <c r="E312" s="19" t="s">
        <v>214</v>
      </c>
      <c r="F312" s="12" t="n">
        <v>13152029</v>
      </c>
      <c r="G312" s="12" t="n">
        <v>1905556</v>
      </c>
      <c r="H312" s="12" t="n">
        <v>218941859</v>
      </c>
      <c r="I312" s="16" t="n">
        <v>43.6</v>
      </c>
      <c r="J312" s="13" t="n">
        <v>0.128</v>
      </c>
      <c r="K312" s="16" t="n">
        <v>22.9</v>
      </c>
      <c r="L312" s="13" t="n">
        <f aca="false">IF(SUMIFS($F$2:$F$397,$A$2:$A$397,A312)=0,0,F312/SUMIFS($F$2:$F$397,$A$2:$A$397,A312))</f>
        <v>0.0839218800557725</v>
      </c>
    </row>
    <row r="313" customFormat="false" ht="15" hidden="false" customHeight="false" outlineLevel="0" collapsed="false">
      <c r="A313" s="10" t="n">
        <v>45778</v>
      </c>
      <c r="B313" s="18" t="n">
        <f aca="false">YEAR(A313)</f>
        <v>2025</v>
      </c>
      <c r="C313" s="19" t="str">
        <f aca="false">"Q"&amp;ROUNDUP(MONTH(A313)/3,0)</f>
        <v>Q2</v>
      </c>
      <c r="D313" s="19" t="s">
        <v>216</v>
      </c>
      <c r="E313" s="19" t="s">
        <v>212</v>
      </c>
      <c r="F313" s="12" t="n">
        <v>8734726</v>
      </c>
      <c r="G313" s="12" t="n">
        <v>1315480</v>
      </c>
      <c r="H313" s="12" t="n">
        <v>146282664</v>
      </c>
      <c r="I313" s="16" t="n">
        <v>44</v>
      </c>
      <c r="J313" s="13" t="n">
        <v>0.124</v>
      </c>
      <c r="K313" s="16" t="n">
        <v>22</v>
      </c>
      <c r="L313" s="13" t="n">
        <f aca="false">IF(SUMIFS($F$2:$F$397,$A$2:$A$397,A313)=0,0,F313/SUMIFS($F$2:$F$397,$A$2:$A$397,A313))</f>
        <v>0.0557354783579049</v>
      </c>
    </row>
    <row r="314" customFormat="false" ht="15" hidden="false" customHeight="false" outlineLevel="0" collapsed="false">
      <c r="A314" s="10" t="n">
        <v>45778</v>
      </c>
      <c r="B314" s="18" t="n">
        <f aca="false">YEAR(A314)</f>
        <v>2025</v>
      </c>
      <c r="C314" s="19" t="str">
        <f aca="false">"Q"&amp;ROUNDUP(MONTH(A314)/3,0)</f>
        <v>Q2</v>
      </c>
      <c r="D314" s="19" t="s">
        <v>217</v>
      </c>
      <c r="E314" s="19" t="s">
        <v>218</v>
      </c>
      <c r="F314" s="12" t="n">
        <v>13095207</v>
      </c>
      <c r="G314" s="12" t="n">
        <v>1841099</v>
      </c>
      <c r="H314" s="12" t="n">
        <v>237558887</v>
      </c>
      <c r="I314" s="16" t="n">
        <v>49.5</v>
      </c>
      <c r="J314" s="13" t="n">
        <v>0.084</v>
      </c>
      <c r="K314" s="16" t="n">
        <v>29.1</v>
      </c>
      <c r="L314" s="13" t="n">
        <f aca="false">IF(SUMIFS($F$2:$F$397,$A$2:$A$397,A314)=0,0,F314/SUMIFS($F$2:$F$397,$A$2:$A$397,A314))</f>
        <v>0.0835593041316676</v>
      </c>
    </row>
    <row r="315" customFormat="false" ht="15" hidden="false" customHeight="false" outlineLevel="0" collapsed="false">
      <c r="A315" s="10" t="n">
        <v>45778</v>
      </c>
      <c r="B315" s="18" t="n">
        <f aca="false">YEAR(A315)</f>
        <v>2025</v>
      </c>
      <c r="C315" s="19" t="str">
        <f aca="false">"Q"&amp;ROUNDUP(MONTH(A315)/3,0)</f>
        <v>Q2</v>
      </c>
      <c r="D315" s="19" t="s">
        <v>219</v>
      </c>
      <c r="E315" s="19" t="s">
        <v>218</v>
      </c>
      <c r="F315" s="12" t="n">
        <v>11089051</v>
      </c>
      <c r="G315" s="12" t="n">
        <v>1579699</v>
      </c>
      <c r="H315" s="12" t="n">
        <v>199727436</v>
      </c>
      <c r="I315" s="16" t="n">
        <v>49.4</v>
      </c>
      <c r="J315" s="13" t="n">
        <v>0.095</v>
      </c>
      <c r="K315" s="16" t="n">
        <v>27.9</v>
      </c>
      <c r="L315" s="13" t="n">
        <f aca="false">IF(SUMIFS($F$2:$F$397,$A$2:$A$397,A315)=0,0,F315/SUMIFS($F$2:$F$397,$A$2:$A$397,A315))</f>
        <v>0.0707582083307711</v>
      </c>
    </row>
    <row r="316" customFormat="false" ht="15" hidden="false" customHeight="false" outlineLevel="0" collapsed="false">
      <c r="A316" s="10" t="n">
        <v>45778</v>
      </c>
      <c r="B316" s="18" t="n">
        <f aca="false">YEAR(A316)</f>
        <v>2025</v>
      </c>
      <c r="C316" s="19" t="str">
        <f aca="false">"Q"&amp;ROUNDUP(MONTH(A316)/3,0)</f>
        <v>Q2</v>
      </c>
      <c r="D316" s="19" t="s">
        <v>220</v>
      </c>
      <c r="E316" s="19" t="s">
        <v>214</v>
      </c>
      <c r="F316" s="12" t="n">
        <v>7253848</v>
      </c>
      <c r="G316" s="12" t="n">
        <v>1157192</v>
      </c>
      <c r="H316" s="12" t="n">
        <v>118649232</v>
      </c>
      <c r="I316" s="16" t="n">
        <v>45</v>
      </c>
      <c r="J316" s="13" t="n">
        <v>0.118</v>
      </c>
      <c r="K316" s="16" t="n">
        <v>21.8</v>
      </c>
      <c r="L316" s="13" t="n">
        <f aca="false">IF(SUMIFS($F$2:$F$397,$A$2:$A$397,A316)=0,0,F316/SUMIFS($F$2:$F$397,$A$2:$A$397,A316))</f>
        <v>0.0462861328695979</v>
      </c>
    </row>
    <row r="317" customFormat="false" ht="15" hidden="false" customHeight="false" outlineLevel="0" collapsed="false">
      <c r="A317" s="10" t="n">
        <v>45778</v>
      </c>
      <c r="B317" s="18" t="n">
        <f aca="false">YEAR(A317)</f>
        <v>2025</v>
      </c>
      <c r="C317" s="19" t="str">
        <f aca="false">"Q"&amp;ROUNDUP(MONTH(A317)/3,0)</f>
        <v>Q2</v>
      </c>
      <c r="D317" s="19" t="s">
        <v>221</v>
      </c>
      <c r="E317" s="19" t="s">
        <v>214</v>
      </c>
      <c r="F317" s="12" t="n">
        <v>5332079</v>
      </c>
      <c r="G317" s="12" t="n">
        <v>750557</v>
      </c>
      <c r="H317" s="12" t="n">
        <v>86000407</v>
      </c>
      <c r="I317" s="16" t="n">
        <v>43.1</v>
      </c>
      <c r="J317" s="13" t="n">
        <v>0.131</v>
      </c>
      <c r="K317" s="16" t="n">
        <v>22.2</v>
      </c>
      <c r="L317" s="13" t="n">
        <f aca="false">IF(SUMIFS($F$2:$F$397,$A$2:$A$397,A317)=0,0,F317/SUMIFS($F$2:$F$397,$A$2:$A$397,A317))</f>
        <v>0.0340235027071415</v>
      </c>
    </row>
    <row r="318" customFormat="false" ht="15" hidden="false" customHeight="false" outlineLevel="0" collapsed="false">
      <c r="A318" s="10" t="n">
        <v>45778</v>
      </c>
      <c r="B318" s="18" t="n">
        <f aca="false">YEAR(A318)</f>
        <v>2025</v>
      </c>
      <c r="C318" s="19" t="str">
        <f aca="false">"Q"&amp;ROUNDUP(MONTH(A318)/3,0)</f>
        <v>Q2</v>
      </c>
      <c r="D318" s="19" t="s">
        <v>222</v>
      </c>
      <c r="E318" s="19" t="s">
        <v>218</v>
      </c>
      <c r="F318" s="12" t="n">
        <v>8611974</v>
      </c>
      <c r="G318" s="12" t="n">
        <v>1341051</v>
      </c>
      <c r="H318" s="12" t="n">
        <v>154863225</v>
      </c>
      <c r="I318" s="16" t="n">
        <v>47.3</v>
      </c>
      <c r="J318" s="13" t="n">
        <v>0.076</v>
      </c>
      <c r="K318" s="16" t="n">
        <v>27.1</v>
      </c>
      <c r="L318" s="13" t="n">
        <f aca="false">IF(SUMIFS($F$2:$F$397,$A$2:$A$397,A318)=0,0,F318/SUMIFS($F$2:$F$397,$A$2:$A$397,A318))</f>
        <v>0.0549522092044833</v>
      </c>
    </row>
    <row r="319" customFormat="false" ht="15" hidden="false" customHeight="false" outlineLevel="0" collapsed="false">
      <c r="A319" s="10" t="n">
        <v>45778</v>
      </c>
      <c r="B319" s="18" t="n">
        <f aca="false">YEAR(A319)</f>
        <v>2025</v>
      </c>
      <c r="C319" s="19" t="str">
        <f aca="false">"Q"&amp;ROUNDUP(MONTH(A319)/3,0)</f>
        <v>Q2</v>
      </c>
      <c r="D319" s="19" t="s">
        <v>223</v>
      </c>
      <c r="E319" s="19" t="s">
        <v>224</v>
      </c>
      <c r="F319" s="12" t="n">
        <v>7158255</v>
      </c>
      <c r="G319" s="12" t="n">
        <v>1220051</v>
      </c>
      <c r="H319" s="12" t="n">
        <v>111408299</v>
      </c>
      <c r="I319" s="16" t="n">
        <v>44.1</v>
      </c>
      <c r="J319" s="13" t="n">
        <v>0.109</v>
      </c>
      <c r="K319" s="16" t="n">
        <v>20.7</v>
      </c>
      <c r="L319" s="13" t="n">
        <f aca="false">IF(SUMIFS($F$2:$F$397,$A$2:$A$397,A319)=0,0,F319/SUMIFS($F$2:$F$397,$A$2:$A$397,A319))</f>
        <v>0.0456761627820797</v>
      </c>
    </row>
    <row r="320" customFormat="false" ht="15" hidden="false" customHeight="false" outlineLevel="0" collapsed="false">
      <c r="A320" s="10" t="n">
        <v>45778</v>
      </c>
      <c r="B320" s="18" t="n">
        <f aca="false">YEAR(A320)</f>
        <v>2025</v>
      </c>
      <c r="C320" s="19" t="str">
        <f aca="false">"Q"&amp;ROUNDUP(MONTH(A320)/3,0)</f>
        <v>Q2</v>
      </c>
      <c r="D320" s="19" t="s">
        <v>225</v>
      </c>
      <c r="E320" s="19" t="s">
        <v>226</v>
      </c>
      <c r="F320" s="12" t="n">
        <v>14116036</v>
      </c>
      <c r="G320" s="12" t="n">
        <v>2118897</v>
      </c>
      <c r="H320" s="12" t="n">
        <v>230139969</v>
      </c>
      <c r="I320" s="16" t="n">
        <v>41.8</v>
      </c>
      <c r="J320" s="13" t="n">
        <v>0.092</v>
      </c>
      <c r="K320" s="16" t="n">
        <v>19.9</v>
      </c>
      <c r="L320" s="13" t="n">
        <f aca="false">IF(SUMIFS($F$2:$F$397,$A$2:$A$397,A320)=0,0,F320/SUMIFS($F$2:$F$397,$A$2:$A$397,A320))</f>
        <v>0.0900731195205672</v>
      </c>
    </row>
    <row r="321" customFormat="false" ht="15" hidden="false" customHeight="false" outlineLevel="0" collapsed="false">
      <c r="A321" s="10" t="n">
        <v>45809</v>
      </c>
      <c r="B321" s="18" t="n">
        <f aca="false">YEAR(A321)</f>
        <v>2025</v>
      </c>
      <c r="C321" s="19" t="str">
        <f aca="false">"Q"&amp;ROUNDUP(MONTH(A321)/3,0)</f>
        <v>Q2</v>
      </c>
      <c r="D321" s="19" t="s">
        <v>211</v>
      </c>
      <c r="E321" s="19" t="s">
        <v>212</v>
      </c>
      <c r="F321" s="12" t="n">
        <v>42573938</v>
      </c>
      <c r="G321" s="12" t="n">
        <v>6851186</v>
      </c>
      <c r="H321" s="12" t="n">
        <v>678031374</v>
      </c>
      <c r="I321" s="16" t="n">
        <v>45</v>
      </c>
      <c r="J321" s="13" t="n">
        <v>0.11</v>
      </c>
      <c r="K321" s="16" t="n">
        <v>23.9</v>
      </c>
      <c r="L321" s="13" t="n">
        <f aca="false">IF(SUMIFS($F$2:$F$397,$A$2:$A$397,A321)=0,0,F321/SUMIFS($F$2:$F$397,$A$2:$A$397,A321))</f>
        <v>0.272642855980534</v>
      </c>
    </row>
    <row r="322" customFormat="false" ht="15" hidden="false" customHeight="false" outlineLevel="0" collapsed="false">
      <c r="A322" s="10" t="n">
        <v>45809</v>
      </c>
      <c r="B322" s="18" t="n">
        <f aca="false">YEAR(A322)</f>
        <v>2025</v>
      </c>
      <c r="C322" s="19" t="str">
        <f aca="false">"Q"&amp;ROUNDUP(MONTH(A322)/3,0)</f>
        <v>Q2</v>
      </c>
      <c r="D322" s="19" t="s">
        <v>213</v>
      </c>
      <c r="E322" s="19" t="s">
        <v>214</v>
      </c>
      <c r="F322" s="12" t="n">
        <v>23565085</v>
      </c>
      <c r="G322" s="12" t="n">
        <v>3276176</v>
      </c>
      <c r="H322" s="12" t="n">
        <v>406604767</v>
      </c>
      <c r="I322" s="16" t="n">
        <v>43.9</v>
      </c>
      <c r="J322" s="13" t="n">
        <v>0.142</v>
      </c>
      <c r="K322" s="16" t="n">
        <v>24.8</v>
      </c>
      <c r="L322" s="13" t="n">
        <f aca="false">IF(SUMIFS($F$2:$F$397,$A$2:$A$397,A322)=0,0,F322/SUMIFS($F$2:$F$397,$A$2:$A$397,A322))</f>
        <v>0.150910448449097</v>
      </c>
    </row>
    <row r="323" customFormat="false" ht="15" hidden="false" customHeight="false" outlineLevel="0" collapsed="false">
      <c r="A323" s="10" t="n">
        <v>45809</v>
      </c>
      <c r="B323" s="18" t="n">
        <f aca="false">YEAR(A323)</f>
        <v>2025</v>
      </c>
      <c r="C323" s="19" t="str">
        <f aca="false">"Q"&amp;ROUNDUP(MONTH(A323)/3,0)</f>
        <v>Q2</v>
      </c>
      <c r="D323" s="19" t="s">
        <v>215</v>
      </c>
      <c r="E323" s="19" t="s">
        <v>214</v>
      </c>
      <c r="F323" s="12" t="n">
        <v>13133048</v>
      </c>
      <c r="G323" s="12" t="n">
        <v>1963158</v>
      </c>
      <c r="H323" s="12" t="n">
        <v>212146522</v>
      </c>
      <c r="I323" s="16" t="n">
        <v>43.6</v>
      </c>
      <c r="J323" s="13" t="n">
        <v>0.134</v>
      </c>
      <c r="K323" s="16" t="n">
        <v>22.9</v>
      </c>
      <c r="L323" s="13" t="n">
        <f aca="false">IF(SUMIFS($F$2:$F$397,$A$2:$A$397,A323)=0,0,F323/SUMIFS($F$2:$F$397,$A$2:$A$397,A323))</f>
        <v>0.0841038410505845</v>
      </c>
    </row>
    <row r="324" customFormat="false" ht="15" hidden="false" customHeight="false" outlineLevel="0" collapsed="false">
      <c r="A324" s="10" t="n">
        <v>45809</v>
      </c>
      <c r="B324" s="18" t="n">
        <f aca="false">YEAR(A324)</f>
        <v>2025</v>
      </c>
      <c r="C324" s="19" t="str">
        <f aca="false">"Q"&amp;ROUNDUP(MONTH(A324)/3,0)</f>
        <v>Q2</v>
      </c>
      <c r="D324" s="19" t="s">
        <v>216</v>
      </c>
      <c r="E324" s="19" t="s">
        <v>212</v>
      </c>
      <c r="F324" s="12" t="n">
        <v>8490951</v>
      </c>
      <c r="G324" s="12" t="n">
        <v>1233675</v>
      </c>
      <c r="H324" s="12" t="n">
        <v>139520917</v>
      </c>
      <c r="I324" s="16" t="n">
        <v>42.8</v>
      </c>
      <c r="J324" s="13" t="n">
        <v>0.119</v>
      </c>
      <c r="K324" s="16" t="n">
        <v>22.1</v>
      </c>
      <c r="L324" s="13" t="n">
        <f aca="false">IF(SUMIFS($F$2:$F$397,$A$2:$A$397,A324)=0,0,F324/SUMIFS($F$2:$F$397,$A$2:$A$397,A324))</f>
        <v>0.0543759219696982</v>
      </c>
    </row>
    <row r="325" customFormat="false" ht="15" hidden="false" customHeight="false" outlineLevel="0" collapsed="false">
      <c r="A325" s="10" t="n">
        <v>45809</v>
      </c>
      <c r="B325" s="18" t="n">
        <f aca="false">YEAR(A325)</f>
        <v>2025</v>
      </c>
      <c r="C325" s="19" t="str">
        <f aca="false">"Q"&amp;ROUNDUP(MONTH(A325)/3,0)</f>
        <v>Q2</v>
      </c>
      <c r="D325" s="19" t="s">
        <v>217</v>
      </c>
      <c r="E325" s="19" t="s">
        <v>218</v>
      </c>
      <c r="F325" s="12" t="n">
        <v>13524522</v>
      </c>
      <c r="G325" s="12" t="n">
        <v>2090300</v>
      </c>
      <c r="H325" s="12" t="n">
        <v>262191176</v>
      </c>
      <c r="I325" s="16" t="n">
        <v>49.6</v>
      </c>
      <c r="J325" s="13" t="n">
        <v>0.095</v>
      </c>
      <c r="K325" s="16" t="n">
        <v>28.7</v>
      </c>
      <c r="L325" s="13" t="n">
        <f aca="false">IF(SUMIFS($F$2:$F$397,$A$2:$A$397,A325)=0,0,F325/SUMIFS($F$2:$F$397,$A$2:$A$397,A325))</f>
        <v>0.0866108346343616</v>
      </c>
    </row>
    <row r="326" customFormat="false" ht="15" hidden="false" customHeight="false" outlineLevel="0" collapsed="false">
      <c r="A326" s="10" t="n">
        <v>45809</v>
      </c>
      <c r="B326" s="18" t="n">
        <f aca="false">YEAR(A326)</f>
        <v>2025</v>
      </c>
      <c r="C326" s="19" t="str">
        <f aca="false">"Q"&amp;ROUNDUP(MONTH(A326)/3,0)</f>
        <v>Q2</v>
      </c>
      <c r="D326" s="19" t="s">
        <v>219</v>
      </c>
      <c r="E326" s="19" t="s">
        <v>218</v>
      </c>
      <c r="F326" s="12" t="n">
        <v>11606612</v>
      </c>
      <c r="G326" s="12" t="n">
        <v>1706135</v>
      </c>
      <c r="H326" s="12" t="n">
        <v>206352894</v>
      </c>
      <c r="I326" s="16" t="n">
        <v>48.5</v>
      </c>
      <c r="J326" s="13" t="n">
        <v>0.101</v>
      </c>
      <c r="K326" s="16" t="n">
        <v>27.9</v>
      </c>
      <c r="L326" s="13" t="n">
        <f aca="false">IF(SUMIFS($F$2:$F$397,$A$2:$A$397,A326)=0,0,F326/SUMIFS($F$2:$F$397,$A$2:$A$397,A326))</f>
        <v>0.0743285679595328</v>
      </c>
    </row>
    <row r="327" customFormat="false" ht="15" hidden="false" customHeight="false" outlineLevel="0" collapsed="false">
      <c r="A327" s="10" t="n">
        <v>45809</v>
      </c>
      <c r="B327" s="18" t="n">
        <f aca="false">YEAR(A327)</f>
        <v>2025</v>
      </c>
      <c r="C327" s="19" t="str">
        <f aca="false">"Q"&amp;ROUNDUP(MONTH(A327)/3,0)</f>
        <v>Q2</v>
      </c>
      <c r="D327" s="19" t="s">
        <v>220</v>
      </c>
      <c r="E327" s="19" t="s">
        <v>214</v>
      </c>
      <c r="F327" s="12" t="n">
        <v>7030782</v>
      </c>
      <c r="G327" s="12" t="n">
        <v>1068476</v>
      </c>
      <c r="H327" s="12" t="n">
        <v>109425944</v>
      </c>
      <c r="I327" s="16" t="n">
        <v>45.3</v>
      </c>
      <c r="J327" s="13" t="n">
        <v>0.133</v>
      </c>
      <c r="K327" s="16" t="n">
        <v>21.9</v>
      </c>
      <c r="L327" s="13" t="n">
        <f aca="false">IF(SUMIFS($F$2:$F$397,$A$2:$A$397,A327)=0,0,F327/SUMIFS($F$2:$F$397,$A$2:$A$397,A327))</f>
        <v>0.0450250217458514</v>
      </c>
    </row>
    <row r="328" customFormat="false" ht="15" hidden="false" customHeight="false" outlineLevel="0" collapsed="false">
      <c r="A328" s="10" t="n">
        <v>45809</v>
      </c>
      <c r="B328" s="18" t="n">
        <f aca="false">YEAR(A328)</f>
        <v>2025</v>
      </c>
      <c r="C328" s="19" t="str">
        <f aca="false">"Q"&amp;ROUNDUP(MONTH(A328)/3,0)</f>
        <v>Q2</v>
      </c>
      <c r="D328" s="19" t="s">
        <v>221</v>
      </c>
      <c r="E328" s="19" t="s">
        <v>214</v>
      </c>
      <c r="F328" s="12" t="n">
        <v>5749616</v>
      </c>
      <c r="G328" s="12" t="n">
        <v>894932</v>
      </c>
      <c r="H328" s="12" t="n">
        <v>96529242</v>
      </c>
      <c r="I328" s="16" t="n">
        <v>43.1</v>
      </c>
      <c r="J328" s="13" t="n">
        <v>0.125</v>
      </c>
      <c r="K328" s="16" t="n">
        <v>22</v>
      </c>
      <c r="L328" s="13" t="n">
        <f aca="false">IF(SUMIFS($F$2:$F$397,$A$2:$A$397,A328)=0,0,F328/SUMIFS($F$2:$F$397,$A$2:$A$397,A328))</f>
        <v>0.0368204540306178</v>
      </c>
    </row>
    <row r="329" customFormat="false" ht="15" hidden="false" customHeight="false" outlineLevel="0" collapsed="false">
      <c r="A329" s="10" t="n">
        <v>45809</v>
      </c>
      <c r="B329" s="18" t="n">
        <f aca="false">YEAR(A329)</f>
        <v>2025</v>
      </c>
      <c r="C329" s="19" t="str">
        <f aca="false">"Q"&amp;ROUNDUP(MONTH(A329)/3,0)</f>
        <v>Q2</v>
      </c>
      <c r="D329" s="19" t="s">
        <v>222</v>
      </c>
      <c r="E329" s="19" t="s">
        <v>218</v>
      </c>
      <c r="F329" s="12" t="n">
        <v>8931613</v>
      </c>
      <c r="G329" s="12" t="n">
        <v>1361083</v>
      </c>
      <c r="H329" s="12" t="n">
        <v>149718718</v>
      </c>
      <c r="I329" s="16" t="n">
        <v>48.8</v>
      </c>
      <c r="J329" s="13" t="n">
        <v>0.077</v>
      </c>
      <c r="K329" s="16" t="n">
        <v>27.6</v>
      </c>
      <c r="L329" s="13" t="n">
        <f aca="false">IF(SUMIFS($F$2:$F$397,$A$2:$A$397,A329)=0,0,F329/SUMIFS($F$2:$F$397,$A$2:$A$397,A329))</f>
        <v>0.0571979147626152</v>
      </c>
    </row>
    <row r="330" customFormat="false" ht="15" hidden="false" customHeight="false" outlineLevel="0" collapsed="false">
      <c r="A330" s="10" t="n">
        <v>45809</v>
      </c>
      <c r="B330" s="18" t="n">
        <f aca="false">YEAR(A330)</f>
        <v>2025</v>
      </c>
      <c r="C330" s="19" t="str">
        <f aca="false">"Q"&amp;ROUNDUP(MONTH(A330)/3,0)</f>
        <v>Q2</v>
      </c>
      <c r="D330" s="19" t="s">
        <v>223</v>
      </c>
      <c r="E330" s="19" t="s">
        <v>224</v>
      </c>
      <c r="F330" s="12" t="n">
        <v>7112789</v>
      </c>
      <c r="G330" s="12" t="n">
        <v>1043130</v>
      </c>
      <c r="H330" s="12" t="n">
        <v>113849197</v>
      </c>
      <c r="I330" s="16" t="n">
        <v>44.2</v>
      </c>
      <c r="J330" s="13" t="n">
        <v>0.103</v>
      </c>
      <c r="K330" s="16" t="n">
        <v>20.3</v>
      </c>
      <c r="L330" s="13" t="n">
        <f aca="false">IF(SUMIFS($F$2:$F$397,$A$2:$A$397,A330)=0,0,F330/SUMIFS($F$2:$F$397,$A$2:$A$397,A330))</f>
        <v>0.0455501933353435</v>
      </c>
    </row>
    <row r="331" customFormat="false" ht="15" hidden="false" customHeight="false" outlineLevel="0" collapsed="false">
      <c r="A331" s="10" t="n">
        <v>45809</v>
      </c>
      <c r="B331" s="18" t="n">
        <f aca="false">YEAR(A331)</f>
        <v>2025</v>
      </c>
      <c r="C331" s="19" t="str">
        <f aca="false">"Q"&amp;ROUNDUP(MONTH(A331)/3,0)</f>
        <v>Q2</v>
      </c>
      <c r="D331" s="19" t="s">
        <v>225</v>
      </c>
      <c r="E331" s="19" t="s">
        <v>226</v>
      </c>
      <c r="F331" s="12" t="n">
        <v>14433817</v>
      </c>
      <c r="G331" s="12" t="n">
        <v>2311934</v>
      </c>
      <c r="H331" s="12" t="n">
        <v>217927428</v>
      </c>
      <c r="I331" s="16" t="n">
        <v>41.6</v>
      </c>
      <c r="J331" s="13" t="n">
        <v>0.101</v>
      </c>
      <c r="K331" s="16" t="n">
        <v>20.8</v>
      </c>
      <c r="L331" s="13" t="n">
        <f aca="false">IF(SUMIFS($F$2:$F$397,$A$2:$A$397,A331)=0,0,F331/SUMIFS($F$2:$F$397,$A$2:$A$397,A331))</f>
        <v>0.0924339460817644</v>
      </c>
    </row>
    <row r="332" customFormat="false" ht="15" hidden="false" customHeight="false" outlineLevel="0" collapsed="false">
      <c r="A332" s="10" t="n">
        <v>45839</v>
      </c>
      <c r="B332" s="18" t="n">
        <f aca="false">YEAR(A332)</f>
        <v>2025</v>
      </c>
      <c r="C332" s="19" t="str">
        <f aca="false">"Q"&amp;ROUNDUP(MONTH(A332)/3,0)</f>
        <v>Q3</v>
      </c>
      <c r="D332" s="19" t="s">
        <v>211</v>
      </c>
      <c r="E332" s="19" t="s">
        <v>212</v>
      </c>
      <c r="F332" s="12" t="n">
        <v>43164887</v>
      </c>
      <c r="G332" s="12" t="n">
        <v>6088424</v>
      </c>
      <c r="H332" s="12" t="n">
        <v>731068953</v>
      </c>
      <c r="I332" s="16" t="n">
        <v>45.2</v>
      </c>
      <c r="J332" s="13" t="n">
        <v>0.119</v>
      </c>
      <c r="K332" s="16" t="n">
        <v>24</v>
      </c>
      <c r="L332" s="13" t="n">
        <f aca="false">IF(SUMIFS($F$2:$F$397,$A$2:$A$397,A332)=0,0,F332/SUMIFS($F$2:$F$397,$A$2:$A$397,A332))</f>
        <v>0.272970153935017</v>
      </c>
    </row>
    <row r="333" customFormat="false" ht="15" hidden="false" customHeight="false" outlineLevel="0" collapsed="false">
      <c r="A333" s="10" t="n">
        <v>45839</v>
      </c>
      <c r="B333" s="18" t="n">
        <f aca="false">YEAR(A333)</f>
        <v>2025</v>
      </c>
      <c r="C333" s="19" t="str">
        <f aca="false">"Q"&amp;ROUNDUP(MONTH(A333)/3,0)</f>
        <v>Q3</v>
      </c>
      <c r="D333" s="19" t="s">
        <v>213</v>
      </c>
      <c r="E333" s="19" t="s">
        <v>214</v>
      </c>
      <c r="F333" s="12" t="n">
        <v>24369088</v>
      </c>
      <c r="G333" s="12" t="n">
        <v>3523352</v>
      </c>
      <c r="H333" s="12" t="n">
        <v>390021305</v>
      </c>
      <c r="I333" s="16" t="n">
        <v>44.9</v>
      </c>
      <c r="J333" s="13" t="n">
        <v>0.142</v>
      </c>
      <c r="K333" s="16" t="n">
        <v>24.6</v>
      </c>
      <c r="L333" s="13" t="n">
        <f aca="false">IF(SUMIFS($F$2:$F$397,$A$2:$A$397,A333)=0,0,F333/SUMIFS($F$2:$F$397,$A$2:$A$397,A333))</f>
        <v>0.154107520369878</v>
      </c>
    </row>
    <row r="334" customFormat="false" ht="15" hidden="false" customHeight="false" outlineLevel="0" collapsed="false">
      <c r="A334" s="10" t="n">
        <v>45839</v>
      </c>
      <c r="B334" s="18" t="n">
        <f aca="false">YEAR(A334)</f>
        <v>2025</v>
      </c>
      <c r="C334" s="19" t="str">
        <f aca="false">"Q"&amp;ROUNDUP(MONTH(A334)/3,0)</f>
        <v>Q3</v>
      </c>
      <c r="D334" s="19" t="s">
        <v>215</v>
      </c>
      <c r="E334" s="19" t="s">
        <v>214</v>
      </c>
      <c r="F334" s="12" t="n">
        <v>12974427</v>
      </c>
      <c r="G334" s="12" t="n">
        <v>1973485</v>
      </c>
      <c r="H334" s="12" t="n">
        <v>223227266</v>
      </c>
      <c r="I334" s="16" t="n">
        <v>45.8</v>
      </c>
      <c r="J334" s="13" t="n">
        <v>0.13</v>
      </c>
      <c r="K334" s="16" t="n">
        <v>23.4</v>
      </c>
      <c r="L334" s="13" t="n">
        <f aca="false">IF(SUMIFS($F$2:$F$397,$A$2:$A$397,A334)=0,0,F334/SUMIFS($F$2:$F$397,$A$2:$A$397,A334))</f>
        <v>0.0820488962570119</v>
      </c>
    </row>
    <row r="335" customFormat="false" ht="15" hidden="false" customHeight="false" outlineLevel="0" collapsed="false">
      <c r="A335" s="10" t="n">
        <v>45839</v>
      </c>
      <c r="B335" s="18" t="n">
        <f aca="false">YEAR(A335)</f>
        <v>2025</v>
      </c>
      <c r="C335" s="19" t="str">
        <f aca="false">"Q"&amp;ROUNDUP(MONTH(A335)/3,0)</f>
        <v>Q3</v>
      </c>
      <c r="D335" s="19" t="s">
        <v>216</v>
      </c>
      <c r="E335" s="19" t="s">
        <v>212</v>
      </c>
      <c r="F335" s="12" t="n">
        <v>8606338</v>
      </c>
      <c r="G335" s="12" t="n">
        <v>1147282</v>
      </c>
      <c r="H335" s="12" t="n">
        <v>141511285</v>
      </c>
      <c r="I335" s="16" t="n">
        <v>43.4</v>
      </c>
      <c r="J335" s="13" t="n">
        <v>0.115</v>
      </c>
      <c r="K335" s="16" t="n">
        <v>22.3</v>
      </c>
      <c r="L335" s="13" t="n">
        <f aca="false">IF(SUMIFS($F$2:$F$397,$A$2:$A$397,A335)=0,0,F335/SUMIFS($F$2:$F$397,$A$2:$A$397,A335))</f>
        <v>0.0544255660550389</v>
      </c>
    </row>
    <row r="336" customFormat="false" ht="15" hidden="false" customHeight="false" outlineLevel="0" collapsed="false">
      <c r="A336" s="10" t="n">
        <v>45839</v>
      </c>
      <c r="B336" s="18" t="n">
        <f aca="false">YEAR(A336)</f>
        <v>2025</v>
      </c>
      <c r="C336" s="19" t="str">
        <f aca="false">"Q"&amp;ROUNDUP(MONTH(A336)/3,0)</f>
        <v>Q3</v>
      </c>
      <c r="D336" s="19" t="s">
        <v>217</v>
      </c>
      <c r="E336" s="19" t="s">
        <v>218</v>
      </c>
      <c r="F336" s="12" t="n">
        <v>13512429</v>
      </c>
      <c r="G336" s="12" t="n">
        <v>1814942</v>
      </c>
      <c r="H336" s="12" t="n">
        <v>247644803</v>
      </c>
      <c r="I336" s="16" t="n">
        <v>50.6</v>
      </c>
      <c r="J336" s="13" t="n">
        <v>0.091</v>
      </c>
      <c r="K336" s="16" t="n">
        <v>28.7</v>
      </c>
      <c r="L336" s="13" t="n">
        <f aca="false">IF(SUMIFS($F$2:$F$397,$A$2:$A$397,A336)=0,0,F336/SUMIFS($F$2:$F$397,$A$2:$A$397,A336))</f>
        <v>0.0854511636776899</v>
      </c>
    </row>
    <row r="337" customFormat="false" ht="15" hidden="false" customHeight="false" outlineLevel="0" collapsed="false">
      <c r="A337" s="10" t="n">
        <v>45839</v>
      </c>
      <c r="B337" s="18" t="n">
        <f aca="false">YEAR(A337)</f>
        <v>2025</v>
      </c>
      <c r="C337" s="19" t="str">
        <f aca="false">"Q"&amp;ROUNDUP(MONTH(A337)/3,0)</f>
        <v>Q3</v>
      </c>
      <c r="D337" s="19" t="s">
        <v>219</v>
      </c>
      <c r="E337" s="19" t="s">
        <v>218</v>
      </c>
      <c r="F337" s="12" t="n">
        <v>11560188</v>
      </c>
      <c r="G337" s="12" t="n">
        <v>1671837</v>
      </c>
      <c r="H337" s="12" t="n">
        <v>194698770</v>
      </c>
      <c r="I337" s="16" t="n">
        <v>49.5</v>
      </c>
      <c r="J337" s="13" t="n">
        <v>0.094</v>
      </c>
      <c r="K337" s="16" t="n">
        <v>28.4</v>
      </c>
      <c r="L337" s="13" t="n">
        <f aca="false">IF(SUMIFS($F$2:$F$397,$A$2:$A$397,A337)=0,0,F337/SUMIFS($F$2:$F$397,$A$2:$A$397,A337))</f>
        <v>0.0731053992537439</v>
      </c>
    </row>
    <row r="338" customFormat="false" ht="15" hidden="false" customHeight="false" outlineLevel="0" collapsed="false">
      <c r="A338" s="10" t="n">
        <v>45839</v>
      </c>
      <c r="B338" s="18" t="n">
        <f aca="false">YEAR(A338)</f>
        <v>2025</v>
      </c>
      <c r="C338" s="19" t="str">
        <f aca="false">"Q"&amp;ROUNDUP(MONTH(A338)/3,0)</f>
        <v>Q3</v>
      </c>
      <c r="D338" s="19" t="s">
        <v>220</v>
      </c>
      <c r="E338" s="19" t="s">
        <v>214</v>
      </c>
      <c r="F338" s="12" t="n">
        <v>7595356</v>
      </c>
      <c r="G338" s="12" t="n">
        <v>1147159</v>
      </c>
      <c r="H338" s="12" t="n">
        <v>126149924</v>
      </c>
      <c r="I338" s="16" t="n">
        <v>44.4</v>
      </c>
      <c r="J338" s="13" t="n">
        <v>0.13</v>
      </c>
      <c r="K338" s="16" t="n">
        <v>22.9</v>
      </c>
      <c r="L338" s="13" t="n">
        <f aca="false">IF(SUMIFS($F$2:$F$397,$A$2:$A$397,A338)=0,0,F338/SUMIFS($F$2:$F$397,$A$2:$A$397,A338))</f>
        <v>0.0480322234252868</v>
      </c>
    </row>
    <row r="339" customFormat="false" ht="15" hidden="false" customHeight="false" outlineLevel="0" collapsed="false">
      <c r="A339" s="10" t="n">
        <v>45839</v>
      </c>
      <c r="B339" s="18" t="n">
        <f aca="false">YEAR(A339)</f>
        <v>2025</v>
      </c>
      <c r="C339" s="19" t="str">
        <f aca="false">"Q"&amp;ROUNDUP(MONTH(A339)/3,0)</f>
        <v>Q3</v>
      </c>
      <c r="D339" s="19" t="s">
        <v>221</v>
      </c>
      <c r="E339" s="19" t="s">
        <v>214</v>
      </c>
      <c r="F339" s="12" t="n">
        <v>5613670</v>
      </c>
      <c r="G339" s="12" t="n">
        <v>867455</v>
      </c>
      <c r="H339" s="12" t="n">
        <v>90543053</v>
      </c>
      <c r="I339" s="16" t="n">
        <v>44.3</v>
      </c>
      <c r="J339" s="13" t="n">
        <v>0.125</v>
      </c>
      <c r="K339" s="16" t="n">
        <v>22.3</v>
      </c>
      <c r="L339" s="13" t="n">
        <f aca="false">IF(SUMIFS($F$2:$F$397,$A$2:$A$397,A339)=0,0,F339/SUMIFS($F$2:$F$397,$A$2:$A$397,A339))</f>
        <v>0.0355002519534081</v>
      </c>
    </row>
    <row r="340" customFormat="false" ht="15" hidden="false" customHeight="false" outlineLevel="0" collapsed="false">
      <c r="A340" s="10" t="n">
        <v>45839</v>
      </c>
      <c r="B340" s="18" t="n">
        <f aca="false">YEAR(A340)</f>
        <v>2025</v>
      </c>
      <c r="C340" s="19" t="str">
        <f aca="false">"Q"&amp;ROUNDUP(MONTH(A340)/3,0)</f>
        <v>Q3</v>
      </c>
      <c r="D340" s="19" t="s">
        <v>222</v>
      </c>
      <c r="E340" s="19" t="s">
        <v>218</v>
      </c>
      <c r="F340" s="12" t="n">
        <v>9169082</v>
      </c>
      <c r="G340" s="12" t="n">
        <v>1318770</v>
      </c>
      <c r="H340" s="12" t="n">
        <v>164712726</v>
      </c>
      <c r="I340" s="16" t="n">
        <v>48.4</v>
      </c>
      <c r="J340" s="13" t="n">
        <v>0.074</v>
      </c>
      <c r="K340" s="16" t="n">
        <v>26.8</v>
      </c>
      <c r="L340" s="13" t="n">
        <f aca="false">IF(SUMIFS($F$2:$F$397,$A$2:$A$397,A340)=0,0,F340/SUMIFS($F$2:$F$397,$A$2:$A$397,A340))</f>
        <v>0.057984299251908</v>
      </c>
    </row>
    <row r="341" customFormat="false" ht="15" hidden="false" customHeight="false" outlineLevel="0" collapsed="false">
      <c r="A341" s="10" t="n">
        <v>45839</v>
      </c>
      <c r="B341" s="18" t="n">
        <f aca="false">YEAR(A341)</f>
        <v>2025</v>
      </c>
      <c r="C341" s="19" t="str">
        <f aca="false">"Q"&amp;ROUNDUP(MONTH(A341)/3,0)</f>
        <v>Q3</v>
      </c>
      <c r="D341" s="19" t="s">
        <v>223</v>
      </c>
      <c r="E341" s="19" t="s">
        <v>224</v>
      </c>
      <c r="F341" s="12" t="n">
        <v>7337467</v>
      </c>
      <c r="G341" s="12" t="n">
        <v>1132878</v>
      </c>
      <c r="H341" s="12" t="n">
        <v>124565228</v>
      </c>
      <c r="I341" s="16" t="n">
        <v>45</v>
      </c>
      <c r="J341" s="13" t="n">
        <v>0.11</v>
      </c>
      <c r="K341" s="16" t="n">
        <v>21.1</v>
      </c>
      <c r="L341" s="13" t="n">
        <f aca="false">IF(SUMIFS($F$2:$F$397,$A$2:$A$397,A341)=0,0,F341/SUMIFS($F$2:$F$397,$A$2:$A$397,A341))</f>
        <v>0.0464013608209633</v>
      </c>
    </row>
    <row r="342" customFormat="false" ht="15" hidden="false" customHeight="false" outlineLevel="0" collapsed="false">
      <c r="A342" s="10" t="n">
        <v>45839</v>
      </c>
      <c r="B342" s="18" t="n">
        <f aca="false">YEAR(A342)</f>
        <v>2025</v>
      </c>
      <c r="C342" s="19" t="str">
        <f aca="false">"Q"&amp;ROUNDUP(MONTH(A342)/3,0)</f>
        <v>Q3</v>
      </c>
      <c r="D342" s="19" t="s">
        <v>225</v>
      </c>
      <c r="E342" s="19" t="s">
        <v>226</v>
      </c>
      <c r="F342" s="12" t="n">
        <v>14227495</v>
      </c>
      <c r="G342" s="12" t="n">
        <v>2176224</v>
      </c>
      <c r="H342" s="12" t="n">
        <v>228370190</v>
      </c>
      <c r="I342" s="16" t="n">
        <v>42.2</v>
      </c>
      <c r="J342" s="13" t="n">
        <v>0.101</v>
      </c>
      <c r="K342" s="16" t="n">
        <v>21.1</v>
      </c>
      <c r="L342" s="13" t="n">
        <f aca="false">IF(SUMIFS($F$2:$F$397,$A$2:$A$397,A342)=0,0,F342/SUMIFS($F$2:$F$397,$A$2:$A$397,A342))</f>
        <v>0.089973165000054</v>
      </c>
    </row>
    <row r="343" customFormat="false" ht="15" hidden="false" customHeight="false" outlineLevel="0" collapsed="false">
      <c r="A343" s="10" t="n">
        <v>45870</v>
      </c>
      <c r="B343" s="18" t="n">
        <f aca="false">YEAR(A343)</f>
        <v>2025</v>
      </c>
      <c r="C343" s="19" t="str">
        <f aca="false">"Q"&amp;ROUNDUP(MONTH(A343)/3,0)</f>
        <v>Q3</v>
      </c>
      <c r="D343" s="19" t="s">
        <v>211</v>
      </c>
      <c r="E343" s="19" t="s">
        <v>212</v>
      </c>
      <c r="F343" s="12" t="n">
        <v>44450289</v>
      </c>
      <c r="G343" s="12" t="n">
        <v>6771231</v>
      </c>
      <c r="H343" s="12" t="n">
        <v>743255581</v>
      </c>
      <c r="I343" s="16" t="n">
        <v>44.4</v>
      </c>
      <c r="J343" s="13" t="n">
        <v>0.111</v>
      </c>
      <c r="K343" s="16" t="n">
        <v>24.7</v>
      </c>
      <c r="L343" s="13" t="n">
        <f aca="false">IF(SUMIFS($F$2:$F$397,$A$2:$A$397,A343)=0,0,F343/SUMIFS($F$2:$F$397,$A$2:$A$397,A343))</f>
        <v>0.278373856840452</v>
      </c>
    </row>
    <row r="344" customFormat="false" ht="15" hidden="false" customHeight="false" outlineLevel="0" collapsed="false">
      <c r="A344" s="10" t="n">
        <v>45870</v>
      </c>
      <c r="B344" s="18" t="n">
        <f aca="false">YEAR(A344)</f>
        <v>2025</v>
      </c>
      <c r="C344" s="19" t="str">
        <f aca="false">"Q"&amp;ROUNDUP(MONTH(A344)/3,0)</f>
        <v>Q3</v>
      </c>
      <c r="D344" s="19" t="s">
        <v>213</v>
      </c>
      <c r="E344" s="19" t="s">
        <v>214</v>
      </c>
      <c r="F344" s="12" t="n">
        <v>23912694</v>
      </c>
      <c r="G344" s="12" t="n">
        <v>3203139</v>
      </c>
      <c r="H344" s="12" t="n">
        <v>395504291</v>
      </c>
      <c r="I344" s="16" t="n">
        <v>45.3</v>
      </c>
      <c r="J344" s="13" t="n">
        <v>0.132</v>
      </c>
      <c r="K344" s="16" t="n">
        <v>25.3</v>
      </c>
      <c r="L344" s="13" t="n">
        <f aca="false">IF(SUMIFS($F$2:$F$397,$A$2:$A$397,A344)=0,0,F344/SUMIFS($F$2:$F$397,$A$2:$A$397,A344))</f>
        <v>0.149755356061364</v>
      </c>
    </row>
    <row r="345" customFormat="false" ht="15" hidden="false" customHeight="false" outlineLevel="0" collapsed="false">
      <c r="A345" s="10" t="n">
        <v>45870</v>
      </c>
      <c r="B345" s="18" t="n">
        <f aca="false">YEAR(A345)</f>
        <v>2025</v>
      </c>
      <c r="C345" s="19" t="str">
        <f aca="false">"Q"&amp;ROUNDUP(MONTH(A345)/3,0)</f>
        <v>Q3</v>
      </c>
      <c r="D345" s="19" t="s">
        <v>215</v>
      </c>
      <c r="E345" s="19" t="s">
        <v>214</v>
      </c>
      <c r="F345" s="12" t="n">
        <v>13048728</v>
      </c>
      <c r="G345" s="12" t="n">
        <v>1965361</v>
      </c>
      <c r="H345" s="12" t="n">
        <v>213852022</v>
      </c>
      <c r="I345" s="16" t="n">
        <v>45.6</v>
      </c>
      <c r="J345" s="13" t="n">
        <v>0.133</v>
      </c>
      <c r="K345" s="16" t="n">
        <v>23.3</v>
      </c>
      <c r="L345" s="13" t="n">
        <f aca="false">IF(SUMIFS($F$2:$F$397,$A$2:$A$397,A345)=0,0,F345/SUMIFS($F$2:$F$397,$A$2:$A$397,A345))</f>
        <v>0.0817188104271267</v>
      </c>
    </row>
    <row r="346" customFormat="false" ht="15" hidden="false" customHeight="false" outlineLevel="0" collapsed="false">
      <c r="A346" s="10" t="n">
        <v>45870</v>
      </c>
      <c r="B346" s="18" t="n">
        <f aca="false">YEAR(A346)</f>
        <v>2025</v>
      </c>
      <c r="C346" s="19" t="str">
        <f aca="false">"Q"&amp;ROUNDUP(MONTH(A346)/3,0)</f>
        <v>Q3</v>
      </c>
      <c r="D346" s="19" t="s">
        <v>216</v>
      </c>
      <c r="E346" s="19" t="s">
        <v>212</v>
      </c>
      <c r="F346" s="12" t="n">
        <v>8460994</v>
      </c>
      <c r="G346" s="12" t="n">
        <v>1084310</v>
      </c>
      <c r="H346" s="12" t="n">
        <v>143621392</v>
      </c>
      <c r="I346" s="16" t="n">
        <v>45.8</v>
      </c>
      <c r="J346" s="13" t="n">
        <v>0.121</v>
      </c>
      <c r="K346" s="16" t="n">
        <v>23</v>
      </c>
      <c r="L346" s="13" t="n">
        <f aca="false">IF(SUMIFS($F$2:$F$397,$A$2:$A$397,A346)=0,0,F346/SUMIFS($F$2:$F$397,$A$2:$A$397,A346))</f>
        <v>0.0529877214630466</v>
      </c>
    </row>
    <row r="347" customFormat="false" ht="15" hidden="false" customHeight="false" outlineLevel="0" collapsed="false">
      <c r="A347" s="10" t="n">
        <v>45870</v>
      </c>
      <c r="B347" s="18" t="n">
        <f aca="false">YEAR(A347)</f>
        <v>2025</v>
      </c>
      <c r="C347" s="19" t="str">
        <f aca="false">"Q"&amp;ROUNDUP(MONTH(A347)/3,0)</f>
        <v>Q3</v>
      </c>
      <c r="D347" s="19" t="s">
        <v>217</v>
      </c>
      <c r="E347" s="19" t="s">
        <v>218</v>
      </c>
      <c r="F347" s="12" t="n">
        <v>13640974</v>
      </c>
      <c r="G347" s="12" t="n">
        <v>1937871</v>
      </c>
      <c r="H347" s="12" t="n">
        <v>249848824</v>
      </c>
      <c r="I347" s="16" t="n">
        <v>50.9</v>
      </c>
      <c r="J347" s="13" t="n">
        <v>0.086</v>
      </c>
      <c r="K347" s="16" t="n">
        <v>28.4</v>
      </c>
      <c r="L347" s="13" t="n">
        <f aca="false">IF(SUMIFS($F$2:$F$397,$A$2:$A$397,A347)=0,0,F347/SUMIFS($F$2:$F$397,$A$2:$A$397,A347))</f>
        <v>0.0854278032577095</v>
      </c>
    </row>
    <row r="348" customFormat="false" ht="15" hidden="false" customHeight="false" outlineLevel="0" collapsed="false">
      <c r="A348" s="10" t="n">
        <v>45870</v>
      </c>
      <c r="B348" s="18" t="n">
        <f aca="false">YEAR(A348)</f>
        <v>2025</v>
      </c>
      <c r="C348" s="19" t="str">
        <f aca="false">"Q"&amp;ROUNDUP(MONTH(A348)/3,0)</f>
        <v>Q3</v>
      </c>
      <c r="D348" s="19" t="s">
        <v>219</v>
      </c>
      <c r="E348" s="19" t="s">
        <v>218</v>
      </c>
      <c r="F348" s="12" t="n">
        <v>11366024</v>
      </c>
      <c r="G348" s="12" t="n">
        <v>1523659</v>
      </c>
      <c r="H348" s="12" t="n">
        <v>210756915</v>
      </c>
      <c r="I348" s="16" t="n">
        <v>51</v>
      </c>
      <c r="J348" s="13" t="n">
        <v>0.099</v>
      </c>
      <c r="K348" s="16" t="n">
        <v>28.8</v>
      </c>
      <c r="L348" s="13" t="n">
        <f aca="false">IF(SUMIFS($F$2:$F$397,$A$2:$A$397,A348)=0,0,F348/SUMIFS($F$2:$F$397,$A$2:$A$397,A348))</f>
        <v>0.0711807281572712</v>
      </c>
    </row>
    <row r="349" customFormat="false" ht="15" hidden="false" customHeight="false" outlineLevel="0" collapsed="false">
      <c r="A349" s="10" t="n">
        <v>45870</v>
      </c>
      <c r="B349" s="18" t="n">
        <f aca="false">YEAR(A349)</f>
        <v>2025</v>
      </c>
      <c r="C349" s="19" t="str">
        <f aca="false">"Q"&amp;ROUNDUP(MONTH(A349)/3,0)</f>
        <v>Q3</v>
      </c>
      <c r="D349" s="19" t="s">
        <v>220</v>
      </c>
      <c r="E349" s="19" t="s">
        <v>214</v>
      </c>
      <c r="F349" s="12" t="n">
        <v>7377114</v>
      </c>
      <c r="G349" s="12" t="n">
        <v>995956</v>
      </c>
      <c r="H349" s="12" t="n">
        <v>125032960</v>
      </c>
      <c r="I349" s="16" t="n">
        <v>46.1</v>
      </c>
      <c r="J349" s="13" t="n">
        <v>0.129</v>
      </c>
      <c r="K349" s="16" t="n">
        <v>22.3</v>
      </c>
      <c r="L349" s="13" t="n">
        <f aca="false">IF(SUMIFS($F$2:$F$397,$A$2:$A$397,A349)=0,0,F349/SUMIFS($F$2:$F$397,$A$2:$A$397,A349))</f>
        <v>0.0461998273291698</v>
      </c>
    </row>
    <row r="350" customFormat="false" ht="15" hidden="false" customHeight="false" outlineLevel="0" collapsed="false">
      <c r="A350" s="10" t="n">
        <v>45870</v>
      </c>
      <c r="B350" s="18" t="n">
        <f aca="false">YEAR(A350)</f>
        <v>2025</v>
      </c>
      <c r="C350" s="19" t="str">
        <f aca="false">"Q"&amp;ROUNDUP(MONTH(A350)/3,0)</f>
        <v>Q3</v>
      </c>
      <c r="D350" s="19" t="s">
        <v>221</v>
      </c>
      <c r="E350" s="19" t="s">
        <v>214</v>
      </c>
      <c r="F350" s="12" t="n">
        <v>5935212</v>
      </c>
      <c r="G350" s="12" t="n">
        <v>869198</v>
      </c>
      <c r="H350" s="12" t="n">
        <v>90467141</v>
      </c>
      <c r="I350" s="16" t="n">
        <v>45.8</v>
      </c>
      <c r="J350" s="13" t="n">
        <v>0.127</v>
      </c>
      <c r="K350" s="16" t="n">
        <v>22.5</v>
      </c>
      <c r="L350" s="13" t="n">
        <f aca="false">IF(SUMIFS($F$2:$F$397,$A$2:$A$397,A350)=0,0,F350/SUMIFS($F$2:$F$397,$A$2:$A$397,A350))</f>
        <v>0.0371697888309732</v>
      </c>
    </row>
    <row r="351" customFormat="false" ht="15" hidden="false" customHeight="false" outlineLevel="0" collapsed="false">
      <c r="A351" s="10" t="n">
        <v>45870</v>
      </c>
      <c r="B351" s="18" t="n">
        <f aca="false">YEAR(A351)</f>
        <v>2025</v>
      </c>
      <c r="C351" s="19" t="str">
        <f aca="false">"Q"&amp;ROUNDUP(MONTH(A351)/3,0)</f>
        <v>Q3</v>
      </c>
      <c r="D351" s="19" t="s">
        <v>222</v>
      </c>
      <c r="E351" s="19" t="s">
        <v>218</v>
      </c>
      <c r="F351" s="12" t="n">
        <v>9424460</v>
      </c>
      <c r="G351" s="12" t="n">
        <v>1311208</v>
      </c>
      <c r="H351" s="12" t="n">
        <v>171841146</v>
      </c>
      <c r="I351" s="16" t="n">
        <v>48.1</v>
      </c>
      <c r="J351" s="13" t="n">
        <v>0.073</v>
      </c>
      <c r="K351" s="16" t="n">
        <v>27.4</v>
      </c>
      <c r="L351" s="13" t="n">
        <f aca="false">IF(SUMIFS($F$2:$F$397,$A$2:$A$397,A351)=0,0,F351/SUMIFS($F$2:$F$397,$A$2:$A$397,A351))</f>
        <v>0.0590215122974468</v>
      </c>
    </row>
    <row r="352" customFormat="false" ht="15" hidden="false" customHeight="false" outlineLevel="0" collapsed="false">
      <c r="A352" s="10" t="n">
        <v>45870</v>
      </c>
      <c r="B352" s="18" t="n">
        <f aca="false">YEAR(A352)</f>
        <v>2025</v>
      </c>
      <c r="C352" s="19" t="str">
        <f aca="false">"Q"&amp;ROUNDUP(MONTH(A352)/3,0)</f>
        <v>Q3</v>
      </c>
      <c r="D352" s="19" t="s">
        <v>223</v>
      </c>
      <c r="E352" s="19" t="s">
        <v>224</v>
      </c>
      <c r="F352" s="12" t="n">
        <v>7609360</v>
      </c>
      <c r="G352" s="12" t="n">
        <v>1111628</v>
      </c>
      <c r="H352" s="12" t="n">
        <v>129986075</v>
      </c>
      <c r="I352" s="16" t="n">
        <v>44.9</v>
      </c>
      <c r="J352" s="13" t="n">
        <v>0.104</v>
      </c>
      <c r="K352" s="16" t="n">
        <v>22.3</v>
      </c>
      <c r="L352" s="13" t="n">
        <f aca="false">IF(SUMIFS($F$2:$F$397,$A$2:$A$397,A352)=0,0,F352/SUMIFS($F$2:$F$397,$A$2:$A$397,A352))</f>
        <v>0.0476542883959081</v>
      </c>
    </row>
    <row r="353" customFormat="false" ht="15" hidden="false" customHeight="false" outlineLevel="0" collapsed="false">
      <c r="A353" s="10" t="n">
        <v>45870</v>
      </c>
      <c r="B353" s="18" t="n">
        <f aca="false">YEAR(A353)</f>
        <v>2025</v>
      </c>
      <c r="C353" s="19" t="str">
        <f aca="false">"Q"&amp;ROUNDUP(MONTH(A353)/3,0)</f>
        <v>Q3</v>
      </c>
      <c r="D353" s="19" t="s">
        <v>225</v>
      </c>
      <c r="E353" s="19" t="s">
        <v>226</v>
      </c>
      <c r="F353" s="12" t="n">
        <v>14452540</v>
      </c>
      <c r="G353" s="12" t="n">
        <v>1954164</v>
      </c>
      <c r="H353" s="12" t="n">
        <v>229561488</v>
      </c>
      <c r="I353" s="16" t="n">
        <v>42.9</v>
      </c>
      <c r="J353" s="13" t="n">
        <v>0.096</v>
      </c>
      <c r="K353" s="16" t="n">
        <v>19.8</v>
      </c>
      <c r="L353" s="13" t="n">
        <f aca="false">IF(SUMIFS($F$2:$F$397,$A$2:$A$397,A353)=0,0,F353/SUMIFS($F$2:$F$397,$A$2:$A$397,A353))</f>
        <v>0.0905103069395321</v>
      </c>
    </row>
    <row r="354" customFormat="false" ht="15" hidden="false" customHeight="false" outlineLevel="0" collapsed="false">
      <c r="A354" s="10" t="n">
        <v>45901</v>
      </c>
      <c r="B354" s="18" t="n">
        <f aca="false">YEAR(A354)</f>
        <v>2025</v>
      </c>
      <c r="C354" s="19" t="str">
        <f aca="false">"Q"&amp;ROUNDUP(MONTH(A354)/3,0)</f>
        <v>Q3</v>
      </c>
      <c r="D354" s="19" t="s">
        <v>211</v>
      </c>
      <c r="E354" s="19" t="s">
        <v>212</v>
      </c>
      <c r="F354" s="12" t="n">
        <v>44555960</v>
      </c>
      <c r="G354" s="12" t="n">
        <v>6084812</v>
      </c>
      <c r="H354" s="12" t="n">
        <v>734573712</v>
      </c>
      <c r="I354" s="16" t="n">
        <v>44.2</v>
      </c>
      <c r="J354" s="13" t="n">
        <v>0.119</v>
      </c>
      <c r="K354" s="16" t="n">
        <v>24.4</v>
      </c>
      <c r="L354" s="13" t="n">
        <f aca="false">IF(SUMIFS($F$2:$F$397,$A$2:$A$397,A354)=0,0,F354/SUMIFS($F$2:$F$397,$A$2:$A$397,A354))</f>
        <v>0.272364540911965</v>
      </c>
    </row>
    <row r="355" customFormat="false" ht="15" hidden="false" customHeight="false" outlineLevel="0" collapsed="false">
      <c r="A355" s="10" t="n">
        <v>45901</v>
      </c>
      <c r="B355" s="18" t="n">
        <f aca="false">YEAR(A355)</f>
        <v>2025</v>
      </c>
      <c r="C355" s="19" t="str">
        <f aca="false">"Q"&amp;ROUNDUP(MONTH(A355)/3,0)</f>
        <v>Q3</v>
      </c>
      <c r="D355" s="19" t="s">
        <v>213</v>
      </c>
      <c r="E355" s="19" t="s">
        <v>214</v>
      </c>
      <c r="F355" s="12" t="n">
        <v>24633439</v>
      </c>
      <c r="G355" s="12" t="n">
        <v>3616062</v>
      </c>
      <c r="H355" s="12" t="n">
        <v>409936422</v>
      </c>
      <c r="I355" s="16" t="n">
        <v>44.8</v>
      </c>
      <c r="J355" s="13" t="n">
        <v>0.142</v>
      </c>
      <c r="K355" s="16" t="n">
        <v>25.8</v>
      </c>
      <c r="L355" s="13" t="n">
        <f aca="false">IF(SUMIFS($F$2:$F$397,$A$2:$A$397,A355)=0,0,F355/SUMIFS($F$2:$F$397,$A$2:$A$397,A355))</f>
        <v>0.150580871881515</v>
      </c>
    </row>
    <row r="356" customFormat="false" ht="15" hidden="false" customHeight="false" outlineLevel="0" collapsed="false">
      <c r="A356" s="10" t="n">
        <v>45901</v>
      </c>
      <c r="B356" s="18" t="n">
        <f aca="false">YEAR(A356)</f>
        <v>2025</v>
      </c>
      <c r="C356" s="19" t="str">
        <f aca="false">"Q"&amp;ROUNDUP(MONTH(A356)/3,0)</f>
        <v>Q3</v>
      </c>
      <c r="D356" s="19" t="s">
        <v>215</v>
      </c>
      <c r="E356" s="19" t="s">
        <v>214</v>
      </c>
      <c r="F356" s="12" t="n">
        <v>13909543</v>
      </c>
      <c r="G356" s="12" t="n">
        <v>2010562</v>
      </c>
      <c r="H356" s="12" t="n">
        <v>229953640</v>
      </c>
      <c r="I356" s="16" t="n">
        <v>47</v>
      </c>
      <c r="J356" s="13" t="n">
        <v>0.127</v>
      </c>
      <c r="K356" s="16" t="n">
        <v>23.5</v>
      </c>
      <c r="L356" s="13" t="n">
        <f aca="false">IF(SUMIFS($F$2:$F$397,$A$2:$A$397,A356)=0,0,F356/SUMIFS($F$2:$F$397,$A$2:$A$397,A356))</f>
        <v>0.0850271499815117</v>
      </c>
    </row>
    <row r="357" customFormat="false" ht="15" hidden="false" customHeight="false" outlineLevel="0" collapsed="false">
      <c r="A357" s="10" t="n">
        <v>45901</v>
      </c>
      <c r="B357" s="18" t="n">
        <f aca="false">YEAR(A357)</f>
        <v>2025</v>
      </c>
      <c r="C357" s="19" t="str">
        <f aca="false">"Q"&amp;ROUNDUP(MONTH(A357)/3,0)</f>
        <v>Q3</v>
      </c>
      <c r="D357" s="19" t="s">
        <v>216</v>
      </c>
      <c r="E357" s="19" t="s">
        <v>212</v>
      </c>
      <c r="F357" s="12" t="n">
        <v>8801759</v>
      </c>
      <c r="G357" s="12" t="n">
        <v>1205663</v>
      </c>
      <c r="H357" s="12" t="n">
        <v>144906787</v>
      </c>
      <c r="I357" s="16" t="n">
        <v>45.1</v>
      </c>
      <c r="J357" s="13" t="n">
        <v>0.116</v>
      </c>
      <c r="K357" s="16" t="n">
        <v>22.9</v>
      </c>
      <c r="L357" s="13" t="n">
        <f aca="false">IF(SUMIFS($F$2:$F$397,$A$2:$A$397,A357)=0,0,F357/SUMIFS($F$2:$F$397,$A$2:$A$397,A357))</f>
        <v>0.0538039590944232</v>
      </c>
    </row>
    <row r="358" customFormat="false" ht="15" hidden="false" customHeight="false" outlineLevel="0" collapsed="false">
      <c r="A358" s="10" t="n">
        <v>45901</v>
      </c>
      <c r="B358" s="18" t="n">
        <f aca="false">YEAR(A358)</f>
        <v>2025</v>
      </c>
      <c r="C358" s="19" t="str">
        <f aca="false">"Q"&amp;ROUNDUP(MONTH(A358)/3,0)</f>
        <v>Q3</v>
      </c>
      <c r="D358" s="19" t="s">
        <v>217</v>
      </c>
      <c r="E358" s="19" t="s">
        <v>218</v>
      </c>
      <c r="F358" s="12" t="n">
        <v>13123967</v>
      </c>
      <c r="G358" s="12" t="n">
        <v>2009001</v>
      </c>
      <c r="H358" s="12" t="n">
        <v>251034967</v>
      </c>
      <c r="I358" s="16" t="n">
        <v>49.6</v>
      </c>
      <c r="J358" s="13" t="n">
        <v>0.088</v>
      </c>
      <c r="K358" s="16" t="n">
        <v>29.7</v>
      </c>
      <c r="L358" s="13" t="n">
        <f aca="false">IF(SUMIFS($F$2:$F$397,$A$2:$A$397,A358)=0,0,F358/SUMIFS($F$2:$F$397,$A$2:$A$397,A358))</f>
        <v>0.0802250304313671</v>
      </c>
    </row>
    <row r="359" customFormat="false" ht="15" hidden="false" customHeight="false" outlineLevel="0" collapsed="false">
      <c r="A359" s="10" t="n">
        <v>45901</v>
      </c>
      <c r="B359" s="18" t="n">
        <f aca="false">YEAR(A359)</f>
        <v>2025</v>
      </c>
      <c r="C359" s="19" t="str">
        <f aca="false">"Q"&amp;ROUNDUP(MONTH(A359)/3,0)</f>
        <v>Q3</v>
      </c>
      <c r="D359" s="19" t="s">
        <v>219</v>
      </c>
      <c r="E359" s="19" t="s">
        <v>218</v>
      </c>
      <c r="F359" s="12" t="n">
        <v>12238192</v>
      </c>
      <c r="G359" s="12" t="n">
        <v>1777565</v>
      </c>
      <c r="H359" s="12" t="n">
        <v>214676406</v>
      </c>
      <c r="I359" s="16" t="n">
        <v>50</v>
      </c>
      <c r="J359" s="13" t="n">
        <v>0.103</v>
      </c>
      <c r="K359" s="16" t="n">
        <v>28.1</v>
      </c>
      <c r="L359" s="13" t="n">
        <f aca="false">IF(SUMIFS($F$2:$F$397,$A$2:$A$397,A359)=0,0,F359/SUMIFS($F$2:$F$397,$A$2:$A$397,A359))</f>
        <v>0.0748104079829608</v>
      </c>
    </row>
    <row r="360" customFormat="false" ht="15" hidden="false" customHeight="false" outlineLevel="0" collapsed="false">
      <c r="A360" s="10" t="n">
        <v>45901</v>
      </c>
      <c r="B360" s="18" t="n">
        <f aca="false">YEAR(A360)</f>
        <v>2025</v>
      </c>
      <c r="C360" s="19" t="str">
        <f aca="false">"Q"&amp;ROUNDUP(MONTH(A360)/3,0)</f>
        <v>Q3</v>
      </c>
      <c r="D360" s="19" t="s">
        <v>220</v>
      </c>
      <c r="E360" s="19" t="s">
        <v>214</v>
      </c>
      <c r="F360" s="12" t="n">
        <v>7992477</v>
      </c>
      <c r="G360" s="12" t="n">
        <v>1183210</v>
      </c>
      <c r="H360" s="12" t="n">
        <v>131075550</v>
      </c>
      <c r="I360" s="16" t="n">
        <v>45.5</v>
      </c>
      <c r="J360" s="13" t="n">
        <v>0.126</v>
      </c>
      <c r="K360" s="16" t="n">
        <v>22.4</v>
      </c>
      <c r="L360" s="13" t="n">
        <f aca="false">IF(SUMIFS($F$2:$F$397,$A$2:$A$397,A360)=0,0,F360/SUMIFS($F$2:$F$397,$A$2:$A$397,A360))</f>
        <v>0.0488569279812272</v>
      </c>
    </row>
    <row r="361" customFormat="false" ht="15" hidden="false" customHeight="false" outlineLevel="0" collapsed="false">
      <c r="A361" s="10" t="n">
        <v>45901</v>
      </c>
      <c r="B361" s="18" t="n">
        <f aca="false">YEAR(A361)</f>
        <v>2025</v>
      </c>
      <c r="C361" s="19" t="str">
        <f aca="false">"Q"&amp;ROUNDUP(MONTH(A361)/3,0)</f>
        <v>Q3</v>
      </c>
      <c r="D361" s="19" t="s">
        <v>221</v>
      </c>
      <c r="E361" s="19" t="s">
        <v>214</v>
      </c>
      <c r="F361" s="12" t="n">
        <v>5901117</v>
      </c>
      <c r="G361" s="12" t="n">
        <v>786263</v>
      </c>
      <c r="H361" s="12" t="n">
        <v>97298521</v>
      </c>
      <c r="I361" s="16" t="n">
        <v>43.9</v>
      </c>
      <c r="J361" s="13" t="n">
        <v>0.133</v>
      </c>
      <c r="K361" s="16" t="n">
        <v>22.7</v>
      </c>
      <c r="L361" s="13" t="n">
        <f aca="false">IF(SUMIFS($F$2:$F$397,$A$2:$A$397,A361)=0,0,F361/SUMIFS($F$2:$F$397,$A$2:$A$397,A361))</f>
        <v>0.0360727279262481</v>
      </c>
    </row>
    <row r="362" customFormat="false" ht="15" hidden="false" customHeight="false" outlineLevel="0" collapsed="false">
      <c r="A362" s="10" t="n">
        <v>45901</v>
      </c>
      <c r="B362" s="18" t="n">
        <f aca="false">YEAR(A362)</f>
        <v>2025</v>
      </c>
      <c r="C362" s="19" t="str">
        <f aca="false">"Q"&amp;ROUNDUP(MONTH(A362)/3,0)</f>
        <v>Q3</v>
      </c>
      <c r="D362" s="19" t="s">
        <v>222</v>
      </c>
      <c r="E362" s="19" t="s">
        <v>218</v>
      </c>
      <c r="F362" s="12" t="n">
        <v>9630224</v>
      </c>
      <c r="G362" s="12" t="n">
        <v>1441823</v>
      </c>
      <c r="H362" s="12" t="n">
        <v>181069936</v>
      </c>
      <c r="I362" s="16" t="n">
        <v>48.9</v>
      </c>
      <c r="J362" s="13" t="n">
        <v>0.079</v>
      </c>
      <c r="K362" s="16" t="n">
        <v>26.7</v>
      </c>
      <c r="L362" s="13" t="n">
        <f aca="false">IF(SUMIFS($F$2:$F$397,$A$2:$A$397,A362)=0,0,F362/SUMIFS($F$2:$F$397,$A$2:$A$397,A362))</f>
        <v>0.0588682532850686</v>
      </c>
    </row>
    <row r="363" customFormat="false" ht="15" hidden="false" customHeight="false" outlineLevel="0" collapsed="false">
      <c r="A363" s="10" t="n">
        <v>45901</v>
      </c>
      <c r="B363" s="18" t="n">
        <f aca="false">YEAR(A363)</f>
        <v>2025</v>
      </c>
      <c r="C363" s="19" t="str">
        <f aca="false">"Q"&amp;ROUNDUP(MONTH(A363)/3,0)</f>
        <v>Q3</v>
      </c>
      <c r="D363" s="19" t="s">
        <v>223</v>
      </c>
      <c r="E363" s="19" t="s">
        <v>224</v>
      </c>
      <c r="F363" s="12" t="n">
        <v>7966425</v>
      </c>
      <c r="G363" s="12" t="n">
        <v>1141211</v>
      </c>
      <c r="H363" s="12" t="n">
        <v>138710222</v>
      </c>
      <c r="I363" s="16" t="n">
        <v>44.7</v>
      </c>
      <c r="J363" s="13" t="n">
        <v>0.11</v>
      </c>
      <c r="K363" s="16" t="n">
        <v>21.7</v>
      </c>
      <c r="L363" s="13" t="n">
        <f aca="false">IF(SUMIFS($F$2:$F$397,$A$2:$A$397,A363)=0,0,F363/SUMIFS($F$2:$F$397,$A$2:$A$397,A363))</f>
        <v>0.0486976756383343</v>
      </c>
    </row>
    <row r="364" customFormat="false" ht="15" hidden="false" customHeight="false" outlineLevel="0" collapsed="false">
      <c r="A364" s="10" t="n">
        <v>45901</v>
      </c>
      <c r="B364" s="18" t="n">
        <f aca="false">YEAR(A364)</f>
        <v>2025</v>
      </c>
      <c r="C364" s="19" t="str">
        <f aca="false">"Q"&amp;ROUNDUP(MONTH(A364)/3,0)</f>
        <v>Q3</v>
      </c>
      <c r="D364" s="19" t="s">
        <v>225</v>
      </c>
      <c r="E364" s="19" t="s">
        <v>226</v>
      </c>
      <c r="F364" s="12" t="n">
        <v>14836327</v>
      </c>
      <c r="G364" s="12" t="n">
        <v>2220206</v>
      </c>
      <c r="H364" s="12" t="n">
        <v>246012444</v>
      </c>
      <c r="I364" s="16" t="n">
        <v>42.4</v>
      </c>
      <c r="J364" s="13" t="n">
        <v>0.096</v>
      </c>
      <c r="K364" s="16" t="n">
        <v>20.1</v>
      </c>
      <c r="L364" s="13" t="n">
        <f aca="false">IF(SUMIFS($F$2:$F$397,$A$2:$A$397,A364)=0,0,F364/SUMIFS($F$2:$F$397,$A$2:$A$397,A364))</f>
        <v>0.0906924548853798</v>
      </c>
    </row>
    <row r="365" customFormat="false" ht="15" hidden="false" customHeight="false" outlineLevel="0" collapsed="false">
      <c r="A365" s="10" t="n">
        <v>45931</v>
      </c>
      <c r="B365" s="18" t="n">
        <f aca="false">YEAR(A365)</f>
        <v>2025</v>
      </c>
      <c r="C365" s="19" t="str">
        <f aca="false">"Q"&amp;ROUNDUP(MONTH(A365)/3,0)</f>
        <v>Q4</v>
      </c>
      <c r="D365" s="19" t="s">
        <v>211</v>
      </c>
      <c r="E365" s="19" t="s">
        <v>212</v>
      </c>
      <c r="F365" s="12" t="n">
        <v>44544596</v>
      </c>
      <c r="G365" s="12" t="n">
        <v>6485754</v>
      </c>
      <c r="H365" s="12" t="n">
        <v>751095174</v>
      </c>
      <c r="I365" s="16" t="n">
        <v>45.7</v>
      </c>
      <c r="J365" s="13" t="n">
        <v>0.121</v>
      </c>
      <c r="K365" s="16" t="n">
        <v>24.2</v>
      </c>
      <c r="L365" s="13" t="n">
        <f aca="false">IF(SUMIFS($F$2:$F$397,$A$2:$A$397,A365)=0,0,F365/SUMIFS($F$2:$F$397,$A$2:$A$397,A365))</f>
        <v>0.268774500553528</v>
      </c>
    </row>
    <row r="366" customFormat="false" ht="15" hidden="false" customHeight="false" outlineLevel="0" collapsed="false">
      <c r="A366" s="10" t="n">
        <v>45931</v>
      </c>
      <c r="B366" s="18" t="n">
        <f aca="false">YEAR(A366)</f>
        <v>2025</v>
      </c>
      <c r="C366" s="19" t="str">
        <f aca="false">"Q"&amp;ROUNDUP(MONTH(A366)/3,0)</f>
        <v>Q4</v>
      </c>
      <c r="D366" s="19" t="s">
        <v>213</v>
      </c>
      <c r="E366" s="19" t="s">
        <v>214</v>
      </c>
      <c r="F366" s="12" t="n">
        <v>25648157</v>
      </c>
      <c r="G366" s="12" t="n">
        <v>3868110</v>
      </c>
      <c r="H366" s="12" t="n">
        <v>441275256</v>
      </c>
      <c r="I366" s="16" t="n">
        <v>45.9</v>
      </c>
      <c r="J366" s="13" t="n">
        <v>0.133</v>
      </c>
      <c r="K366" s="16" t="n">
        <v>25.2</v>
      </c>
      <c r="L366" s="13" t="n">
        <f aca="false">IF(SUMIFS($F$2:$F$397,$A$2:$A$397,A366)=0,0,F366/SUMIFS($F$2:$F$397,$A$2:$A$397,A366))</f>
        <v>0.154756608137011</v>
      </c>
    </row>
    <row r="367" customFormat="false" ht="15" hidden="false" customHeight="false" outlineLevel="0" collapsed="false">
      <c r="A367" s="10" t="n">
        <v>45931</v>
      </c>
      <c r="B367" s="18" t="n">
        <f aca="false">YEAR(A367)</f>
        <v>2025</v>
      </c>
      <c r="C367" s="19" t="str">
        <f aca="false">"Q"&amp;ROUNDUP(MONTH(A367)/3,0)</f>
        <v>Q4</v>
      </c>
      <c r="D367" s="19" t="s">
        <v>215</v>
      </c>
      <c r="E367" s="19" t="s">
        <v>214</v>
      </c>
      <c r="F367" s="12" t="n">
        <v>14136974</v>
      </c>
      <c r="G367" s="12" t="n">
        <v>2184037</v>
      </c>
      <c r="H367" s="12" t="n">
        <v>242266491</v>
      </c>
      <c r="I367" s="16" t="n">
        <v>45.9</v>
      </c>
      <c r="J367" s="13" t="n">
        <v>0.13</v>
      </c>
      <c r="K367" s="16" t="n">
        <v>23.3</v>
      </c>
      <c r="L367" s="13" t="n">
        <f aca="false">IF(SUMIFS($F$2:$F$397,$A$2:$A$397,A367)=0,0,F367/SUMIFS($F$2:$F$397,$A$2:$A$397,A367))</f>
        <v>0.0853000917594632</v>
      </c>
    </row>
    <row r="368" customFormat="false" ht="15" hidden="false" customHeight="false" outlineLevel="0" collapsed="false">
      <c r="A368" s="10" t="n">
        <v>45931</v>
      </c>
      <c r="B368" s="18" t="n">
        <f aca="false">YEAR(A368)</f>
        <v>2025</v>
      </c>
      <c r="C368" s="19" t="str">
        <f aca="false">"Q"&amp;ROUNDUP(MONTH(A368)/3,0)</f>
        <v>Q4</v>
      </c>
      <c r="D368" s="19" t="s">
        <v>216</v>
      </c>
      <c r="E368" s="19" t="s">
        <v>212</v>
      </c>
      <c r="F368" s="12" t="n">
        <v>8886886</v>
      </c>
      <c r="G368" s="12" t="n">
        <v>1282812</v>
      </c>
      <c r="H368" s="12" t="n">
        <v>149195319</v>
      </c>
      <c r="I368" s="16" t="n">
        <v>46</v>
      </c>
      <c r="J368" s="13" t="n">
        <v>0.114</v>
      </c>
      <c r="K368" s="16" t="n">
        <v>22</v>
      </c>
      <c r="L368" s="13" t="n">
        <f aca="false">IF(SUMIFS($F$2:$F$397,$A$2:$A$397,A368)=0,0,F368/SUMIFS($F$2:$F$397,$A$2:$A$397,A368))</f>
        <v>0.0536219555370116</v>
      </c>
    </row>
    <row r="369" customFormat="false" ht="15" hidden="false" customHeight="false" outlineLevel="0" collapsed="false">
      <c r="A369" s="10" t="n">
        <v>45931</v>
      </c>
      <c r="B369" s="18" t="n">
        <f aca="false">YEAR(A369)</f>
        <v>2025</v>
      </c>
      <c r="C369" s="19" t="str">
        <f aca="false">"Q"&amp;ROUNDUP(MONTH(A369)/3,0)</f>
        <v>Q4</v>
      </c>
      <c r="D369" s="19" t="s">
        <v>217</v>
      </c>
      <c r="E369" s="19" t="s">
        <v>218</v>
      </c>
      <c r="F369" s="12" t="n">
        <v>14468271</v>
      </c>
      <c r="G369" s="12" t="n">
        <v>2159057</v>
      </c>
      <c r="H369" s="12" t="n">
        <v>278174788</v>
      </c>
      <c r="I369" s="16" t="n">
        <v>50.6</v>
      </c>
      <c r="J369" s="13" t="n">
        <v>0.085</v>
      </c>
      <c r="K369" s="16" t="n">
        <v>30.3</v>
      </c>
      <c r="L369" s="13" t="n">
        <f aca="false">IF(SUMIFS($F$2:$F$397,$A$2:$A$397,A369)=0,0,F369/SUMIFS($F$2:$F$397,$A$2:$A$397,A369))</f>
        <v>0.0872990813947016</v>
      </c>
    </row>
    <row r="370" customFormat="false" ht="15" hidden="false" customHeight="false" outlineLevel="0" collapsed="false">
      <c r="A370" s="10" t="n">
        <v>45931</v>
      </c>
      <c r="B370" s="18" t="n">
        <f aca="false">YEAR(A370)</f>
        <v>2025</v>
      </c>
      <c r="C370" s="19" t="str">
        <f aca="false">"Q"&amp;ROUNDUP(MONTH(A370)/3,0)</f>
        <v>Q4</v>
      </c>
      <c r="D370" s="19" t="s">
        <v>219</v>
      </c>
      <c r="E370" s="19" t="s">
        <v>218</v>
      </c>
      <c r="F370" s="12" t="n">
        <v>12036427</v>
      </c>
      <c r="G370" s="12" t="n">
        <v>1733316</v>
      </c>
      <c r="H370" s="12" t="n">
        <v>219231632</v>
      </c>
      <c r="I370" s="16" t="n">
        <v>50.8</v>
      </c>
      <c r="J370" s="13" t="n">
        <v>0.105</v>
      </c>
      <c r="K370" s="16" t="n">
        <v>28.8</v>
      </c>
      <c r="L370" s="13" t="n">
        <f aca="false">IF(SUMIFS($F$2:$F$397,$A$2:$A$397,A370)=0,0,F370/SUMIFS($F$2:$F$397,$A$2:$A$397,A370))</f>
        <v>0.0726257491565083</v>
      </c>
    </row>
    <row r="371" customFormat="false" ht="15" hidden="false" customHeight="false" outlineLevel="0" collapsed="false">
      <c r="A371" s="10" t="n">
        <v>45931</v>
      </c>
      <c r="B371" s="18" t="n">
        <f aca="false">YEAR(A371)</f>
        <v>2025</v>
      </c>
      <c r="C371" s="19" t="str">
        <f aca="false">"Q"&amp;ROUNDUP(MONTH(A371)/3,0)</f>
        <v>Q4</v>
      </c>
      <c r="D371" s="19" t="s">
        <v>220</v>
      </c>
      <c r="E371" s="19" t="s">
        <v>214</v>
      </c>
      <c r="F371" s="12" t="n">
        <v>7970606</v>
      </c>
      <c r="G371" s="12" t="n">
        <v>1209783</v>
      </c>
      <c r="H371" s="12" t="n">
        <v>122927029</v>
      </c>
      <c r="I371" s="16" t="n">
        <v>46.9</v>
      </c>
      <c r="J371" s="13" t="n">
        <v>0.127</v>
      </c>
      <c r="K371" s="16" t="n">
        <v>23.5</v>
      </c>
      <c r="L371" s="13" t="n">
        <f aca="false">IF(SUMIFS($F$2:$F$397,$A$2:$A$397,A371)=0,0,F371/SUMIFS($F$2:$F$397,$A$2:$A$397,A371))</f>
        <v>0.0480932781780972</v>
      </c>
    </row>
    <row r="372" customFormat="false" ht="15" hidden="false" customHeight="false" outlineLevel="0" collapsed="false">
      <c r="A372" s="10" t="n">
        <v>45931</v>
      </c>
      <c r="B372" s="18" t="n">
        <f aca="false">YEAR(A372)</f>
        <v>2025</v>
      </c>
      <c r="C372" s="19" t="str">
        <f aca="false">"Q"&amp;ROUNDUP(MONTH(A372)/3,0)</f>
        <v>Q4</v>
      </c>
      <c r="D372" s="19" t="s">
        <v>221</v>
      </c>
      <c r="E372" s="19" t="s">
        <v>214</v>
      </c>
      <c r="F372" s="12" t="n">
        <v>5632516</v>
      </c>
      <c r="G372" s="12" t="n">
        <v>756594</v>
      </c>
      <c r="H372" s="12" t="n">
        <v>94925139</v>
      </c>
      <c r="I372" s="16" t="n">
        <v>44.8</v>
      </c>
      <c r="J372" s="13" t="n">
        <v>0.122</v>
      </c>
      <c r="K372" s="16" t="n">
        <v>23</v>
      </c>
      <c r="L372" s="13" t="n">
        <f aca="false">IF(SUMIFS($F$2:$F$397,$A$2:$A$397,A372)=0,0,F372/SUMIFS($F$2:$F$397,$A$2:$A$397,A372))</f>
        <v>0.0339856415974624</v>
      </c>
    </row>
    <row r="373" customFormat="false" ht="15" hidden="false" customHeight="false" outlineLevel="0" collapsed="false">
      <c r="A373" s="10" t="n">
        <v>45931</v>
      </c>
      <c r="B373" s="18" t="n">
        <f aca="false">YEAR(A373)</f>
        <v>2025</v>
      </c>
      <c r="C373" s="19" t="str">
        <f aca="false">"Q"&amp;ROUNDUP(MONTH(A373)/3,0)</f>
        <v>Q4</v>
      </c>
      <c r="D373" s="19" t="s">
        <v>222</v>
      </c>
      <c r="E373" s="19" t="s">
        <v>218</v>
      </c>
      <c r="F373" s="12" t="n">
        <v>10138193</v>
      </c>
      <c r="G373" s="12" t="n">
        <v>1616623</v>
      </c>
      <c r="H373" s="12" t="n">
        <v>174491065</v>
      </c>
      <c r="I373" s="16" t="n">
        <v>48.1</v>
      </c>
      <c r="J373" s="13" t="n">
        <v>0.084</v>
      </c>
      <c r="K373" s="16" t="n">
        <v>28.4</v>
      </c>
      <c r="L373" s="13" t="n">
        <f aca="false">IF(SUMIFS($F$2:$F$397,$A$2:$A$397,A373)=0,0,F373/SUMIFS($F$2:$F$397,$A$2:$A$397,A373))</f>
        <v>0.0611721287154626</v>
      </c>
    </row>
    <row r="374" customFormat="false" ht="15" hidden="false" customHeight="false" outlineLevel="0" collapsed="false">
      <c r="A374" s="10" t="n">
        <v>45931</v>
      </c>
      <c r="B374" s="18" t="n">
        <f aca="false">YEAR(A374)</f>
        <v>2025</v>
      </c>
      <c r="C374" s="19" t="str">
        <f aca="false">"Q"&amp;ROUNDUP(MONTH(A374)/3,0)</f>
        <v>Q4</v>
      </c>
      <c r="D374" s="19" t="s">
        <v>223</v>
      </c>
      <c r="E374" s="19" t="s">
        <v>224</v>
      </c>
      <c r="F374" s="12" t="n">
        <v>7612669</v>
      </c>
      <c r="G374" s="12" t="n">
        <v>1037148</v>
      </c>
      <c r="H374" s="12" t="n">
        <v>126350312</v>
      </c>
      <c r="I374" s="16" t="n">
        <v>45.2</v>
      </c>
      <c r="J374" s="13" t="n">
        <v>0.103</v>
      </c>
      <c r="K374" s="16" t="n">
        <v>22.2</v>
      </c>
      <c r="L374" s="13" t="n">
        <f aca="false">IF(SUMIFS($F$2:$F$397,$A$2:$A$397,A374)=0,0,F374/SUMIFS($F$2:$F$397,$A$2:$A$397,A374))</f>
        <v>0.0459335473230991</v>
      </c>
    </row>
    <row r="375" customFormat="false" ht="15" hidden="false" customHeight="false" outlineLevel="0" collapsed="false">
      <c r="A375" s="10" t="n">
        <v>45931</v>
      </c>
      <c r="B375" s="18" t="n">
        <f aca="false">YEAR(A375)</f>
        <v>2025</v>
      </c>
      <c r="C375" s="19" t="str">
        <f aca="false">"Q"&amp;ROUNDUP(MONTH(A375)/3,0)</f>
        <v>Q4</v>
      </c>
      <c r="D375" s="19" t="s">
        <v>225</v>
      </c>
      <c r="E375" s="19" t="s">
        <v>226</v>
      </c>
      <c r="F375" s="12" t="n">
        <v>14656930</v>
      </c>
      <c r="G375" s="12" t="n">
        <v>2246718</v>
      </c>
      <c r="H375" s="12" t="n">
        <v>228866892</v>
      </c>
      <c r="I375" s="16" t="n">
        <v>43.2</v>
      </c>
      <c r="J375" s="13" t="n">
        <v>0.096</v>
      </c>
      <c r="K375" s="16" t="n">
        <v>20.4</v>
      </c>
      <c r="L375" s="13" t="n">
        <f aca="false">IF(SUMIFS($F$2:$F$397,$A$2:$A$397,A375)=0,0,F375/SUMIFS($F$2:$F$397,$A$2:$A$397,A375))</f>
        <v>0.0884374176476542</v>
      </c>
    </row>
    <row r="376" customFormat="false" ht="15" hidden="false" customHeight="false" outlineLevel="0" collapsed="false">
      <c r="A376" s="10" t="n">
        <v>45962</v>
      </c>
      <c r="B376" s="18" t="n">
        <f aca="false">YEAR(A376)</f>
        <v>2025</v>
      </c>
      <c r="C376" s="19" t="str">
        <f aca="false">"Q"&amp;ROUNDUP(MONTH(A376)/3,0)</f>
        <v>Q4</v>
      </c>
      <c r="D376" s="19" t="s">
        <v>211</v>
      </c>
      <c r="E376" s="19" t="s">
        <v>212</v>
      </c>
      <c r="F376" s="12" t="n">
        <v>45498920</v>
      </c>
      <c r="G376" s="12" t="n">
        <v>5781273</v>
      </c>
      <c r="H376" s="12" t="n">
        <v>765311272</v>
      </c>
      <c r="I376" s="16" t="n">
        <v>45.7</v>
      </c>
      <c r="J376" s="13" t="n">
        <v>0.117</v>
      </c>
      <c r="K376" s="16" t="n">
        <v>25</v>
      </c>
      <c r="L376" s="13" t="n">
        <f aca="false">IF(SUMIFS($F$2:$F$397,$A$2:$A$397,A376)=0,0,F376/SUMIFS($F$2:$F$397,$A$2:$A$397,A376))</f>
        <v>0.271958618463808</v>
      </c>
    </row>
    <row r="377" customFormat="false" ht="15" hidden="false" customHeight="false" outlineLevel="0" collapsed="false">
      <c r="A377" s="10" t="n">
        <v>45962</v>
      </c>
      <c r="B377" s="18" t="n">
        <f aca="false">YEAR(A377)</f>
        <v>2025</v>
      </c>
      <c r="C377" s="19" t="str">
        <f aca="false">"Q"&amp;ROUNDUP(MONTH(A377)/3,0)</f>
        <v>Q4</v>
      </c>
      <c r="D377" s="19" t="s">
        <v>213</v>
      </c>
      <c r="E377" s="19" t="s">
        <v>214</v>
      </c>
      <c r="F377" s="12" t="n">
        <v>24968397</v>
      </c>
      <c r="G377" s="12" t="n">
        <v>3568809</v>
      </c>
      <c r="H377" s="12" t="n">
        <v>413839890</v>
      </c>
      <c r="I377" s="16" t="n">
        <v>47</v>
      </c>
      <c r="J377" s="13" t="n">
        <v>0.137</v>
      </c>
      <c r="K377" s="16" t="n">
        <v>24.5</v>
      </c>
      <c r="L377" s="13" t="n">
        <f aca="false">IF(SUMIFS($F$2:$F$397,$A$2:$A$397,A377)=0,0,F377/SUMIFS($F$2:$F$397,$A$2:$A$397,A377))</f>
        <v>0.149242460115007</v>
      </c>
    </row>
    <row r="378" customFormat="false" ht="15" hidden="false" customHeight="false" outlineLevel="0" collapsed="false">
      <c r="A378" s="10" t="n">
        <v>45962</v>
      </c>
      <c r="B378" s="18" t="n">
        <f aca="false">YEAR(A378)</f>
        <v>2025</v>
      </c>
      <c r="C378" s="19" t="str">
        <f aca="false">"Q"&amp;ROUNDUP(MONTH(A378)/3,0)</f>
        <v>Q4</v>
      </c>
      <c r="D378" s="19" t="s">
        <v>215</v>
      </c>
      <c r="E378" s="19" t="s">
        <v>214</v>
      </c>
      <c r="F378" s="12" t="n">
        <v>14530889</v>
      </c>
      <c r="G378" s="12" t="n">
        <v>2084443</v>
      </c>
      <c r="H378" s="12" t="n">
        <v>240924100</v>
      </c>
      <c r="I378" s="16" t="n">
        <v>46.9</v>
      </c>
      <c r="J378" s="13" t="n">
        <v>0.128</v>
      </c>
      <c r="K378" s="16" t="n">
        <v>23.7</v>
      </c>
      <c r="L378" s="13" t="n">
        <f aca="false">IF(SUMIFS($F$2:$F$397,$A$2:$A$397,A378)=0,0,F378/SUMIFS($F$2:$F$397,$A$2:$A$397,A378))</f>
        <v>0.0868548197955236</v>
      </c>
    </row>
    <row r="379" customFormat="false" ht="15" hidden="false" customHeight="false" outlineLevel="0" collapsed="false">
      <c r="A379" s="10" t="n">
        <v>45962</v>
      </c>
      <c r="B379" s="18" t="n">
        <f aca="false">YEAR(A379)</f>
        <v>2025</v>
      </c>
      <c r="C379" s="19" t="str">
        <f aca="false">"Q"&amp;ROUNDUP(MONTH(A379)/3,0)</f>
        <v>Q4</v>
      </c>
      <c r="D379" s="19" t="s">
        <v>216</v>
      </c>
      <c r="E379" s="19" t="s">
        <v>212</v>
      </c>
      <c r="F379" s="12" t="n">
        <v>9702421</v>
      </c>
      <c r="G379" s="12" t="n">
        <v>1242680</v>
      </c>
      <c r="H379" s="12" t="n">
        <v>162130431</v>
      </c>
      <c r="I379" s="16" t="n">
        <v>43.6</v>
      </c>
      <c r="J379" s="13" t="n">
        <v>0.117</v>
      </c>
      <c r="K379" s="16" t="n">
        <v>21.9</v>
      </c>
      <c r="L379" s="13" t="n">
        <f aca="false">IF(SUMIFS($F$2:$F$397,$A$2:$A$397,A379)=0,0,F379/SUMIFS($F$2:$F$397,$A$2:$A$397,A379))</f>
        <v>0.0579938383353767</v>
      </c>
    </row>
    <row r="380" customFormat="false" ht="15" hidden="false" customHeight="false" outlineLevel="0" collapsed="false">
      <c r="A380" s="10" t="n">
        <v>45962</v>
      </c>
      <c r="B380" s="18" t="n">
        <f aca="false">YEAR(A380)</f>
        <v>2025</v>
      </c>
      <c r="C380" s="19" t="str">
        <f aca="false">"Q"&amp;ROUNDUP(MONTH(A380)/3,0)</f>
        <v>Q4</v>
      </c>
      <c r="D380" s="19" t="s">
        <v>217</v>
      </c>
      <c r="E380" s="19" t="s">
        <v>218</v>
      </c>
      <c r="F380" s="12" t="n">
        <v>14776085</v>
      </c>
      <c r="G380" s="12" t="n">
        <v>2174942</v>
      </c>
      <c r="H380" s="12" t="n">
        <v>269447682</v>
      </c>
      <c r="I380" s="16" t="n">
        <v>52.3</v>
      </c>
      <c r="J380" s="13" t="n">
        <v>0.087</v>
      </c>
      <c r="K380" s="16" t="n">
        <v>29.9</v>
      </c>
      <c r="L380" s="13" t="n">
        <f aca="false">IF(SUMIFS($F$2:$F$397,$A$2:$A$397,A380)=0,0,F380/SUMIFS($F$2:$F$397,$A$2:$A$397,A380))</f>
        <v>0.0883204186583725</v>
      </c>
    </row>
    <row r="381" customFormat="false" ht="15" hidden="false" customHeight="false" outlineLevel="0" collapsed="false">
      <c r="A381" s="10" t="n">
        <v>45962</v>
      </c>
      <c r="B381" s="18" t="n">
        <f aca="false">YEAR(A381)</f>
        <v>2025</v>
      </c>
      <c r="C381" s="19" t="str">
        <f aca="false">"Q"&amp;ROUNDUP(MONTH(A381)/3,0)</f>
        <v>Q4</v>
      </c>
      <c r="D381" s="19" t="s">
        <v>219</v>
      </c>
      <c r="E381" s="19" t="s">
        <v>218</v>
      </c>
      <c r="F381" s="12" t="n">
        <v>11716585</v>
      </c>
      <c r="G381" s="12" t="n">
        <v>1598901</v>
      </c>
      <c r="H381" s="12" t="n">
        <v>222555566</v>
      </c>
      <c r="I381" s="16" t="n">
        <v>50.2</v>
      </c>
      <c r="J381" s="13" t="n">
        <v>0.105</v>
      </c>
      <c r="K381" s="16" t="n">
        <v>28.6</v>
      </c>
      <c r="L381" s="13" t="n">
        <f aca="false">IF(SUMIFS($F$2:$F$397,$A$2:$A$397,A381)=0,0,F381/SUMIFS($F$2:$F$397,$A$2:$A$397,A381))</f>
        <v>0.0700330089090857</v>
      </c>
    </row>
    <row r="382" customFormat="false" ht="15" hidden="false" customHeight="false" outlineLevel="0" collapsed="false">
      <c r="A382" s="10" t="n">
        <v>45962</v>
      </c>
      <c r="B382" s="18" t="n">
        <f aca="false">YEAR(A382)</f>
        <v>2025</v>
      </c>
      <c r="C382" s="19" t="str">
        <f aca="false">"Q"&amp;ROUNDUP(MONTH(A382)/3,0)</f>
        <v>Q4</v>
      </c>
      <c r="D382" s="19" t="s">
        <v>220</v>
      </c>
      <c r="E382" s="19" t="s">
        <v>214</v>
      </c>
      <c r="F382" s="12" t="n">
        <v>7219484</v>
      </c>
      <c r="G382" s="12" t="n">
        <v>942008</v>
      </c>
      <c r="H382" s="12" t="n">
        <v>122227308</v>
      </c>
      <c r="I382" s="16" t="n">
        <v>44.2</v>
      </c>
      <c r="J382" s="13" t="n">
        <v>0.126</v>
      </c>
      <c r="K382" s="16" t="n">
        <v>23.3</v>
      </c>
      <c r="L382" s="13" t="n">
        <f aca="false">IF(SUMIFS($F$2:$F$397,$A$2:$A$397,A382)=0,0,F382/SUMIFS($F$2:$F$397,$A$2:$A$397,A382))</f>
        <v>0.0431526922982253</v>
      </c>
    </row>
    <row r="383" customFormat="false" ht="15" hidden="false" customHeight="false" outlineLevel="0" collapsed="false">
      <c r="A383" s="10" t="n">
        <v>45962</v>
      </c>
      <c r="B383" s="18" t="n">
        <f aca="false">YEAR(A383)</f>
        <v>2025</v>
      </c>
      <c r="C383" s="19" t="str">
        <f aca="false">"Q"&amp;ROUNDUP(MONTH(A383)/3,0)</f>
        <v>Q4</v>
      </c>
      <c r="D383" s="19" t="s">
        <v>221</v>
      </c>
      <c r="E383" s="19" t="s">
        <v>214</v>
      </c>
      <c r="F383" s="12" t="n">
        <v>5535091</v>
      </c>
      <c r="G383" s="12" t="n">
        <v>793182</v>
      </c>
      <c r="H383" s="12" t="n">
        <v>89391064</v>
      </c>
      <c r="I383" s="16" t="n">
        <v>44.6</v>
      </c>
      <c r="J383" s="13" t="n">
        <v>0.135</v>
      </c>
      <c r="K383" s="16" t="n">
        <v>22.5</v>
      </c>
      <c r="L383" s="13" t="n">
        <f aca="false">IF(SUMIFS($F$2:$F$397,$A$2:$A$397,A383)=0,0,F383/SUMIFS($F$2:$F$397,$A$2:$A$397,A383))</f>
        <v>0.033084646875826</v>
      </c>
    </row>
    <row r="384" customFormat="false" ht="15" hidden="false" customHeight="false" outlineLevel="0" collapsed="false">
      <c r="A384" s="10" t="n">
        <v>45962</v>
      </c>
      <c r="B384" s="18" t="n">
        <f aca="false">YEAR(A384)</f>
        <v>2025</v>
      </c>
      <c r="C384" s="19" t="str">
        <f aca="false">"Q"&amp;ROUNDUP(MONTH(A384)/3,0)</f>
        <v>Q4</v>
      </c>
      <c r="D384" s="19" t="s">
        <v>222</v>
      </c>
      <c r="E384" s="19" t="s">
        <v>218</v>
      </c>
      <c r="F384" s="12" t="n">
        <v>9841356</v>
      </c>
      <c r="G384" s="12" t="n">
        <v>1561357</v>
      </c>
      <c r="H384" s="12" t="n">
        <v>181261607</v>
      </c>
      <c r="I384" s="16" t="n">
        <v>50.7</v>
      </c>
      <c r="J384" s="13" t="n">
        <v>0.085</v>
      </c>
      <c r="K384" s="16" t="n">
        <v>27.5</v>
      </c>
      <c r="L384" s="13" t="n">
        <f aca="false">IF(SUMIFS($F$2:$F$397,$A$2:$A$397,A384)=0,0,F384/SUMIFS($F$2:$F$397,$A$2:$A$397,A384))</f>
        <v>0.0588242881714667</v>
      </c>
    </row>
    <row r="385" customFormat="false" ht="15" hidden="false" customHeight="false" outlineLevel="0" collapsed="false">
      <c r="A385" s="10" t="n">
        <v>45962</v>
      </c>
      <c r="B385" s="18" t="n">
        <f aca="false">YEAR(A385)</f>
        <v>2025</v>
      </c>
      <c r="C385" s="19" t="str">
        <f aca="false">"Q"&amp;ROUNDUP(MONTH(A385)/3,0)</f>
        <v>Q4</v>
      </c>
      <c r="D385" s="19" t="s">
        <v>223</v>
      </c>
      <c r="E385" s="19" t="s">
        <v>224</v>
      </c>
      <c r="F385" s="12" t="n">
        <v>8093394</v>
      </c>
      <c r="G385" s="12" t="n">
        <v>1287424</v>
      </c>
      <c r="H385" s="12" t="n">
        <v>132255550</v>
      </c>
      <c r="I385" s="16" t="n">
        <v>44.9</v>
      </c>
      <c r="J385" s="13" t="n">
        <v>0.11</v>
      </c>
      <c r="K385" s="16" t="n">
        <v>21.1</v>
      </c>
      <c r="L385" s="13" t="n">
        <f aca="false">IF(SUMIFS($F$2:$F$397,$A$2:$A$397,A385)=0,0,F385/SUMIFS($F$2:$F$397,$A$2:$A$397,A385))</f>
        <v>0.0483762746659322</v>
      </c>
    </row>
    <row r="386" customFormat="false" ht="15" hidden="false" customHeight="false" outlineLevel="0" collapsed="false">
      <c r="A386" s="10" t="n">
        <v>45962</v>
      </c>
      <c r="B386" s="18" t="n">
        <f aca="false">YEAR(A386)</f>
        <v>2025</v>
      </c>
      <c r="C386" s="19" t="str">
        <f aca="false">"Q"&amp;ROUNDUP(MONTH(A386)/3,0)</f>
        <v>Q4</v>
      </c>
      <c r="D386" s="19" t="s">
        <v>225</v>
      </c>
      <c r="E386" s="19" t="s">
        <v>226</v>
      </c>
      <c r="F386" s="12" t="n">
        <v>15418272</v>
      </c>
      <c r="G386" s="12" t="n">
        <v>2315963</v>
      </c>
      <c r="H386" s="12" t="n">
        <v>245495489</v>
      </c>
      <c r="I386" s="16" t="n">
        <v>43.1</v>
      </c>
      <c r="J386" s="13" t="n">
        <v>0.098</v>
      </c>
      <c r="K386" s="16" t="n">
        <v>19.8</v>
      </c>
      <c r="L386" s="13" t="n">
        <f aca="false">IF(SUMIFS($F$2:$F$397,$A$2:$A$397,A386)=0,0,F386/SUMIFS($F$2:$F$397,$A$2:$A$397,A386))</f>
        <v>0.0921589337113764</v>
      </c>
    </row>
    <row r="387" customFormat="false" ht="15" hidden="false" customHeight="false" outlineLevel="0" collapsed="false">
      <c r="A387" s="10" t="n">
        <v>45992</v>
      </c>
      <c r="B387" s="18" t="n">
        <f aca="false">YEAR(A387)</f>
        <v>2025</v>
      </c>
      <c r="C387" s="19" t="str">
        <f aca="false">"Q"&amp;ROUNDUP(MONTH(A387)/3,0)</f>
        <v>Q4</v>
      </c>
      <c r="D387" s="19" t="s">
        <v>211</v>
      </c>
      <c r="E387" s="19" t="s">
        <v>212</v>
      </c>
      <c r="F387" s="12" t="n">
        <v>43631028</v>
      </c>
      <c r="G387" s="12" t="n">
        <v>5586321</v>
      </c>
      <c r="H387" s="12" t="n">
        <v>725740357</v>
      </c>
      <c r="I387" s="16" t="n">
        <v>45.6</v>
      </c>
      <c r="J387" s="13" t="n">
        <v>0.116</v>
      </c>
      <c r="K387" s="16" t="n">
        <v>24.2</v>
      </c>
      <c r="L387" s="13" t="n">
        <f aca="false">IF(SUMIFS($F$2:$F$397,$A$2:$A$397,A387)=0,0,F387/SUMIFS($F$2:$F$397,$A$2:$A$397,A387))</f>
        <v>0.259534190349407</v>
      </c>
    </row>
    <row r="388" customFormat="false" ht="15" hidden="false" customHeight="false" outlineLevel="0" collapsed="false">
      <c r="A388" s="10" t="n">
        <v>45992</v>
      </c>
      <c r="B388" s="18" t="n">
        <f aca="false">YEAR(A388)</f>
        <v>2025</v>
      </c>
      <c r="C388" s="19" t="str">
        <f aca="false">"Q"&amp;ROUNDUP(MONTH(A388)/3,0)</f>
        <v>Q4</v>
      </c>
      <c r="D388" s="19" t="s">
        <v>213</v>
      </c>
      <c r="E388" s="19" t="s">
        <v>214</v>
      </c>
      <c r="F388" s="12" t="n">
        <v>25214432</v>
      </c>
      <c r="G388" s="12" t="n">
        <v>3564964</v>
      </c>
      <c r="H388" s="12" t="n">
        <v>440149371</v>
      </c>
      <c r="I388" s="16" t="n">
        <v>46.4</v>
      </c>
      <c r="J388" s="13" t="n">
        <v>0.141</v>
      </c>
      <c r="K388" s="16" t="n">
        <v>27.3</v>
      </c>
      <c r="L388" s="13" t="n">
        <f aca="false">IF(SUMIFS($F$2:$F$397,$A$2:$A$397,A388)=0,0,F388/SUMIFS($F$2:$F$397,$A$2:$A$397,A388))</f>
        <v>0.149985170971451</v>
      </c>
    </row>
    <row r="389" customFormat="false" ht="15" hidden="false" customHeight="false" outlineLevel="0" collapsed="false">
      <c r="A389" s="10" t="n">
        <v>45992</v>
      </c>
      <c r="B389" s="18" t="n">
        <f aca="false">YEAR(A389)</f>
        <v>2025</v>
      </c>
      <c r="C389" s="19" t="str">
        <f aca="false">"Q"&amp;ROUNDUP(MONTH(A389)/3,0)</f>
        <v>Q4</v>
      </c>
      <c r="D389" s="19" t="s">
        <v>215</v>
      </c>
      <c r="E389" s="19" t="s">
        <v>214</v>
      </c>
      <c r="F389" s="12" t="n">
        <v>14376041</v>
      </c>
      <c r="G389" s="12" t="n">
        <v>1999614</v>
      </c>
      <c r="H389" s="12" t="n">
        <v>241764911</v>
      </c>
      <c r="I389" s="16" t="n">
        <v>46.3</v>
      </c>
      <c r="J389" s="13" t="n">
        <v>0.122</v>
      </c>
      <c r="K389" s="16" t="n">
        <v>23.7</v>
      </c>
      <c r="L389" s="13" t="n">
        <f aca="false">IF(SUMIFS($F$2:$F$397,$A$2:$A$397,A389)=0,0,F389/SUMIFS($F$2:$F$397,$A$2:$A$397,A389))</f>
        <v>0.0855142391181999</v>
      </c>
    </row>
    <row r="390" customFormat="false" ht="15" hidden="false" customHeight="false" outlineLevel="0" collapsed="false">
      <c r="A390" s="10" t="n">
        <v>45992</v>
      </c>
      <c r="B390" s="18" t="n">
        <f aca="false">YEAR(A390)</f>
        <v>2025</v>
      </c>
      <c r="C390" s="19" t="str">
        <f aca="false">"Q"&amp;ROUNDUP(MONTH(A390)/3,0)</f>
        <v>Q4</v>
      </c>
      <c r="D390" s="19" t="s">
        <v>216</v>
      </c>
      <c r="E390" s="19" t="s">
        <v>212</v>
      </c>
      <c r="F390" s="12" t="n">
        <v>9825333</v>
      </c>
      <c r="G390" s="12" t="n">
        <v>1461401</v>
      </c>
      <c r="H390" s="12" t="n">
        <v>157109214</v>
      </c>
      <c r="I390" s="16" t="n">
        <v>45.2</v>
      </c>
      <c r="J390" s="13" t="n">
        <v>0.116</v>
      </c>
      <c r="K390" s="16" t="n">
        <v>22.7</v>
      </c>
      <c r="L390" s="13" t="n">
        <f aca="false">IF(SUMIFS($F$2:$F$397,$A$2:$A$397,A390)=0,0,F390/SUMIFS($F$2:$F$397,$A$2:$A$397,A390))</f>
        <v>0.0584448719628679</v>
      </c>
    </row>
    <row r="391" customFormat="false" ht="15" hidden="false" customHeight="false" outlineLevel="0" collapsed="false">
      <c r="A391" s="10" t="n">
        <v>45992</v>
      </c>
      <c r="B391" s="18" t="n">
        <f aca="false">YEAR(A391)</f>
        <v>2025</v>
      </c>
      <c r="C391" s="19" t="str">
        <f aca="false">"Q"&amp;ROUNDUP(MONTH(A391)/3,0)</f>
        <v>Q4</v>
      </c>
      <c r="D391" s="19" t="s">
        <v>217</v>
      </c>
      <c r="E391" s="19" t="s">
        <v>218</v>
      </c>
      <c r="F391" s="12" t="n">
        <v>14886768</v>
      </c>
      <c r="G391" s="12" t="n">
        <v>2165608</v>
      </c>
      <c r="H391" s="12" t="n">
        <v>294482268</v>
      </c>
      <c r="I391" s="16" t="n">
        <v>51.5</v>
      </c>
      <c r="J391" s="13" t="n">
        <v>0.083</v>
      </c>
      <c r="K391" s="16" t="n">
        <v>29.8</v>
      </c>
      <c r="L391" s="13" t="n">
        <f aca="false">IF(SUMIFS($F$2:$F$397,$A$2:$A$397,A391)=0,0,F391/SUMIFS($F$2:$F$397,$A$2:$A$397,A391))</f>
        <v>0.0885522403872642</v>
      </c>
    </row>
    <row r="392" customFormat="false" ht="15" hidden="false" customHeight="false" outlineLevel="0" collapsed="false">
      <c r="A392" s="10" t="n">
        <v>45992</v>
      </c>
      <c r="B392" s="18" t="n">
        <f aca="false">YEAR(A392)</f>
        <v>2025</v>
      </c>
      <c r="C392" s="19" t="str">
        <f aca="false">"Q"&amp;ROUNDUP(MONTH(A392)/3,0)</f>
        <v>Q4</v>
      </c>
      <c r="D392" s="19" t="s">
        <v>219</v>
      </c>
      <c r="E392" s="19" t="s">
        <v>218</v>
      </c>
      <c r="F392" s="12" t="n">
        <v>12207038</v>
      </c>
      <c r="G392" s="12" t="n">
        <v>1595806</v>
      </c>
      <c r="H392" s="12" t="n">
        <v>236234330</v>
      </c>
      <c r="I392" s="16" t="n">
        <v>51.3</v>
      </c>
      <c r="J392" s="13" t="n">
        <v>0.101</v>
      </c>
      <c r="K392" s="16" t="n">
        <v>28.6</v>
      </c>
      <c r="L392" s="13" t="n">
        <f aca="false">IF(SUMIFS($F$2:$F$397,$A$2:$A$397,A392)=0,0,F392/SUMIFS($F$2:$F$397,$A$2:$A$397,A392))</f>
        <v>0.0726121723259521</v>
      </c>
    </row>
    <row r="393" customFormat="false" ht="15" hidden="false" customHeight="false" outlineLevel="0" collapsed="false">
      <c r="A393" s="10" t="n">
        <v>45992</v>
      </c>
      <c r="B393" s="18" t="n">
        <f aca="false">YEAR(A393)</f>
        <v>2025</v>
      </c>
      <c r="C393" s="19" t="str">
        <f aca="false">"Q"&amp;ROUNDUP(MONTH(A393)/3,0)</f>
        <v>Q4</v>
      </c>
      <c r="D393" s="19" t="s">
        <v>220</v>
      </c>
      <c r="E393" s="19" t="s">
        <v>214</v>
      </c>
      <c r="F393" s="12" t="n">
        <v>7691896</v>
      </c>
      <c r="G393" s="12" t="n">
        <v>1006427</v>
      </c>
      <c r="H393" s="12" t="n">
        <v>132824061</v>
      </c>
      <c r="I393" s="16" t="n">
        <v>46.2</v>
      </c>
      <c r="J393" s="13" t="n">
        <v>0.128</v>
      </c>
      <c r="K393" s="16" t="n">
        <v>23</v>
      </c>
      <c r="L393" s="13" t="n">
        <f aca="false">IF(SUMIFS($F$2:$F$397,$A$2:$A$397,A393)=0,0,F393/SUMIFS($F$2:$F$397,$A$2:$A$397,A393))</f>
        <v>0.0457543654623916</v>
      </c>
    </row>
    <row r="394" customFormat="false" ht="15" hidden="false" customHeight="false" outlineLevel="0" collapsed="false">
      <c r="A394" s="10" t="n">
        <v>45992</v>
      </c>
      <c r="B394" s="18" t="n">
        <f aca="false">YEAR(A394)</f>
        <v>2025</v>
      </c>
      <c r="C394" s="19" t="str">
        <f aca="false">"Q"&amp;ROUNDUP(MONTH(A394)/3,0)</f>
        <v>Q4</v>
      </c>
      <c r="D394" s="19" t="s">
        <v>221</v>
      </c>
      <c r="E394" s="19" t="s">
        <v>214</v>
      </c>
      <c r="F394" s="12" t="n">
        <v>5855417</v>
      </c>
      <c r="G394" s="12" t="n">
        <v>825037</v>
      </c>
      <c r="H394" s="12" t="n">
        <v>101268201</v>
      </c>
      <c r="I394" s="16" t="n">
        <v>45.1</v>
      </c>
      <c r="J394" s="13" t="n">
        <v>0.13</v>
      </c>
      <c r="K394" s="16" t="n">
        <v>23.2</v>
      </c>
      <c r="L394" s="13" t="n">
        <f aca="false">IF(SUMIFS($F$2:$F$397,$A$2:$A$397,A394)=0,0,F394/SUMIFS($F$2:$F$397,$A$2:$A$397,A394))</f>
        <v>0.0348302797324223</v>
      </c>
    </row>
    <row r="395" customFormat="false" ht="15" hidden="false" customHeight="false" outlineLevel="0" collapsed="false">
      <c r="A395" s="10" t="n">
        <v>45992</v>
      </c>
      <c r="B395" s="18" t="n">
        <f aca="false">YEAR(A395)</f>
        <v>2025</v>
      </c>
      <c r="C395" s="19" t="str">
        <f aca="false">"Q"&amp;ROUNDUP(MONTH(A395)/3,0)</f>
        <v>Q4</v>
      </c>
      <c r="D395" s="19" t="s">
        <v>222</v>
      </c>
      <c r="E395" s="19" t="s">
        <v>218</v>
      </c>
      <c r="F395" s="12" t="n">
        <v>10994312</v>
      </c>
      <c r="G395" s="12" t="n">
        <v>1484599</v>
      </c>
      <c r="H395" s="12" t="n">
        <v>211312259</v>
      </c>
      <c r="I395" s="16" t="n">
        <v>49.6</v>
      </c>
      <c r="J395" s="13" t="n">
        <v>0.073</v>
      </c>
      <c r="K395" s="16" t="n">
        <v>28.4</v>
      </c>
      <c r="L395" s="13" t="n">
        <f aca="false">IF(SUMIFS($F$2:$F$397,$A$2:$A$397,A395)=0,0,F395/SUMIFS($F$2:$F$397,$A$2:$A$397,A395))</f>
        <v>0.0653984101261324</v>
      </c>
    </row>
    <row r="396" customFormat="false" ht="15" hidden="false" customHeight="false" outlineLevel="0" collapsed="false">
      <c r="A396" s="10" t="n">
        <v>45992</v>
      </c>
      <c r="B396" s="18" t="n">
        <f aca="false">YEAR(A396)</f>
        <v>2025</v>
      </c>
      <c r="C396" s="19" t="str">
        <f aca="false">"Q"&amp;ROUNDUP(MONTH(A396)/3,0)</f>
        <v>Q4</v>
      </c>
      <c r="D396" s="19" t="s">
        <v>223</v>
      </c>
      <c r="E396" s="19" t="s">
        <v>224</v>
      </c>
      <c r="F396" s="12" t="n">
        <v>8242517</v>
      </c>
      <c r="G396" s="12" t="n">
        <v>1248379</v>
      </c>
      <c r="H396" s="12" t="n">
        <v>137654428</v>
      </c>
      <c r="I396" s="16" t="n">
        <v>46.9</v>
      </c>
      <c r="J396" s="13" t="n">
        <v>0.116</v>
      </c>
      <c r="K396" s="16" t="n">
        <v>21.9</v>
      </c>
      <c r="L396" s="13" t="n">
        <f aca="false">IF(SUMIFS($F$2:$F$397,$A$2:$A$397,A396)=0,0,F396/SUMIFS($F$2:$F$397,$A$2:$A$397,A396))</f>
        <v>0.0490296716372628</v>
      </c>
    </row>
    <row r="397" customFormat="false" ht="15" hidden="false" customHeight="false" outlineLevel="0" collapsed="false">
      <c r="A397" s="10" t="n">
        <v>45992</v>
      </c>
      <c r="B397" s="18" t="n">
        <f aca="false">YEAR(A397)</f>
        <v>2025</v>
      </c>
      <c r="C397" s="19" t="str">
        <f aca="false">"Q"&amp;ROUNDUP(MONTH(A397)/3,0)</f>
        <v>Q4</v>
      </c>
      <c r="D397" s="19" t="s">
        <v>225</v>
      </c>
      <c r="E397" s="19" t="s">
        <v>226</v>
      </c>
      <c r="F397" s="12" t="n">
        <v>15188051</v>
      </c>
      <c r="G397" s="12" t="n">
        <v>2232350</v>
      </c>
      <c r="H397" s="12" t="n">
        <v>237560596</v>
      </c>
      <c r="I397" s="16" t="n">
        <v>43.7</v>
      </c>
      <c r="J397" s="13" t="n">
        <v>0.101</v>
      </c>
      <c r="K397" s="16" t="n">
        <v>21.4</v>
      </c>
      <c r="L397" s="13" t="n">
        <f aca="false">IF(SUMIFS($F$2:$F$397,$A$2:$A$397,A397)=0,0,F397/SUMIFS($F$2:$F$397,$A$2:$A$397,A397))</f>
        <v>0.0903443879266492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5" min="4" style="0" width="20"/>
    <col collapsed="false" customWidth="true" hidden="false" outlineLevel="0" max="7" min="6" style="0" width="15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2" min="11" style="0" width="20"/>
    <col collapsed="false" customWidth="true" hidden="false" outlineLevel="0" max="13" min="13" style="0" width="17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13"/>
  </cols>
  <sheetData>
    <row r="1" customFormat="false" ht="19.7" hidden="false" customHeight="false" outlineLevel="0" collapsed="false">
      <c r="A1" s="20" t="s">
        <v>227</v>
      </c>
    </row>
    <row r="2" customFormat="false" ht="15" hidden="false" customHeight="false" outlineLevel="0" collapsed="false">
      <c r="A2" s="21" t="s">
        <v>228</v>
      </c>
    </row>
    <row r="4" customFormat="false" ht="31.5" hidden="false" customHeight="true" outlineLevel="0" collapsed="false">
      <c r="A4" s="6" t="s">
        <v>46</v>
      </c>
      <c r="B4" s="6" t="s">
        <v>229</v>
      </c>
      <c r="C4" s="6" t="s">
        <v>111</v>
      </c>
      <c r="D4" s="6" t="s">
        <v>230</v>
      </c>
      <c r="E4" s="6" t="s">
        <v>231</v>
      </c>
      <c r="F4" s="6" t="s">
        <v>232</v>
      </c>
      <c r="G4" s="6" t="s">
        <v>233</v>
      </c>
      <c r="H4" s="6" t="s">
        <v>234</v>
      </c>
      <c r="I4" s="6" t="s">
        <v>235</v>
      </c>
      <c r="J4" s="6" t="s">
        <v>72</v>
      </c>
      <c r="K4" s="6" t="s">
        <v>236</v>
      </c>
      <c r="L4" s="6" t="s">
        <v>123</v>
      </c>
      <c r="M4" s="6" t="s">
        <v>237</v>
      </c>
      <c r="N4" s="6" t="s">
        <v>238</v>
      </c>
      <c r="O4" s="6" t="s">
        <v>239</v>
      </c>
      <c r="P4" s="6" t="s">
        <v>240</v>
      </c>
      <c r="Q4" s="6" t="s">
        <v>241</v>
      </c>
    </row>
    <row r="5" customFormat="false" ht="15" hidden="false" customHeight="false" outlineLevel="0" collapsed="false">
      <c r="A5" s="22" t="s">
        <v>242</v>
      </c>
      <c r="B5" s="23" t="n">
        <v>44927</v>
      </c>
      <c r="C5" s="24" t="n">
        <f aca="false">SUMIFS(Fact_Monthly!$W$2:$W$649,Fact_Monthly!$D$2:$D$649,$A5)</f>
        <v>117360978</v>
      </c>
      <c r="D5" s="24" t="n">
        <f aca="false">SUMIFS(Fact_Monthly!$S$2:$S$649,Fact_Monthly!$D$2:$D$649,$A5)</f>
        <v>96309897</v>
      </c>
      <c r="E5" s="24" t="n">
        <f aca="false">SUMIFS(Fact_Monthly!$T$2:$T$649,Fact_Monthly!$D$2:$D$649,$A5)</f>
        <v>9936067</v>
      </c>
      <c r="F5" s="24" t="n">
        <f aca="false">SUMIFS(Fact_Monthly!$U$2:$U$649,Fact_Monthly!$D$2:$D$649,$A5)</f>
        <v>3081458</v>
      </c>
      <c r="G5" s="24" t="n">
        <f aca="false">SUMIFS(Fact_Monthly!$V$2:$V$649,Fact_Monthly!$D$2:$D$649,$A5)</f>
        <v>8033556</v>
      </c>
      <c r="H5" s="25" t="n">
        <f aca="false">SUMIFS(Fact_Monthly!$J$2:$J$649,Fact_Monthly!$D$2:$D$649,$A5)/3</f>
        <v>20497888.3333333</v>
      </c>
      <c r="I5" s="25" t="n">
        <f aca="false">SUMIFS(Fact_Monthly!$I$2:$I$649,Fact_Monthly!$D$2:$D$649,$A5)/3</f>
        <v>74807469.6666667</v>
      </c>
      <c r="J5" s="26" t="n">
        <f aca="false">IF(I5=0,0,H5/I5)</f>
        <v>0.274008577280712</v>
      </c>
      <c r="K5" s="25" t="n">
        <f aca="false">SUMIFS(Fact_Monthly!$P$2:$P$649,Fact_Monthly!$A$2:$A$649,EDATE($B5,2))</f>
        <v>4600000</v>
      </c>
      <c r="L5" s="24" t="n">
        <f aca="false">SUMIFS(Fact_Monthly!$Z$2:$Z$649,Fact_Monthly!$D$2:$D$649,$A5)</f>
        <v>22279392</v>
      </c>
      <c r="M5" s="26" t="n">
        <f aca="false">IF(C5=0,0,D5/C5)</f>
        <v>0.820629638924788</v>
      </c>
      <c r="N5" s="27" t="s">
        <v>243</v>
      </c>
      <c r="O5" s="27" t="s">
        <v>243</v>
      </c>
      <c r="P5" s="27" t="s">
        <v>243</v>
      </c>
      <c r="Q5" s="27" t="s">
        <v>243</v>
      </c>
    </row>
    <row r="6" customFormat="false" ht="15" hidden="false" customHeight="false" outlineLevel="0" collapsed="false">
      <c r="A6" s="22" t="s">
        <v>244</v>
      </c>
      <c r="B6" s="23" t="n">
        <v>45017</v>
      </c>
      <c r="C6" s="24" t="n">
        <f aca="false">SUMIFS(Fact_Monthly!$W$2:$W$649,Fact_Monthly!$D$2:$D$649,$A6)</f>
        <v>126950441</v>
      </c>
      <c r="D6" s="24" t="n">
        <f aca="false">SUMIFS(Fact_Monthly!$S$2:$S$649,Fact_Monthly!$D$2:$D$649,$A6)</f>
        <v>104575910</v>
      </c>
      <c r="E6" s="24" t="n">
        <f aca="false">SUMIFS(Fact_Monthly!$T$2:$T$649,Fact_Monthly!$D$2:$D$649,$A6)</f>
        <v>10329970</v>
      </c>
      <c r="F6" s="24" t="n">
        <f aca="false">SUMIFS(Fact_Monthly!$U$2:$U$649,Fact_Monthly!$D$2:$D$649,$A6)</f>
        <v>3566885</v>
      </c>
      <c r="G6" s="24" t="n">
        <f aca="false">SUMIFS(Fact_Monthly!$V$2:$V$649,Fact_Monthly!$D$2:$D$649,$A6)</f>
        <v>8477676</v>
      </c>
      <c r="H6" s="25" t="n">
        <f aca="false">SUMIFS(Fact_Monthly!$J$2:$J$649,Fact_Monthly!$D$2:$D$649,$A6)/3</f>
        <v>22294833.3333333</v>
      </c>
      <c r="I6" s="25" t="n">
        <f aca="false">SUMIFS(Fact_Monthly!$I$2:$I$649,Fact_Monthly!$D$2:$D$649,$A6)/3</f>
        <v>78992247.6666667</v>
      </c>
      <c r="J6" s="26" t="n">
        <f aca="false">IF(I6=0,0,H6/I6)</f>
        <v>0.282240776682461</v>
      </c>
      <c r="K6" s="25" t="n">
        <f aca="false">SUMIFS(Fact_Monthly!$P$2:$P$649,Fact_Monthly!$A$2:$A$649,EDATE($B6,2))</f>
        <v>5199999</v>
      </c>
      <c r="L6" s="24" t="n">
        <f aca="false">SUMIFS(Fact_Monthly!$Z$2:$Z$649,Fact_Monthly!$D$2:$D$649,$A6)</f>
        <v>23550057</v>
      </c>
      <c r="M6" s="26" t="n">
        <f aca="false">IF(C6=0,0,D6/C6)</f>
        <v>0.823753814293564</v>
      </c>
      <c r="N6" s="27" t="s">
        <v>243</v>
      </c>
      <c r="O6" s="27" t="s">
        <v>243</v>
      </c>
      <c r="P6" s="27" t="s">
        <v>243</v>
      </c>
      <c r="Q6" s="27" t="n">
        <f aca="false">IF(C5=0,0,C6/C5-1)</f>
        <v>0.0817091265207419</v>
      </c>
    </row>
    <row r="7" customFormat="false" ht="15" hidden="false" customHeight="false" outlineLevel="0" collapsed="false">
      <c r="A7" s="22" t="s">
        <v>245</v>
      </c>
      <c r="B7" s="23" t="n">
        <v>45108</v>
      </c>
      <c r="C7" s="24" t="n">
        <f aca="false">SUMIFS(Fact_Monthly!$W$2:$W$649,Fact_Monthly!$D$2:$D$649,$A7)</f>
        <v>136411144</v>
      </c>
      <c r="D7" s="24" t="n">
        <f aca="false">SUMIFS(Fact_Monthly!$S$2:$S$649,Fact_Monthly!$D$2:$D$649,$A7)</f>
        <v>112566703</v>
      </c>
      <c r="E7" s="24" t="n">
        <f aca="false">SUMIFS(Fact_Monthly!$T$2:$T$649,Fact_Monthly!$D$2:$D$649,$A7)</f>
        <v>10847745</v>
      </c>
      <c r="F7" s="24" t="n">
        <f aca="false">SUMIFS(Fact_Monthly!$U$2:$U$649,Fact_Monthly!$D$2:$D$649,$A7)</f>
        <v>4189718</v>
      </c>
      <c r="G7" s="24" t="n">
        <f aca="false">SUMIFS(Fact_Monthly!$V$2:$V$649,Fact_Monthly!$D$2:$D$649,$A7)</f>
        <v>8806978</v>
      </c>
      <c r="H7" s="25" t="n">
        <f aca="false">SUMIFS(Fact_Monthly!$J$2:$J$649,Fact_Monthly!$D$2:$D$649,$A7)/3</f>
        <v>24165055.3333333</v>
      </c>
      <c r="I7" s="25" t="n">
        <f aca="false">SUMIFS(Fact_Monthly!$I$2:$I$649,Fact_Monthly!$D$2:$D$649,$A7)/3</f>
        <v>83173478</v>
      </c>
      <c r="J7" s="26" t="n">
        <f aca="false">IF(I7=0,0,H7/I7)</f>
        <v>0.290537992571783</v>
      </c>
      <c r="K7" s="25" t="n">
        <f aca="false">SUMIFS(Fact_Monthly!$P$2:$P$649,Fact_Monthly!$A$2:$A$649,EDATE($B7,2))</f>
        <v>5800000</v>
      </c>
      <c r="L7" s="24" t="n">
        <f aca="false">SUMIFS(Fact_Monthly!$Z$2:$Z$649,Fact_Monthly!$D$2:$D$649,$A7)</f>
        <v>24374118</v>
      </c>
      <c r="M7" s="26" t="n">
        <f aca="false">IF(C7=0,0,D7/C7)</f>
        <v>0.82520166387579</v>
      </c>
      <c r="N7" s="27" t="s">
        <v>243</v>
      </c>
      <c r="O7" s="27" t="s">
        <v>243</v>
      </c>
      <c r="P7" s="27" t="s">
        <v>243</v>
      </c>
      <c r="Q7" s="27" t="n">
        <f aca="false">IF(C6=0,0,C7/C6-1)</f>
        <v>0.0745228053205425</v>
      </c>
    </row>
    <row r="8" customFormat="false" ht="15" hidden="false" customHeight="false" outlineLevel="0" collapsed="false">
      <c r="A8" s="22" t="s">
        <v>246</v>
      </c>
      <c r="B8" s="23" t="n">
        <v>45200</v>
      </c>
      <c r="C8" s="24" t="n">
        <f aca="false">SUMIFS(Fact_Monthly!$W$2:$W$649,Fact_Monthly!$D$2:$D$649,$A8)</f>
        <v>151071959</v>
      </c>
      <c r="D8" s="24" t="n">
        <f aca="false">SUMIFS(Fact_Monthly!$S$2:$S$649,Fact_Monthly!$D$2:$D$649,$A8)</f>
        <v>125620004</v>
      </c>
      <c r="E8" s="24" t="n">
        <f aca="false">SUMIFS(Fact_Monthly!$T$2:$T$649,Fact_Monthly!$D$2:$D$649,$A8)</f>
        <v>11434308</v>
      </c>
      <c r="F8" s="24" t="n">
        <f aca="false">SUMIFS(Fact_Monthly!$U$2:$U$649,Fact_Monthly!$D$2:$D$649,$A8)</f>
        <v>4816994</v>
      </c>
      <c r="G8" s="24" t="n">
        <f aca="false">SUMIFS(Fact_Monthly!$V$2:$V$649,Fact_Monthly!$D$2:$D$649,$A8)</f>
        <v>9200653</v>
      </c>
      <c r="H8" s="25" t="n">
        <f aca="false">SUMIFS(Fact_Monthly!$J$2:$J$649,Fact_Monthly!$D$2:$D$649,$A8)/3</f>
        <v>27052664.3333333</v>
      </c>
      <c r="I8" s="25" t="n">
        <f aca="false">SUMIFS(Fact_Monthly!$I$2:$I$649,Fact_Monthly!$D$2:$D$649,$A8)/3</f>
        <v>90813685</v>
      </c>
      <c r="J8" s="26" t="n">
        <f aca="false">IF(I8=0,0,H8/I8)</f>
        <v>0.297891934826049</v>
      </c>
      <c r="K8" s="25" t="n">
        <f aca="false">SUMIFS(Fact_Monthly!$P$2:$P$649,Fact_Monthly!$A$2:$A$649,EDATE($B8,2))</f>
        <v>6599999</v>
      </c>
      <c r="L8" s="24" t="n">
        <f aca="false">SUMIFS(Fact_Monthly!$Z$2:$Z$649,Fact_Monthly!$D$2:$D$649,$A8)</f>
        <v>26557177</v>
      </c>
      <c r="M8" s="26" t="n">
        <f aca="false">IF(C8=0,0,D8/C8)</f>
        <v>0.831524293664584</v>
      </c>
      <c r="N8" s="27" t="s">
        <v>243</v>
      </c>
      <c r="O8" s="27" t="s">
        <v>243</v>
      </c>
      <c r="P8" s="27" t="s">
        <v>243</v>
      </c>
      <c r="Q8" s="27" t="n">
        <f aca="false">IF(C7=0,0,C8/C7-1)</f>
        <v>0.107475200120014</v>
      </c>
    </row>
    <row r="9" customFormat="false" ht="15" hidden="false" customHeight="false" outlineLevel="0" collapsed="false">
      <c r="A9" s="22" t="s">
        <v>247</v>
      </c>
      <c r="B9" s="23" t="n">
        <v>45292</v>
      </c>
      <c r="C9" s="24" t="n">
        <f aca="false">SUMIFS(Fact_Monthly!$W$2:$W$649,Fact_Monthly!$D$2:$D$649,$A9)</f>
        <v>168258948</v>
      </c>
      <c r="D9" s="24" t="n">
        <f aca="false">SUMIFS(Fact_Monthly!$S$2:$S$649,Fact_Monthly!$D$2:$D$649,$A9)</f>
        <v>140725265</v>
      </c>
      <c r="E9" s="24" t="n">
        <f aca="false">SUMIFS(Fact_Monthly!$T$2:$T$649,Fact_Monthly!$D$2:$D$649,$A9)</f>
        <v>12196027</v>
      </c>
      <c r="F9" s="24" t="n">
        <f aca="false">SUMIFS(Fact_Monthly!$U$2:$U$649,Fact_Monthly!$D$2:$D$649,$A9)</f>
        <v>5667424</v>
      </c>
      <c r="G9" s="24" t="n">
        <f aca="false">SUMIFS(Fact_Monthly!$V$2:$V$649,Fact_Monthly!$D$2:$D$649,$A9)</f>
        <v>9670232</v>
      </c>
      <c r="H9" s="25" t="n">
        <f aca="false">SUMIFS(Fact_Monthly!$J$2:$J$649,Fact_Monthly!$D$2:$D$649,$A9)/3</f>
        <v>31504000.3333333</v>
      </c>
      <c r="I9" s="25" t="n">
        <f aca="false">SUMIFS(Fact_Monthly!$I$2:$I$649,Fact_Monthly!$D$2:$D$649,$A9)/3</f>
        <v>103215503</v>
      </c>
      <c r="J9" s="26" t="n">
        <f aca="false">IF(I9=0,0,H9/I9)</f>
        <v>0.305225469213993</v>
      </c>
      <c r="K9" s="25" t="n">
        <f aca="false">SUMIFS(Fact_Monthly!$P$2:$P$649,Fact_Monthly!$A$2:$A$649,EDATE($B9,2))</f>
        <v>7400001</v>
      </c>
      <c r="L9" s="24" t="n">
        <f aca="false">SUMIFS(Fact_Monthly!$Z$2:$Z$649,Fact_Monthly!$D$2:$D$649,$A9)</f>
        <v>29434127</v>
      </c>
      <c r="M9" s="26" t="n">
        <f aca="false">IF(C9=0,0,D9/C9)</f>
        <v>0.836361255509573</v>
      </c>
      <c r="N9" s="27" t="n">
        <f aca="false">IF(C5=0,0,C9/C5-1)</f>
        <v>0.433687336859105</v>
      </c>
      <c r="O9" s="27" t="n">
        <f aca="false">IF(H5=0,0,H9/H5-1)</f>
        <v>0.536938821259068</v>
      </c>
      <c r="P9" s="27" t="n">
        <f aca="false">IF(K5=0,0,K9/K5-1)</f>
        <v>0.608695869565217</v>
      </c>
      <c r="Q9" s="27" t="n">
        <f aca="false">IF(C8=0,0,C9/C8-1)</f>
        <v>0.113766903625047</v>
      </c>
    </row>
    <row r="10" customFormat="false" ht="15" hidden="false" customHeight="false" outlineLevel="0" collapsed="false">
      <c r="A10" s="22" t="s">
        <v>248</v>
      </c>
      <c r="B10" s="23" t="n">
        <v>45383</v>
      </c>
      <c r="C10" s="24" t="n">
        <f aca="false">SUMIFS(Fact_Monthly!$W$2:$W$649,Fact_Monthly!$D$2:$D$649,$A10)</f>
        <v>179511908</v>
      </c>
      <c r="D10" s="24" t="n">
        <f aca="false">SUMIFS(Fact_Monthly!$S$2:$S$649,Fact_Monthly!$D$2:$D$649,$A10)</f>
        <v>150662502</v>
      </c>
      <c r="E10" s="24" t="n">
        <f aca="false">SUMIFS(Fact_Monthly!$T$2:$T$649,Fact_Monthly!$D$2:$D$649,$A10)</f>
        <v>12353159</v>
      </c>
      <c r="F10" s="24" t="n">
        <f aca="false">SUMIFS(Fact_Monthly!$U$2:$U$649,Fact_Monthly!$D$2:$D$649,$A10)</f>
        <v>6525998</v>
      </c>
      <c r="G10" s="24" t="n">
        <f aca="false">SUMIFS(Fact_Monthly!$V$2:$V$649,Fact_Monthly!$D$2:$D$649,$A10)</f>
        <v>9970249</v>
      </c>
      <c r="H10" s="25" t="n">
        <f aca="false">SUMIFS(Fact_Monthly!$J$2:$J$649,Fact_Monthly!$D$2:$D$649,$A10)/3</f>
        <v>33799778</v>
      </c>
      <c r="I10" s="25" t="n">
        <f aca="false">SUMIFS(Fact_Monthly!$I$2:$I$649,Fact_Monthly!$D$2:$D$649,$A10)/3</f>
        <v>108186739.666667</v>
      </c>
      <c r="J10" s="26" t="n">
        <f aca="false">IF(I10=0,0,H10/I10)</f>
        <v>0.312420709822112</v>
      </c>
      <c r="K10" s="25" t="n">
        <f aca="false">SUMIFS(Fact_Monthly!$P$2:$P$649,Fact_Monthly!$A$2:$A$649,EDATE($B10,2))</f>
        <v>8000001</v>
      </c>
      <c r="L10" s="24" t="n">
        <f aca="false">SUMIFS(Fact_Monthly!$Z$2:$Z$649,Fact_Monthly!$D$2:$D$649,$A10)</f>
        <v>30079050</v>
      </c>
      <c r="M10" s="26" t="n">
        <f aca="false">IF(C10=0,0,D10/C10)</f>
        <v>0.839289736700921</v>
      </c>
      <c r="N10" s="27" t="n">
        <f aca="false">IF(C6=0,0,C10/C6-1)</f>
        <v>0.414031385680653</v>
      </c>
      <c r="O10" s="27" t="n">
        <f aca="false">IF(H6=0,0,H10/H6-1)</f>
        <v>0.516036361189812</v>
      </c>
      <c r="P10" s="27" t="n">
        <f aca="false">IF(K6=0,0,K10/K6-1)</f>
        <v>0.538462026627313</v>
      </c>
      <c r="Q10" s="27" t="n">
        <f aca="false">IF(C9=0,0,C10/C9-1)</f>
        <v>0.0668788206140454</v>
      </c>
    </row>
    <row r="11" customFormat="false" ht="15" hidden="false" customHeight="false" outlineLevel="0" collapsed="false">
      <c r="A11" s="22" t="s">
        <v>249</v>
      </c>
      <c r="B11" s="23" t="n">
        <v>45474</v>
      </c>
      <c r="C11" s="24" t="n">
        <f aca="false">SUMIFS(Fact_Monthly!$W$2:$W$649,Fact_Monthly!$D$2:$D$649,$A11)</f>
        <v>191648808</v>
      </c>
      <c r="D11" s="24" t="n">
        <f aca="false">SUMIFS(Fact_Monthly!$S$2:$S$649,Fact_Monthly!$D$2:$D$649,$A11)</f>
        <v>161243172</v>
      </c>
      <c r="E11" s="24" t="n">
        <f aca="false">SUMIFS(Fact_Monthly!$T$2:$T$649,Fact_Monthly!$D$2:$D$649,$A11)</f>
        <v>12617867</v>
      </c>
      <c r="F11" s="24" t="n">
        <f aca="false">SUMIFS(Fact_Monthly!$U$2:$U$649,Fact_Monthly!$D$2:$D$649,$A11)</f>
        <v>7507545</v>
      </c>
      <c r="G11" s="24" t="n">
        <f aca="false">SUMIFS(Fact_Monthly!$V$2:$V$649,Fact_Monthly!$D$2:$D$649,$A11)</f>
        <v>10280224</v>
      </c>
      <c r="H11" s="25" t="n">
        <f aca="false">SUMIFS(Fact_Monthly!$J$2:$J$649,Fact_Monthly!$D$2:$D$649,$A11)/3</f>
        <v>36981223</v>
      </c>
      <c r="I11" s="25" t="n">
        <f aca="false">SUMIFS(Fact_Monthly!$I$2:$I$649,Fact_Monthly!$D$2:$D$649,$A11)/3</f>
        <v>115956190.333333</v>
      </c>
      <c r="J11" s="26" t="n">
        <f aca="false">IF(I11=0,0,H11/I11)</f>
        <v>0.31892409446785</v>
      </c>
      <c r="K11" s="25" t="n">
        <f aca="false">SUMIFS(Fact_Monthly!$P$2:$P$649,Fact_Monthly!$A$2:$A$649,EDATE($B11,2))</f>
        <v>8599999</v>
      </c>
      <c r="L11" s="24" t="n">
        <f aca="false">SUMIFS(Fact_Monthly!$Z$2:$Z$649,Fact_Monthly!$D$2:$D$649,$A11)</f>
        <v>33325037</v>
      </c>
      <c r="M11" s="26" t="n">
        <f aca="false">IF(C11=0,0,D11/C11)</f>
        <v>0.84134711654455</v>
      </c>
      <c r="N11" s="27" t="n">
        <f aca="false">IF(C7=0,0,C11/C7-1)</f>
        <v>0.404935127587523</v>
      </c>
      <c r="O11" s="27" t="n">
        <f aca="false">IF(H7=0,0,H11/H7-1)</f>
        <v>0.53035954148998</v>
      </c>
      <c r="P11" s="27" t="n">
        <f aca="false">IF(K7=0,0,K11/K7-1)</f>
        <v>0.482758448275862</v>
      </c>
      <c r="Q11" s="27" t="n">
        <f aca="false">IF(C10=0,0,C11/C10-1)</f>
        <v>0.0676105565097107</v>
      </c>
    </row>
    <row r="12" customFormat="false" ht="15" hidden="false" customHeight="false" outlineLevel="0" collapsed="false">
      <c r="A12" s="22" t="s">
        <v>250</v>
      </c>
      <c r="B12" s="23" t="n">
        <v>45566</v>
      </c>
      <c r="C12" s="24" t="n">
        <f aca="false">SUMIFS(Fact_Monthly!$W$2:$W$649,Fact_Monthly!$D$2:$D$649,$A12)</f>
        <v>208538938</v>
      </c>
      <c r="D12" s="24" t="n">
        <f aca="false">SUMIFS(Fact_Monthly!$S$2:$S$649,Fact_Monthly!$D$2:$D$649,$A12)</f>
        <v>176250966</v>
      </c>
      <c r="E12" s="24" t="n">
        <f aca="false">SUMIFS(Fact_Monthly!$T$2:$T$649,Fact_Monthly!$D$2:$D$649,$A12)</f>
        <v>13095755</v>
      </c>
      <c r="F12" s="24" t="n">
        <f aca="false">SUMIFS(Fact_Monthly!$U$2:$U$649,Fact_Monthly!$D$2:$D$649,$A12)</f>
        <v>8657854</v>
      </c>
      <c r="G12" s="24" t="n">
        <f aca="false">SUMIFS(Fact_Monthly!$V$2:$V$649,Fact_Monthly!$D$2:$D$649,$A12)</f>
        <v>10534363</v>
      </c>
      <c r="H12" s="25" t="n">
        <f aca="false">SUMIFS(Fact_Monthly!$J$2:$J$649,Fact_Monthly!$D$2:$D$649,$A12)/3</f>
        <v>40740223</v>
      </c>
      <c r="I12" s="25" t="n">
        <f aca="false">SUMIFS(Fact_Monthly!$I$2:$I$649,Fact_Monthly!$D$2:$D$649,$A12)/3</f>
        <v>124925768</v>
      </c>
      <c r="J12" s="26" t="n">
        <f aca="false">IF(I12=0,0,H12/I12)</f>
        <v>0.326115449616447</v>
      </c>
      <c r="K12" s="25" t="n">
        <f aca="false">SUMIFS(Fact_Monthly!$P$2:$P$649,Fact_Monthly!$A$2:$A$649,EDATE($B12,2))</f>
        <v>9500001</v>
      </c>
      <c r="L12" s="24" t="n">
        <f aca="false">SUMIFS(Fact_Monthly!$Z$2:$Z$649,Fact_Monthly!$D$2:$D$649,$A12)</f>
        <v>34570393</v>
      </c>
      <c r="M12" s="26" t="n">
        <f aca="false">IF(C12=0,0,D12/C12)</f>
        <v>0.845170535969642</v>
      </c>
      <c r="N12" s="27" t="n">
        <f aca="false">IF(C8=0,0,C12/C8-1)</f>
        <v>0.380394742878789</v>
      </c>
      <c r="O12" s="27" t="n">
        <f aca="false">IF(H8=0,0,H12/H8-1)</f>
        <v>0.505959727219967</v>
      </c>
      <c r="P12" s="27" t="n">
        <f aca="false">IF(K8=0,0,K12/K8-1)</f>
        <v>0.439394308999138</v>
      </c>
      <c r="Q12" s="27" t="n">
        <f aca="false">IF(C11=0,0,C12/C11-1)</f>
        <v>0.0881306290201398</v>
      </c>
    </row>
    <row r="13" customFormat="false" ht="15" hidden="false" customHeight="false" outlineLevel="0" collapsed="false">
      <c r="A13" s="22" t="s">
        <v>251</v>
      </c>
      <c r="B13" s="23" t="n">
        <v>45658</v>
      </c>
      <c r="C13" s="24" t="n">
        <f aca="false">SUMIFS(Fact_Monthly!$W$2:$W$649,Fact_Monthly!$D$2:$D$649,$A13)</f>
        <v>230270221</v>
      </c>
      <c r="D13" s="24" t="n">
        <f aca="false">SUMIFS(Fact_Monthly!$S$2:$S$649,Fact_Monthly!$D$2:$D$649,$A13)</f>
        <v>195114155</v>
      </c>
      <c r="E13" s="24" t="n">
        <f aca="false">SUMIFS(Fact_Monthly!$T$2:$T$649,Fact_Monthly!$D$2:$D$649,$A13)</f>
        <v>14093855</v>
      </c>
      <c r="F13" s="24" t="n">
        <f aca="false">SUMIFS(Fact_Monthly!$U$2:$U$649,Fact_Monthly!$D$2:$D$649,$A13)</f>
        <v>9922225</v>
      </c>
      <c r="G13" s="24" t="n">
        <f aca="false">SUMIFS(Fact_Monthly!$V$2:$V$649,Fact_Monthly!$D$2:$D$649,$A13)</f>
        <v>11139986</v>
      </c>
      <c r="H13" s="25" t="n">
        <f aca="false">SUMIFS(Fact_Monthly!$J$2:$J$649,Fact_Monthly!$D$2:$D$649,$A13)/3</f>
        <v>46496887.6666667</v>
      </c>
      <c r="I13" s="25" t="n">
        <f aca="false">SUMIFS(Fact_Monthly!$I$2:$I$649,Fact_Monthly!$D$2:$D$649,$A13)/3</f>
        <v>138985826.333333</v>
      </c>
      <c r="J13" s="26" t="n">
        <f aca="false">IF(I13=0,0,H13/I13)</f>
        <v>0.334544096281818</v>
      </c>
      <c r="K13" s="25" t="n">
        <f aca="false">SUMIFS(Fact_Monthly!$P$2:$P$649,Fact_Monthly!$A$2:$A$649,EDATE($B13,2))</f>
        <v>10300000</v>
      </c>
      <c r="L13" s="24" t="n">
        <f aca="false">SUMIFS(Fact_Monthly!$Z$2:$Z$649,Fact_Monthly!$D$2:$D$649,$A13)</f>
        <v>37766584</v>
      </c>
      <c r="M13" s="26" t="n">
        <f aca="false">IF(C13=0,0,D13/C13)</f>
        <v>0.847326910760206</v>
      </c>
      <c r="N13" s="27" t="n">
        <f aca="false">IF(C9=0,0,C13/C9-1)</f>
        <v>0.368546658213981</v>
      </c>
      <c r="O13" s="27" t="n">
        <f aca="false">IF(H9=0,0,H13/H9-1)</f>
        <v>0.475904239928218</v>
      </c>
      <c r="P13" s="27" t="n">
        <f aca="false">IF(K9=0,0,K13/K9-1)</f>
        <v>0.391891703798418</v>
      </c>
      <c r="Q13" s="27" t="n">
        <f aca="false">IF(C12=0,0,C13/C12-1)</f>
        <v>0.104207315949792</v>
      </c>
    </row>
    <row r="14" customFormat="false" ht="15" hidden="false" customHeight="false" outlineLevel="0" collapsed="false">
      <c r="A14" s="22" t="s">
        <v>252</v>
      </c>
      <c r="B14" s="23" t="n">
        <v>45748</v>
      </c>
      <c r="C14" s="24" t="n">
        <f aca="false">SUMIFS(Fact_Monthly!$W$2:$W$649,Fact_Monthly!$D$2:$D$649,$A14)</f>
        <v>254692620</v>
      </c>
      <c r="D14" s="24" t="n">
        <f aca="false">SUMIFS(Fact_Monthly!$S$2:$S$649,Fact_Monthly!$D$2:$D$649,$A14)</f>
        <v>217230864</v>
      </c>
      <c r="E14" s="24" t="n">
        <f aca="false">SUMIFS(Fact_Monthly!$T$2:$T$649,Fact_Monthly!$D$2:$D$649,$A14)</f>
        <v>14451128</v>
      </c>
      <c r="F14" s="24" t="n">
        <f aca="false">SUMIFS(Fact_Monthly!$U$2:$U$649,Fact_Monthly!$D$2:$D$649,$A14)</f>
        <v>11457060</v>
      </c>
      <c r="G14" s="24" t="n">
        <f aca="false">SUMIFS(Fact_Monthly!$V$2:$V$649,Fact_Monthly!$D$2:$D$649,$A14)</f>
        <v>11553568</v>
      </c>
      <c r="H14" s="25" t="n">
        <f aca="false">SUMIFS(Fact_Monthly!$J$2:$J$649,Fact_Monthly!$D$2:$D$649,$A14)/3</f>
        <v>47407833.6666667</v>
      </c>
      <c r="I14" s="25" t="n">
        <f aca="false">SUMIFS(Fact_Monthly!$I$2:$I$649,Fact_Monthly!$D$2:$D$649,$A14)/3</f>
        <v>139490656</v>
      </c>
      <c r="J14" s="26" t="n">
        <f aca="false">IF(I14=0,0,H14/I14)</f>
        <v>0.339863866341461</v>
      </c>
      <c r="K14" s="25" t="n">
        <f aca="false">SUMIFS(Fact_Monthly!$P$2:$P$649,Fact_Monthly!$A$2:$A$649,EDATE($B14,2))</f>
        <v>10900000</v>
      </c>
      <c r="L14" s="24" t="n">
        <f aca="false">SUMIFS(Fact_Monthly!$Z$2:$Z$649,Fact_Monthly!$D$2:$D$649,$A14)</f>
        <v>40288363</v>
      </c>
      <c r="M14" s="26" t="n">
        <f aca="false">IF(C14=0,0,D14/C14)</f>
        <v>0.852913853569844</v>
      </c>
      <c r="N14" s="27" t="n">
        <f aca="false">IF(C10=0,0,C14/C10-1)</f>
        <v>0.418806266601545</v>
      </c>
      <c r="O14" s="27" t="n">
        <f aca="false">IF(H10=0,0,H14/H10-1)</f>
        <v>0.402607841586021</v>
      </c>
      <c r="P14" s="27" t="n">
        <f aca="false">IF(K10=0,0,K14/K10-1)</f>
        <v>0.362499829687521</v>
      </c>
      <c r="Q14" s="27" t="n">
        <f aca="false">IF(C13=0,0,C14/C13-1)</f>
        <v>0.106059736660434</v>
      </c>
    </row>
    <row r="15" customFormat="false" ht="15" hidden="false" customHeight="false" outlineLevel="0" collapsed="false">
      <c r="A15" s="22" t="s">
        <v>253</v>
      </c>
      <c r="B15" s="23" t="n">
        <v>45839</v>
      </c>
      <c r="C15" s="24" t="n">
        <f aca="false">SUMIFS(Fact_Monthly!$W$2:$W$649,Fact_Monthly!$D$2:$D$649,$A15)</f>
        <v>275004253</v>
      </c>
      <c r="D15" s="24" t="n">
        <f aca="false">SUMIFS(Fact_Monthly!$S$2:$S$649,Fact_Monthly!$D$2:$D$649,$A15)</f>
        <v>235256146</v>
      </c>
      <c r="E15" s="24" t="n">
        <f aca="false">SUMIFS(Fact_Monthly!$T$2:$T$649,Fact_Monthly!$D$2:$D$649,$A15)</f>
        <v>14891354</v>
      </c>
      <c r="F15" s="24" t="n">
        <f aca="false">SUMIFS(Fact_Monthly!$U$2:$U$649,Fact_Monthly!$D$2:$D$649,$A15)</f>
        <v>12940394</v>
      </c>
      <c r="G15" s="24" t="n">
        <f aca="false">SUMIFS(Fact_Monthly!$V$2:$V$649,Fact_Monthly!$D$2:$D$649,$A15)</f>
        <v>11916359</v>
      </c>
      <c r="H15" s="25" t="n">
        <f aca="false">SUMIFS(Fact_Monthly!$J$2:$J$649,Fact_Monthly!$D$2:$D$649,$A15)/3</f>
        <v>50136055</v>
      </c>
      <c r="I15" s="25" t="n">
        <f aca="false">SUMIFS(Fact_Monthly!$I$2:$I$649,Fact_Monthly!$D$2:$D$649,$A15)/3</f>
        <v>143273287.333333</v>
      </c>
      <c r="J15" s="26" t="n">
        <f aca="false">IF(I15=0,0,H15/I15)</f>
        <v>0.349933026128979</v>
      </c>
      <c r="K15" s="25" t="n">
        <f aca="false">SUMIFS(Fact_Monthly!$P$2:$P$649,Fact_Monthly!$A$2:$A$649,EDATE($B15,2))</f>
        <v>11500001</v>
      </c>
      <c r="L15" s="24" t="n">
        <f aca="false">SUMIFS(Fact_Monthly!$Z$2:$Z$649,Fact_Monthly!$D$2:$D$649,$A15)</f>
        <v>42817982</v>
      </c>
      <c r="M15" s="26" t="n">
        <f aca="false">IF(C15=0,0,D15/C15)</f>
        <v>0.855463664411037</v>
      </c>
      <c r="N15" s="27" t="n">
        <f aca="false">IF(C11=0,0,C15/C11-1)</f>
        <v>0.434938499591399</v>
      </c>
      <c r="O15" s="27" t="n">
        <f aca="false">IF(H11=0,0,H15/H11-1)</f>
        <v>0.355716521327594</v>
      </c>
      <c r="P15" s="27" t="n">
        <f aca="false">IF(K11=0,0,K15/K11-1)</f>
        <v>0.337209574094137</v>
      </c>
      <c r="Q15" s="27" t="n">
        <f aca="false">IF(C14=0,0,C15/C14-1)</f>
        <v>0.0797495938437478</v>
      </c>
    </row>
    <row r="16" customFormat="false" ht="15" hidden="false" customHeight="false" outlineLevel="0" collapsed="false">
      <c r="A16" s="22" t="s">
        <v>254</v>
      </c>
      <c r="B16" s="23" t="n">
        <v>45931</v>
      </c>
      <c r="C16" s="24" t="n">
        <f aca="false">SUMIFS(Fact_Monthly!$W$2:$W$649,Fact_Monthly!$D$2:$D$649,$A16)</f>
        <v>290229304</v>
      </c>
      <c r="D16" s="24" t="n">
        <f aca="false">SUMIFS(Fact_Monthly!$S$2:$S$649,Fact_Monthly!$D$2:$D$649,$A16)</f>
        <v>249268066</v>
      </c>
      <c r="E16" s="24" t="n">
        <f aca="false">SUMIFS(Fact_Monthly!$T$2:$T$649,Fact_Monthly!$D$2:$D$649,$A16)</f>
        <v>14768371</v>
      </c>
      <c r="F16" s="24" t="n">
        <f aca="false">SUMIFS(Fact_Monthly!$U$2:$U$649,Fact_Monthly!$D$2:$D$649,$A16)</f>
        <v>14463011</v>
      </c>
      <c r="G16" s="24" t="n">
        <f aca="false">SUMIFS(Fact_Monthly!$V$2:$V$649,Fact_Monthly!$D$2:$D$649,$A16)</f>
        <v>11729856</v>
      </c>
      <c r="H16" s="25" t="n">
        <f aca="false">SUMIFS(Fact_Monthly!$J$2:$J$649,Fact_Monthly!$D$2:$D$649,$A16)/3</f>
        <v>52910278</v>
      </c>
      <c r="I16" s="25" t="n">
        <f aca="false">SUMIFS(Fact_Monthly!$I$2:$I$649,Fact_Monthly!$D$2:$D$649,$A16)/3</f>
        <v>149150580.333333</v>
      </c>
      <c r="J16" s="26" t="n">
        <f aca="false">IF(I16=0,0,H16/I16)</f>
        <v>0.354744030373546</v>
      </c>
      <c r="K16" s="25" t="n">
        <f aca="false">SUMIFS(Fact_Monthly!$P$2:$P$649,Fact_Monthly!$A$2:$A$649,EDATE($B16,2))</f>
        <v>12200000</v>
      </c>
      <c r="L16" s="24" t="n">
        <f aca="false">SUMIFS(Fact_Monthly!$Z$2:$Z$649,Fact_Monthly!$D$2:$D$649,$A16)</f>
        <v>43375964</v>
      </c>
      <c r="M16" s="26" t="n">
        <f aca="false">IF(C16=0,0,D16/C16)</f>
        <v>0.858865946906588</v>
      </c>
      <c r="N16" s="27" t="n">
        <f aca="false">IF(C12=0,0,C16/C12-1)</f>
        <v>0.39172716032533</v>
      </c>
      <c r="O16" s="27" t="n">
        <f aca="false">IF(H12=0,0,H16/H12-1)</f>
        <v>0.298723328048548</v>
      </c>
      <c r="P16" s="27" t="n">
        <f aca="false">IF(K12=0,0,K16/K12-1)</f>
        <v>0.284210391135748</v>
      </c>
      <c r="Q16" s="27" t="n">
        <f aca="false">IF(C15=0,0,C16/C15-1)</f>
        <v>0.0553629656047538</v>
      </c>
    </row>
    <row r="19" customFormat="false" ht="15" hidden="false" customHeight="false" outlineLevel="0" collapsed="false">
      <c r="A19" s="28" t="s">
        <v>255</v>
      </c>
    </row>
    <row r="20" customFormat="false" ht="31.5" hidden="false" customHeight="true" outlineLevel="0" collapsed="false">
      <c r="A20" s="6" t="s">
        <v>36</v>
      </c>
      <c r="B20" s="6" t="s">
        <v>111</v>
      </c>
      <c r="C20" s="6" t="s">
        <v>238</v>
      </c>
      <c r="D20" s="6" t="s">
        <v>234</v>
      </c>
      <c r="E20" s="6" t="s">
        <v>256</v>
      </c>
      <c r="F20" s="6" t="s">
        <v>237</v>
      </c>
      <c r="G20" s="6" t="s">
        <v>123</v>
      </c>
    </row>
    <row r="21" customFormat="false" ht="15" hidden="false" customHeight="false" outlineLevel="0" collapsed="false">
      <c r="A21" s="29" t="n">
        <v>2023</v>
      </c>
      <c r="B21" s="24" t="n">
        <f aca="false">SUMIFS(Fact_Monthly!$W$2:$W$649,Fact_Monthly!$B$2:$B$649,$A21)</f>
        <v>531794522</v>
      </c>
      <c r="C21" s="27" t="s">
        <v>243</v>
      </c>
      <c r="D21" s="25" t="n">
        <f aca="false">SUMIFS(Fact_Monthly!$J$2:$J$649,Fact_Monthly!$B$2:$B$649,$A21)/12</f>
        <v>23502610.3333333</v>
      </c>
      <c r="E21" s="25" t="n">
        <f aca="false">SUMIFS(Fact_Monthly!$P$2:$P$649,Fact_Monthly!$A$2:$A$649,DATE($A21,12,1))</f>
        <v>6599999</v>
      </c>
      <c r="F21" s="26" t="n">
        <f aca="false">IF(B21=0,0,SUMIFS(Fact_Monthly!$S$2:$S$649,Fact_Monthly!$B$2:$B$649,$A21)/B21)</f>
        <v>0.825643168246099</v>
      </c>
      <c r="G21" s="24" t="n">
        <f aca="false">SUMIFS(Fact_Monthly!$Z$2:$Z$649,Fact_Monthly!$B$2:$B$649,$A21)</f>
        <v>96760744</v>
      </c>
    </row>
    <row r="22" customFormat="false" ht="15" hidden="false" customHeight="false" outlineLevel="0" collapsed="false">
      <c r="A22" s="29" t="n">
        <v>2024</v>
      </c>
      <c r="B22" s="24" t="n">
        <f aca="false">SUMIFS(Fact_Monthly!$W$2:$W$649,Fact_Monthly!$B$2:$B$649,$A22)</f>
        <v>747958602</v>
      </c>
      <c r="C22" s="27" t="n">
        <f aca="false">IF(B21=0,0,B22/B21-1)</f>
        <v>0.406480456374464</v>
      </c>
      <c r="D22" s="25" t="n">
        <f aca="false">SUMIFS(Fact_Monthly!$J$2:$J$649,Fact_Monthly!$B$2:$B$649,$A22)/12</f>
        <v>35756306.0833333</v>
      </c>
      <c r="E22" s="25" t="n">
        <f aca="false">SUMIFS(Fact_Monthly!$P$2:$P$649,Fact_Monthly!$A$2:$A$649,DATE($A22,12,1))</f>
        <v>9500001</v>
      </c>
      <c r="F22" s="26" t="n">
        <f aca="false">IF(B22=0,0,SUMIFS(Fact_Monthly!$S$2:$S$649,Fact_Monthly!$B$2:$B$649,$A22)/B22)</f>
        <v>0.840797743776734</v>
      </c>
      <c r="G22" s="24" t="n">
        <f aca="false">SUMIFS(Fact_Monthly!$Z$2:$Z$649,Fact_Monthly!$B$2:$B$649,$A22)</f>
        <v>127408607</v>
      </c>
    </row>
    <row r="23" customFormat="false" ht="15" hidden="false" customHeight="false" outlineLevel="0" collapsed="false">
      <c r="A23" s="29" t="n">
        <v>2025</v>
      </c>
      <c r="B23" s="24" t="n">
        <f aca="false">SUMIFS(Fact_Monthly!$W$2:$W$649,Fact_Monthly!$B$2:$B$649,$A23)</f>
        <v>1050196398</v>
      </c>
      <c r="C23" s="27" t="n">
        <f aca="false">IF(B22=0,0,B23/B22-1)</f>
        <v>0.404083588572727</v>
      </c>
      <c r="D23" s="25" t="n">
        <f aca="false">SUMIFS(Fact_Monthly!$J$2:$J$649,Fact_Monthly!$B$2:$B$649,$A23)/12</f>
        <v>49237763.5833333</v>
      </c>
      <c r="E23" s="25" t="n">
        <f aca="false">SUMIFS(Fact_Monthly!$P$2:$P$649,Fact_Monthly!$A$2:$A$649,DATE($A23,12,1))</f>
        <v>12200000</v>
      </c>
      <c r="F23" s="26" t="n">
        <f aca="false">IF(B23=0,0,SUMIFS(Fact_Monthly!$S$2:$S$649,Fact_Monthly!$B$2:$B$649,$A23)/B23)</f>
        <v>0.854001435072528</v>
      </c>
      <c r="G23" s="24" t="n">
        <f aca="false">SUMIFS(Fact_Monthly!$Z$2:$Z$649,Fact_Monthly!$B$2:$B$649,$A23)</f>
        <v>164248893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6" t="s">
        <v>30</v>
      </c>
      <c r="B1" s="6" t="s">
        <v>257</v>
      </c>
      <c r="C1" s="6" t="s">
        <v>258</v>
      </c>
      <c r="D1" s="6" t="s">
        <v>259</v>
      </c>
    </row>
    <row r="2" customFormat="false" ht="15" hidden="false" customHeight="false" outlineLevel="0" collapsed="false">
      <c r="A2" s="30" t="n">
        <v>44986</v>
      </c>
      <c r="B2" s="5" t="s">
        <v>260</v>
      </c>
      <c r="C2" s="5" t="s">
        <v>261</v>
      </c>
      <c r="D2" s="5" t="s">
        <v>262</v>
      </c>
    </row>
    <row r="3" customFormat="false" ht="15" hidden="false" customHeight="false" outlineLevel="0" collapsed="false">
      <c r="A3" s="30" t="n">
        <v>45689</v>
      </c>
      <c r="B3" s="5" t="s">
        <v>263</v>
      </c>
      <c r="C3" s="5" t="s">
        <v>264</v>
      </c>
      <c r="D3" s="5" t="s">
        <v>265</v>
      </c>
    </row>
    <row r="4" customFormat="false" ht="15" hidden="false" customHeight="false" outlineLevel="0" collapsed="false">
      <c r="A4" s="30" t="n">
        <v>45748</v>
      </c>
      <c r="B4" s="5" t="s">
        <v>266</v>
      </c>
      <c r="C4" s="5" t="s">
        <v>267</v>
      </c>
      <c r="D4" s="5" t="s">
        <v>268</v>
      </c>
    </row>
    <row r="6" customFormat="false" ht="15" hidden="false" customHeight="false" outlineLevel="0" collapsed="false">
      <c r="A6" s="21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2026-09-21T13:10:25Z</dcterms:created>
  <dc:creator>openpyxl</dc:creator>
  <dc:description/>
  <dc:language>en-US</dc:language>
  <cp:lastModifiedBy/>
  <dcterms:modified xsi:type="dcterms:W3CDTF">2026-09-21T13:10:25Z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